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502890_ads_qub_ac_uk/Documents/"/>
    </mc:Choice>
  </mc:AlternateContent>
  <xr:revisionPtr revIDLastSave="536" documentId="8_{A9348C9D-33DB-4234-AABE-5794297DB7C4}" xr6:coauthVersionLast="47" xr6:coauthVersionMax="47" xr10:uidLastSave="{B5197B2D-E7CE-48DD-B733-18F8C52EC41C}"/>
  <bookViews>
    <workbookView xWindow="-120" yWindow="-120" windowWidth="20730" windowHeight="11160" activeTab="3" xr2:uid="{1CC42C20-168C-49ED-86EF-AB35467BEC55}"/>
  </bookViews>
  <sheets>
    <sheet name="Duplicates" sheetId="3" r:id="rId1"/>
    <sheet name="Raw Data" sheetId="1" r:id="rId2"/>
    <sheet name="Duplicate_investigation" sheetId="4" r:id="rId3"/>
    <sheet name="Data Quality Audit" sheetId="2" r:id="rId4"/>
  </sheets>
  <definedNames>
    <definedName name="_xlnm._FilterDatabase" localSheetId="2" hidden="1">Duplicate_investigation!$T$1:$T$79</definedName>
    <definedName name="ExternalData_1" localSheetId="0" hidden="1">Duplicates!$A$1:$S$79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J19" i="2"/>
  <c r="J20" i="2"/>
  <c r="J21" i="2"/>
  <c r="J22" i="2"/>
  <c r="J23" i="2"/>
  <c r="J24" i="2"/>
  <c r="J25" i="2"/>
  <c r="J26" i="2"/>
  <c r="J27" i="2"/>
  <c r="J28" i="2"/>
  <c r="V1802" i="1"/>
  <c r="T1802" i="1"/>
  <c r="V1801" i="1"/>
  <c r="T1801" i="1"/>
  <c r="V1800" i="1"/>
  <c r="T1800" i="1"/>
  <c r="V1799" i="1"/>
  <c r="T1799" i="1"/>
  <c r="V1798" i="1"/>
  <c r="T1798" i="1"/>
  <c r="V1797" i="1"/>
  <c r="T1797" i="1"/>
  <c r="V1796" i="1"/>
  <c r="T1796" i="1"/>
  <c r="V1795" i="1"/>
  <c r="T1795" i="1"/>
  <c r="V1794" i="1"/>
  <c r="T1794" i="1"/>
  <c r="V1793" i="1"/>
  <c r="T1793" i="1"/>
  <c r="V1792" i="1"/>
  <c r="T1792" i="1"/>
  <c r="V1791" i="1"/>
  <c r="T1791" i="1"/>
  <c r="V1790" i="1"/>
  <c r="T1790" i="1"/>
  <c r="V1789" i="1"/>
  <c r="T1789" i="1"/>
  <c r="V1788" i="1"/>
  <c r="T1788" i="1"/>
  <c r="V1787" i="1"/>
  <c r="T1787" i="1"/>
  <c r="V1786" i="1"/>
  <c r="T1786" i="1"/>
  <c r="V1785" i="1"/>
  <c r="T1785" i="1"/>
  <c r="V1784" i="1"/>
  <c r="T1784" i="1"/>
  <c r="V1783" i="1"/>
  <c r="T1783" i="1"/>
  <c r="V1782" i="1"/>
  <c r="T1782" i="1"/>
  <c r="V1781" i="1"/>
  <c r="T1781" i="1"/>
  <c r="V1780" i="1"/>
  <c r="T1780" i="1"/>
  <c r="V1779" i="1"/>
  <c r="T1779" i="1"/>
  <c r="V1778" i="1"/>
  <c r="T1778" i="1"/>
  <c r="V1777" i="1"/>
  <c r="T1777" i="1"/>
  <c r="V1776" i="1"/>
  <c r="T1776" i="1"/>
  <c r="V1775" i="1"/>
  <c r="T1775" i="1"/>
  <c r="V1774" i="1"/>
  <c r="T1774" i="1"/>
  <c r="V1773" i="1"/>
  <c r="T1773" i="1"/>
  <c r="V1772" i="1"/>
  <c r="T1772" i="1"/>
  <c r="V1771" i="1"/>
  <c r="T1771" i="1"/>
  <c r="V1770" i="1"/>
  <c r="T1770" i="1"/>
  <c r="V1769" i="1"/>
  <c r="T1769" i="1"/>
  <c r="V1768" i="1"/>
  <c r="T1768" i="1"/>
  <c r="V1767" i="1"/>
  <c r="T1767" i="1"/>
  <c r="V1766" i="1"/>
  <c r="T1766" i="1"/>
  <c r="V1765" i="1"/>
  <c r="T1765" i="1"/>
  <c r="V1764" i="1"/>
  <c r="T1764" i="1"/>
  <c r="V1763" i="1"/>
  <c r="T1763" i="1"/>
  <c r="V1762" i="1"/>
  <c r="T1762" i="1"/>
  <c r="V1761" i="1"/>
  <c r="T1761" i="1"/>
  <c r="V1760" i="1"/>
  <c r="T1760" i="1"/>
  <c r="V1759" i="1"/>
  <c r="T1759" i="1"/>
  <c r="V1758" i="1"/>
  <c r="T1758" i="1"/>
  <c r="V1757" i="1"/>
  <c r="T1757" i="1"/>
  <c r="V1756" i="1"/>
  <c r="T1756" i="1"/>
  <c r="V1755" i="1"/>
  <c r="T1755" i="1"/>
  <c r="V1754" i="1"/>
  <c r="T1754" i="1"/>
  <c r="V1753" i="1"/>
  <c r="T1753" i="1"/>
  <c r="V1752" i="1"/>
  <c r="T1752" i="1"/>
  <c r="V1751" i="1"/>
  <c r="T1751" i="1"/>
  <c r="V1750" i="1"/>
  <c r="T1750" i="1"/>
  <c r="V1749" i="1"/>
  <c r="T1749" i="1"/>
  <c r="V1748" i="1"/>
  <c r="T1748" i="1"/>
  <c r="V1747" i="1"/>
  <c r="T1747" i="1"/>
  <c r="V1746" i="1"/>
  <c r="T1746" i="1"/>
  <c r="V1745" i="1"/>
  <c r="T1745" i="1"/>
  <c r="V1744" i="1"/>
  <c r="T1744" i="1"/>
  <c r="V1743" i="1"/>
  <c r="T1743" i="1"/>
  <c r="V1742" i="1"/>
  <c r="T1742" i="1"/>
  <c r="V1741" i="1"/>
  <c r="T1741" i="1"/>
  <c r="V1740" i="1"/>
  <c r="T1740" i="1"/>
  <c r="V1739" i="1"/>
  <c r="T1739" i="1"/>
  <c r="V1738" i="1"/>
  <c r="T1738" i="1"/>
  <c r="V1737" i="1"/>
  <c r="T1737" i="1"/>
  <c r="V1736" i="1"/>
  <c r="T1736" i="1"/>
  <c r="V1735" i="1"/>
  <c r="T1735" i="1"/>
  <c r="U1735" i="1" s="1"/>
  <c r="V1734" i="1"/>
  <c r="T1734" i="1"/>
  <c r="U1734" i="1" s="1"/>
  <c r="V1733" i="1"/>
  <c r="T1733" i="1"/>
  <c r="U1733" i="1" s="1"/>
  <c r="V1732" i="1"/>
  <c r="T1732" i="1"/>
  <c r="U1732" i="1" s="1"/>
  <c r="V1731" i="1"/>
  <c r="T1731" i="1"/>
  <c r="U1731" i="1" s="1"/>
  <c r="V1730" i="1"/>
  <c r="T1730" i="1"/>
  <c r="U1730" i="1" s="1"/>
  <c r="V1729" i="1"/>
  <c r="T1729" i="1"/>
  <c r="U1729" i="1" s="1"/>
  <c r="V1728" i="1"/>
  <c r="T1728" i="1"/>
  <c r="U1728" i="1" s="1"/>
  <c r="V1727" i="1"/>
  <c r="T1727" i="1"/>
  <c r="U1727" i="1" s="1"/>
  <c r="V1726" i="1"/>
  <c r="T1726" i="1"/>
  <c r="U1726" i="1" s="1"/>
  <c r="V1725" i="1"/>
  <c r="T1725" i="1"/>
  <c r="U1725" i="1" s="1"/>
  <c r="V1724" i="1"/>
  <c r="T1724" i="1"/>
  <c r="U1724" i="1" s="1"/>
  <c r="V1723" i="1"/>
  <c r="T1723" i="1"/>
  <c r="U1723" i="1" s="1"/>
  <c r="V1722" i="1"/>
  <c r="T1722" i="1"/>
  <c r="U1722" i="1" s="1"/>
  <c r="V1721" i="1"/>
  <c r="T1721" i="1"/>
  <c r="U1721" i="1" s="1"/>
  <c r="V1720" i="1"/>
  <c r="T1720" i="1"/>
  <c r="U1720" i="1" s="1"/>
  <c r="V1719" i="1"/>
  <c r="T1719" i="1"/>
  <c r="U1719" i="1" s="1"/>
  <c r="V1718" i="1"/>
  <c r="T1718" i="1"/>
  <c r="U1718" i="1" s="1"/>
  <c r="V1717" i="1"/>
  <c r="T1717" i="1"/>
  <c r="U1717" i="1" s="1"/>
  <c r="V1716" i="1"/>
  <c r="T1716" i="1"/>
  <c r="U1716" i="1" s="1"/>
  <c r="V1715" i="1"/>
  <c r="T1715" i="1"/>
  <c r="U1715" i="1" s="1"/>
  <c r="V1714" i="1"/>
  <c r="T1714" i="1"/>
  <c r="U1714" i="1" s="1"/>
  <c r="V1713" i="1"/>
  <c r="T1713" i="1"/>
  <c r="U1713" i="1" s="1"/>
  <c r="V1712" i="1"/>
  <c r="T1712" i="1"/>
  <c r="U1712" i="1" s="1"/>
  <c r="V1711" i="1"/>
  <c r="T1711" i="1"/>
  <c r="U1711" i="1" s="1"/>
  <c r="V1710" i="1"/>
  <c r="T1710" i="1"/>
  <c r="U1710" i="1" s="1"/>
  <c r="V1709" i="1"/>
  <c r="T1709" i="1"/>
  <c r="U1709" i="1" s="1"/>
  <c r="V1708" i="1"/>
  <c r="T1708" i="1"/>
  <c r="U1708" i="1" s="1"/>
  <c r="V1707" i="1"/>
  <c r="T1707" i="1"/>
  <c r="U1707" i="1" s="1"/>
  <c r="V1706" i="1"/>
  <c r="T1706" i="1"/>
  <c r="U1706" i="1" s="1"/>
  <c r="V1705" i="1"/>
  <c r="T1705" i="1"/>
  <c r="U1705" i="1" s="1"/>
  <c r="V1704" i="1"/>
  <c r="T1704" i="1"/>
  <c r="U1704" i="1" s="1"/>
  <c r="V1703" i="1"/>
  <c r="T1703" i="1"/>
  <c r="U1703" i="1" s="1"/>
  <c r="V1702" i="1"/>
  <c r="T1702" i="1"/>
  <c r="U1702" i="1" s="1"/>
  <c r="V1701" i="1"/>
  <c r="T1701" i="1"/>
  <c r="U1701" i="1" s="1"/>
  <c r="V1700" i="1"/>
  <c r="T1700" i="1"/>
  <c r="U1700" i="1" s="1"/>
  <c r="V1699" i="1"/>
  <c r="T1699" i="1"/>
  <c r="U1699" i="1" s="1"/>
  <c r="V1698" i="1"/>
  <c r="T1698" i="1"/>
  <c r="U1698" i="1" s="1"/>
  <c r="V1697" i="1"/>
  <c r="T1697" i="1"/>
  <c r="U1697" i="1" s="1"/>
  <c r="V1696" i="1"/>
  <c r="T1696" i="1"/>
  <c r="U1696" i="1" s="1"/>
  <c r="V1695" i="1"/>
  <c r="T1695" i="1"/>
  <c r="U1695" i="1" s="1"/>
  <c r="V1694" i="1"/>
  <c r="T1694" i="1"/>
  <c r="U1694" i="1" s="1"/>
  <c r="V1693" i="1"/>
  <c r="T1693" i="1"/>
  <c r="U1693" i="1" s="1"/>
  <c r="V1692" i="1"/>
  <c r="T1692" i="1"/>
  <c r="U1692" i="1" s="1"/>
  <c r="V1691" i="1"/>
  <c r="T1691" i="1"/>
  <c r="U1691" i="1" s="1"/>
  <c r="V1690" i="1"/>
  <c r="T1690" i="1"/>
  <c r="U1690" i="1" s="1"/>
  <c r="V1689" i="1"/>
  <c r="T1689" i="1"/>
  <c r="U1689" i="1" s="1"/>
  <c r="V1688" i="1"/>
  <c r="T1688" i="1"/>
  <c r="U1688" i="1" s="1"/>
  <c r="V1687" i="1"/>
  <c r="T1687" i="1"/>
  <c r="U1687" i="1" s="1"/>
  <c r="V1686" i="1"/>
  <c r="T1686" i="1"/>
  <c r="U1686" i="1" s="1"/>
  <c r="V1685" i="1"/>
  <c r="T1685" i="1"/>
  <c r="U1685" i="1" s="1"/>
  <c r="V1684" i="1"/>
  <c r="T1684" i="1"/>
  <c r="U1684" i="1" s="1"/>
  <c r="V1683" i="1"/>
  <c r="T1683" i="1"/>
  <c r="U1683" i="1" s="1"/>
  <c r="V1682" i="1"/>
  <c r="T1682" i="1"/>
  <c r="U1682" i="1" s="1"/>
  <c r="V1681" i="1"/>
  <c r="T1681" i="1"/>
  <c r="U1681" i="1" s="1"/>
  <c r="V1680" i="1"/>
  <c r="T1680" i="1"/>
  <c r="U1680" i="1" s="1"/>
  <c r="V1679" i="1"/>
  <c r="T1679" i="1"/>
  <c r="U1679" i="1" s="1"/>
  <c r="V1678" i="1"/>
  <c r="T1678" i="1"/>
  <c r="U1678" i="1" s="1"/>
  <c r="V1677" i="1"/>
  <c r="T1677" i="1"/>
  <c r="U1677" i="1" s="1"/>
  <c r="V1676" i="1"/>
  <c r="T1676" i="1"/>
  <c r="U1676" i="1" s="1"/>
  <c r="V1675" i="1"/>
  <c r="T1675" i="1"/>
  <c r="U1675" i="1" s="1"/>
  <c r="V1674" i="1"/>
  <c r="T1674" i="1"/>
  <c r="U1674" i="1" s="1"/>
  <c r="V1673" i="1"/>
  <c r="T1673" i="1"/>
  <c r="U1673" i="1" s="1"/>
  <c r="V1672" i="1"/>
  <c r="T1672" i="1"/>
  <c r="U1672" i="1" s="1"/>
  <c r="V1671" i="1"/>
  <c r="T1671" i="1"/>
  <c r="U1671" i="1" s="1"/>
  <c r="V1670" i="1"/>
  <c r="T1670" i="1"/>
  <c r="U1670" i="1" s="1"/>
  <c r="V1669" i="1"/>
  <c r="T1669" i="1"/>
  <c r="U1669" i="1" s="1"/>
  <c r="V1668" i="1"/>
  <c r="T1668" i="1"/>
  <c r="U1668" i="1" s="1"/>
  <c r="V1667" i="1"/>
  <c r="T1667" i="1"/>
  <c r="U1667" i="1" s="1"/>
  <c r="V1666" i="1"/>
  <c r="T1666" i="1"/>
  <c r="U1666" i="1" s="1"/>
  <c r="V1665" i="1"/>
  <c r="T1665" i="1"/>
  <c r="U1665" i="1" s="1"/>
  <c r="V1664" i="1"/>
  <c r="T1664" i="1"/>
  <c r="U1664" i="1" s="1"/>
  <c r="V1663" i="1"/>
  <c r="T1663" i="1"/>
  <c r="U1663" i="1" s="1"/>
  <c r="V1662" i="1"/>
  <c r="T1662" i="1"/>
  <c r="U1662" i="1" s="1"/>
  <c r="V1661" i="1"/>
  <c r="T1661" i="1"/>
  <c r="U1661" i="1" s="1"/>
  <c r="V1660" i="1"/>
  <c r="T1660" i="1"/>
  <c r="U1660" i="1" s="1"/>
  <c r="V1659" i="1"/>
  <c r="T1659" i="1"/>
  <c r="U1659" i="1" s="1"/>
  <c r="V1658" i="1"/>
  <c r="T1658" i="1"/>
  <c r="U1658" i="1" s="1"/>
  <c r="V1657" i="1"/>
  <c r="T1657" i="1"/>
  <c r="U1657" i="1" s="1"/>
  <c r="V1656" i="1"/>
  <c r="T1656" i="1"/>
  <c r="U1656" i="1" s="1"/>
  <c r="V1655" i="1"/>
  <c r="T1655" i="1"/>
  <c r="U1655" i="1" s="1"/>
  <c r="V1654" i="1"/>
  <c r="T1654" i="1"/>
  <c r="U1654" i="1" s="1"/>
  <c r="V1653" i="1"/>
  <c r="T1653" i="1"/>
  <c r="U1653" i="1" s="1"/>
  <c r="V1652" i="1"/>
  <c r="T1652" i="1"/>
  <c r="U1652" i="1" s="1"/>
  <c r="V1651" i="1"/>
  <c r="T1651" i="1"/>
  <c r="U1651" i="1" s="1"/>
  <c r="V1650" i="1"/>
  <c r="T1650" i="1"/>
  <c r="U1650" i="1" s="1"/>
  <c r="V1649" i="1"/>
  <c r="T1649" i="1"/>
  <c r="U1649" i="1" s="1"/>
  <c r="V1648" i="1"/>
  <c r="T1648" i="1"/>
  <c r="U1648" i="1" s="1"/>
  <c r="V1647" i="1"/>
  <c r="T1647" i="1"/>
  <c r="U1647" i="1" s="1"/>
  <c r="V1646" i="1"/>
  <c r="T1646" i="1"/>
  <c r="U1646" i="1" s="1"/>
  <c r="V1645" i="1"/>
  <c r="T1645" i="1"/>
  <c r="U1645" i="1" s="1"/>
  <c r="V1644" i="1"/>
  <c r="T1644" i="1"/>
  <c r="U1644" i="1" s="1"/>
  <c r="V1643" i="1"/>
  <c r="T1643" i="1"/>
  <c r="U1643" i="1" s="1"/>
  <c r="V1642" i="1"/>
  <c r="T1642" i="1"/>
  <c r="U1642" i="1" s="1"/>
  <c r="V1641" i="1"/>
  <c r="T1641" i="1"/>
  <c r="U1641" i="1" s="1"/>
  <c r="V1640" i="1"/>
  <c r="T1640" i="1"/>
  <c r="U1640" i="1" s="1"/>
  <c r="V1639" i="1"/>
  <c r="T1639" i="1"/>
  <c r="U1639" i="1" s="1"/>
  <c r="V1638" i="1"/>
  <c r="T1638" i="1"/>
  <c r="U1638" i="1" s="1"/>
  <c r="V1637" i="1"/>
  <c r="T1637" i="1"/>
  <c r="U1637" i="1" s="1"/>
  <c r="V1636" i="1"/>
  <c r="T1636" i="1"/>
  <c r="U1636" i="1" s="1"/>
  <c r="V1635" i="1"/>
  <c r="T1635" i="1"/>
  <c r="U1635" i="1" s="1"/>
  <c r="V1634" i="1"/>
  <c r="T1634" i="1"/>
  <c r="U1634" i="1" s="1"/>
  <c r="V1633" i="1"/>
  <c r="T1633" i="1"/>
  <c r="U1633" i="1" s="1"/>
  <c r="V1632" i="1"/>
  <c r="T1632" i="1"/>
  <c r="U1632" i="1" s="1"/>
  <c r="V1631" i="1"/>
  <c r="T1631" i="1"/>
  <c r="U1631" i="1" s="1"/>
  <c r="V1630" i="1"/>
  <c r="T1630" i="1"/>
  <c r="U1630" i="1" s="1"/>
  <c r="V1629" i="1"/>
  <c r="T1629" i="1"/>
  <c r="U1629" i="1" s="1"/>
  <c r="V1628" i="1"/>
  <c r="T1628" i="1"/>
  <c r="U1628" i="1" s="1"/>
  <c r="V1627" i="1"/>
  <c r="T1627" i="1"/>
  <c r="U1627" i="1" s="1"/>
  <c r="V1626" i="1"/>
  <c r="T1626" i="1"/>
  <c r="U1626" i="1" s="1"/>
  <c r="V1625" i="1"/>
  <c r="T1625" i="1"/>
  <c r="U1625" i="1" s="1"/>
  <c r="V1624" i="1"/>
  <c r="T1624" i="1"/>
  <c r="U1624" i="1" s="1"/>
  <c r="V1623" i="1"/>
  <c r="T1623" i="1"/>
  <c r="U1623" i="1" s="1"/>
  <c r="V1622" i="1"/>
  <c r="T1622" i="1"/>
  <c r="U1622" i="1" s="1"/>
  <c r="V1621" i="1"/>
  <c r="T1621" i="1"/>
  <c r="U1621" i="1" s="1"/>
  <c r="V1620" i="1"/>
  <c r="T1620" i="1"/>
  <c r="U1620" i="1" s="1"/>
  <c r="V1619" i="1"/>
  <c r="T1619" i="1"/>
  <c r="U1619" i="1" s="1"/>
  <c r="V1618" i="1"/>
  <c r="T1618" i="1"/>
  <c r="U1618" i="1" s="1"/>
  <c r="V1617" i="1"/>
  <c r="T1617" i="1"/>
  <c r="U1617" i="1" s="1"/>
  <c r="V1616" i="1"/>
  <c r="T1616" i="1"/>
  <c r="U1616" i="1" s="1"/>
  <c r="V1615" i="1"/>
  <c r="T1615" i="1"/>
  <c r="U1615" i="1" s="1"/>
  <c r="V1614" i="1"/>
  <c r="T1614" i="1"/>
  <c r="U1614" i="1" s="1"/>
  <c r="V1613" i="1"/>
  <c r="T1613" i="1"/>
  <c r="U1613" i="1" s="1"/>
  <c r="V1612" i="1"/>
  <c r="T1612" i="1"/>
  <c r="U1612" i="1" s="1"/>
  <c r="V1611" i="1"/>
  <c r="T1611" i="1"/>
  <c r="U1611" i="1" s="1"/>
  <c r="V1610" i="1"/>
  <c r="T1610" i="1"/>
  <c r="U1610" i="1" s="1"/>
  <c r="V1609" i="1"/>
  <c r="T1609" i="1"/>
  <c r="U1609" i="1" s="1"/>
  <c r="V1608" i="1"/>
  <c r="T1608" i="1"/>
  <c r="U1608" i="1" s="1"/>
  <c r="V1607" i="1"/>
  <c r="T1607" i="1"/>
  <c r="U1607" i="1" s="1"/>
  <c r="V1606" i="1"/>
  <c r="T1606" i="1"/>
  <c r="U1606" i="1" s="1"/>
  <c r="V1605" i="1"/>
  <c r="T1605" i="1"/>
  <c r="U1605" i="1" s="1"/>
  <c r="V1604" i="1"/>
  <c r="T1604" i="1"/>
  <c r="U1604" i="1" s="1"/>
  <c r="V1603" i="1"/>
  <c r="T1603" i="1"/>
  <c r="U1603" i="1" s="1"/>
  <c r="V1602" i="1"/>
  <c r="T1602" i="1"/>
  <c r="U1602" i="1" s="1"/>
  <c r="V1601" i="1"/>
  <c r="T1601" i="1"/>
  <c r="U1601" i="1" s="1"/>
  <c r="V1600" i="1"/>
  <c r="T1600" i="1"/>
  <c r="U1600" i="1" s="1"/>
  <c r="V1599" i="1"/>
  <c r="T1599" i="1"/>
  <c r="U1599" i="1" s="1"/>
  <c r="V1598" i="1"/>
  <c r="T1598" i="1"/>
  <c r="U1598" i="1" s="1"/>
  <c r="V1597" i="1"/>
  <c r="T1597" i="1"/>
  <c r="U1597" i="1" s="1"/>
  <c r="V1596" i="1"/>
  <c r="T1596" i="1"/>
  <c r="U1596" i="1" s="1"/>
  <c r="V1595" i="1"/>
  <c r="T1595" i="1"/>
  <c r="U1595" i="1" s="1"/>
  <c r="V1594" i="1"/>
  <c r="T1594" i="1"/>
  <c r="U1594" i="1" s="1"/>
  <c r="V1593" i="1"/>
  <c r="T1593" i="1"/>
  <c r="U1593" i="1" s="1"/>
  <c r="V1592" i="1"/>
  <c r="T1592" i="1"/>
  <c r="U1592" i="1" s="1"/>
  <c r="V1591" i="1"/>
  <c r="T1591" i="1"/>
  <c r="U1591" i="1" s="1"/>
  <c r="V1590" i="1"/>
  <c r="T1590" i="1"/>
  <c r="U1590" i="1" s="1"/>
  <c r="V1589" i="1"/>
  <c r="T1589" i="1"/>
  <c r="U1589" i="1" s="1"/>
  <c r="V1588" i="1"/>
  <c r="T1588" i="1"/>
  <c r="U1588" i="1" s="1"/>
  <c r="V1587" i="1"/>
  <c r="T1587" i="1"/>
  <c r="U1587" i="1" s="1"/>
  <c r="V1586" i="1"/>
  <c r="T1586" i="1"/>
  <c r="U1586" i="1" s="1"/>
  <c r="V1585" i="1"/>
  <c r="T1585" i="1"/>
  <c r="U1585" i="1" s="1"/>
  <c r="V1584" i="1"/>
  <c r="T1584" i="1"/>
  <c r="U1584" i="1" s="1"/>
  <c r="V1583" i="1"/>
  <c r="T1583" i="1"/>
  <c r="U1583" i="1" s="1"/>
  <c r="V1582" i="1"/>
  <c r="T1582" i="1"/>
  <c r="U1582" i="1" s="1"/>
  <c r="V1581" i="1"/>
  <c r="T1581" i="1"/>
  <c r="U1581" i="1" s="1"/>
  <c r="V1580" i="1"/>
  <c r="T1580" i="1"/>
  <c r="U1580" i="1" s="1"/>
  <c r="V1579" i="1"/>
  <c r="T1579" i="1"/>
  <c r="U1579" i="1" s="1"/>
  <c r="V1578" i="1"/>
  <c r="T1578" i="1"/>
  <c r="U1578" i="1" s="1"/>
  <c r="V1577" i="1"/>
  <c r="T1577" i="1"/>
  <c r="U1577" i="1" s="1"/>
  <c r="V1576" i="1"/>
  <c r="T1576" i="1"/>
  <c r="U1576" i="1" s="1"/>
  <c r="V1575" i="1"/>
  <c r="T1575" i="1"/>
  <c r="U1575" i="1" s="1"/>
  <c r="V1574" i="1"/>
  <c r="T1574" i="1"/>
  <c r="U1574" i="1" s="1"/>
  <c r="V1573" i="1"/>
  <c r="T1573" i="1"/>
  <c r="U1573" i="1" s="1"/>
  <c r="V1572" i="1"/>
  <c r="T1572" i="1"/>
  <c r="U1572" i="1" s="1"/>
  <c r="V1571" i="1"/>
  <c r="T1571" i="1"/>
  <c r="U1571" i="1" s="1"/>
  <c r="V1570" i="1"/>
  <c r="T1570" i="1"/>
  <c r="U1570" i="1" s="1"/>
  <c r="V1569" i="1"/>
  <c r="T1569" i="1"/>
  <c r="U1569" i="1" s="1"/>
  <c r="V1568" i="1"/>
  <c r="T1568" i="1"/>
  <c r="U1568" i="1" s="1"/>
  <c r="V1567" i="1"/>
  <c r="T1567" i="1"/>
  <c r="U1567" i="1" s="1"/>
  <c r="V1566" i="1"/>
  <c r="T1566" i="1"/>
  <c r="U1566" i="1" s="1"/>
  <c r="V1565" i="1"/>
  <c r="T1565" i="1"/>
  <c r="U1565" i="1" s="1"/>
  <c r="V1564" i="1"/>
  <c r="T1564" i="1"/>
  <c r="U1564" i="1" s="1"/>
  <c r="V1563" i="1"/>
  <c r="T1563" i="1"/>
  <c r="U1563" i="1" s="1"/>
  <c r="V1562" i="1"/>
  <c r="T1562" i="1"/>
  <c r="U1562" i="1" s="1"/>
  <c r="V1561" i="1"/>
  <c r="T1561" i="1"/>
  <c r="U1561" i="1" s="1"/>
  <c r="V1560" i="1"/>
  <c r="T1560" i="1"/>
  <c r="U1560" i="1" s="1"/>
  <c r="V1559" i="1"/>
  <c r="T1559" i="1"/>
  <c r="U1559" i="1" s="1"/>
  <c r="V1558" i="1"/>
  <c r="T1558" i="1"/>
  <c r="U1558" i="1" s="1"/>
  <c r="V1557" i="1"/>
  <c r="T1557" i="1"/>
  <c r="U1557" i="1" s="1"/>
  <c r="V1556" i="1"/>
  <c r="T1556" i="1"/>
  <c r="U1556" i="1" s="1"/>
  <c r="V1555" i="1"/>
  <c r="T1555" i="1"/>
  <c r="U1555" i="1" s="1"/>
  <c r="V1554" i="1"/>
  <c r="T1554" i="1"/>
  <c r="U1554" i="1" s="1"/>
  <c r="V1553" i="1"/>
  <c r="T1553" i="1"/>
  <c r="U1553" i="1" s="1"/>
  <c r="V1552" i="1"/>
  <c r="T1552" i="1"/>
  <c r="U1552" i="1" s="1"/>
  <c r="V1551" i="1"/>
  <c r="T1551" i="1"/>
  <c r="U1551" i="1" s="1"/>
  <c r="V1550" i="1"/>
  <c r="T1550" i="1"/>
  <c r="U1550" i="1" s="1"/>
  <c r="V1549" i="1"/>
  <c r="T1549" i="1"/>
  <c r="U1549" i="1" s="1"/>
  <c r="V1548" i="1"/>
  <c r="T1548" i="1"/>
  <c r="U1548" i="1" s="1"/>
  <c r="V1547" i="1"/>
  <c r="T1547" i="1"/>
  <c r="U1547" i="1" s="1"/>
  <c r="V1546" i="1"/>
  <c r="T1546" i="1"/>
  <c r="U1546" i="1" s="1"/>
  <c r="V1545" i="1"/>
  <c r="T1545" i="1"/>
  <c r="U1545" i="1" s="1"/>
  <c r="V1544" i="1"/>
  <c r="T1544" i="1"/>
  <c r="U1544" i="1" s="1"/>
  <c r="V1543" i="1"/>
  <c r="T1543" i="1"/>
  <c r="U1543" i="1" s="1"/>
  <c r="V1542" i="1"/>
  <c r="T1542" i="1"/>
  <c r="U1542" i="1" s="1"/>
  <c r="V1541" i="1"/>
  <c r="T1541" i="1"/>
  <c r="U1541" i="1" s="1"/>
  <c r="V1540" i="1"/>
  <c r="T1540" i="1"/>
  <c r="U1540" i="1" s="1"/>
  <c r="V1539" i="1"/>
  <c r="T1539" i="1"/>
  <c r="U1539" i="1" s="1"/>
  <c r="V1538" i="1"/>
  <c r="T1538" i="1"/>
  <c r="U1538" i="1" s="1"/>
  <c r="V1537" i="1"/>
  <c r="T1537" i="1"/>
  <c r="U1537" i="1" s="1"/>
  <c r="V1536" i="1"/>
  <c r="T1536" i="1"/>
  <c r="U1536" i="1" s="1"/>
  <c r="V1535" i="1"/>
  <c r="T1535" i="1"/>
  <c r="U1535" i="1" s="1"/>
  <c r="V1534" i="1"/>
  <c r="T1534" i="1"/>
  <c r="U1534" i="1" s="1"/>
  <c r="V1533" i="1"/>
  <c r="T1533" i="1"/>
  <c r="U1533" i="1" s="1"/>
  <c r="V1532" i="1"/>
  <c r="T1532" i="1"/>
  <c r="U1532" i="1" s="1"/>
  <c r="V1531" i="1"/>
  <c r="T1531" i="1"/>
  <c r="U1531" i="1" s="1"/>
  <c r="V1530" i="1"/>
  <c r="T1530" i="1"/>
  <c r="U1530" i="1" s="1"/>
  <c r="V1529" i="1"/>
  <c r="T1529" i="1"/>
  <c r="U1529" i="1" s="1"/>
  <c r="V1528" i="1"/>
  <c r="T1528" i="1"/>
  <c r="U1528" i="1" s="1"/>
  <c r="V1527" i="1"/>
  <c r="T1527" i="1"/>
  <c r="U1527" i="1" s="1"/>
  <c r="V1526" i="1"/>
  <c r="T1526" i="1"/>
  <c r="U1526" i="1" s="1"/>
  <c r="V1525" i="1"/>
  <c r="T1525" i="1"/>
  <c r="U1525" i="1" s="1"/>
  <c r="V1524" i="1"/>
  <c r="T1524" i="1"/>
  <c r="U1524" i="1" s="1"/>
  <c r="V1523" i="1"/>
  <c r="T1523" i="1"/>
  <c r="U1523" i="1" s="1"/>
  <c r="V1522" i="1"/>
  <c r="T1522" i="1"/>
  <c r="U1522" i="1" s="1"/>
  <c r="V1521" i="1"/>
  <c r="T1521" i="1"/>
  <c r="U1521" i="1" s="1"/>
  <c r="V1520" i="1"/>
  <c r="T1520" i="1"/>
  <c r="U1520" i="1" s="1"/>
  <c r="V1519" i="1"/>
  <c r="T1519" i="1"/>
  <c r="U1519" i="1" s="1"/>
  <c r="V1518" i="1"/>
  <c r="T1518" i="1"/>
  <c r="U1518" i="1" s="1"/>
  <c r="V1517" i="1"/>
  <c r="T1517" i="1"/>
  <c r="U1517" i="1" s="1"/>
  <c r="V1516" i="1"/>
  <c r="T1516" i="1"/>
  <c r="U1516" i="1" s="1"/>
  <c r="V1515" i="1"/>
  <c r="T1515" i="1"/>
  <c r="U1515" i="1" s="1"/>
  <c r="V1514" i="1"/>
  <c r="T1514" i="1"/>
  <c r="U1514" i="1" s="1"/>
  <c r="V1513" i="1"/>
  <c r="T1513" i="1"/>
  <c r="U1513" i="1" s="1"/>
  <c r="V1512" i="1"/>
  <c r="T1512" i="1"/>
  <c r="U1512" i="1" s="1"/>
  <c r="V1511" i="1"/>
  <c r="T1511" i="1"/>
  <c r="U1511" i="1" s="1"/>
  <c r="V1510" i="1"/>
  <c r="T1510" i="1"/>
  <c r="U1510" i="1" s="1"/>
  <c r="V1509" i="1"/>
  <c r="T1509" i="1"/>
  <c r="U1509" i="1" s="1"/>
  <c r="V1508" i="1"/>
  <c r="T1508" i="1"/>
  <c r="U1508" i="1" s="1"/>
  <c r="V1507" i="1"/>
  <c r="T1507" i="1"/>
  <c r="U1507" i="1" s="1"/>
  <c r="V1506" i="1"/>
  <c r="T1506" i="1"/>
  <c r="U1506" i="1" s="1"/>
  <c r="V1505" i="1"/>
  <c r="T1505" i="1"/>
  <c r="U1505" i="1" s="1"/>
  <c r="V1504" i="1"/>
  <c r="T1504" i="1"/>
  <c r="U1504" i="1" s="1"/>
  <c r="V1503" i="1"/>
  <c r="T1503" i="1"/>
  <c r="U1503" i="1" s="1"/>
  <c r="V1502" i="1"/>
  <c r="T1502" i="1"/>
  <c r="U1502" i="1" s="1"/>
  <c r="V1501" i="1"/>
  <c r="T1501" i="1"/>
  <c r="U1501" i="1" s="1"/>
  <c r="V1500" i="1"/>
  <c r="T1500" i="1"/>
  <c r="U1500" i="1" s="1"/>
  <c r="V1499" i="1"/>
  <c r="T1499" i="1"/>
  <c r="U1499" i="1" s="1"/>
  <c r="V1498" i="1"/>
  <c r="T1498" i="1"/>
  <c r="U1498" i="1" s="1"/>
  <c r="V1497" i="1"/>
  <c r="T1497" i="1"/>
  <c r="U1497" i="1" s="1"/>
  <c r="V1496" i="1"/>
  <c r="T1496" i="1"/>
  <c r="U1496" i="1" s="1"/>
  <c r="V1495" i="1"/>
  <c r="T1495" i="1"/>
  <c r="U1495" i="1" s="1"/>
  <c r="V1494" i="1"/>
  <c r="T1494" i="1"/>
  <c r="U1494" i="1" s="1"/>
  <c r="V1493" i="1"/>
  <c r="T1493" i="1"/>
  <c r="U1493" i="1" s="1"/>
  <c r="V1492" i="1"/>
  <c r="T1492" i="1"/>
  <c r="U1492" i="1" s="1"/>
  <c r="V1491" i="1"/>
  <c r="T1491" i="1"/>
  <c r="U1491" i="1" s="1"/>
  <c r="V1490" i="1"/>
  <c r="T1490" i="1"/>
  <c r="U1490" i="1" s="1"/>
  <c r="V1489" i="1"/>
  <c r="T1489" i="1"/>
  <c r="U1489" i="1" s="1"/>
  <c r="V1488" i="1"/>
  <c r="T1488" i="1"/>
  <c r="U1488" i="1" s="1"/>
  <c r="V1487" i="1"/>
  <c r="T1487" i="1"/>
  <c r="U1487" i="1" s="1"/>
  <c r="V1486" i="1"/>
  <c r="T1486" i="1"/>
  <c r="U1486" i="1" s="1"/>
  <c r="V1485" i="1"/>
  <c r="T1485" i="1"/>
  <c r="U1485" i="1" s="1"/>
  <c r="V1484" i="1"/>
  <c r="T1484" i="1"/>
  <c r="U1484" i="1" s="1"/>
  <c r="V1483" i="1"/>
  <c r="T1483" i="1"/>
  <c r="U1483" i="1" s="1"/>
  <c r="V1482" i="1"/>
  <c r="T1482" i="1"/>
  <c r="U1482" i="1" s="1"/>
  <c r="V1481" i="1"/>
  <c r="T1481" i="1"/>
  <c r="U1481" i="1" s="1"/>
  <c r="V1480" i="1"/>
  <c r="T1480" i="1"/>
  <c r="U1480" i="1" s="1"/>
  <c r="V1479" i="1"/>
  <c r="T1479" i="1"/>
  <c r="U1479" i="1" s="1"/>
  <c r="V1478" i="1"/>
  <c r="T1478" i="1"/>
  <c r="U1478" i="1" s="1"/>
  <c r="V1477" i="1"/>
  <c r="T1477" i="1"/>
  <c r="U1477" i="1" s="1"/>
  <c r="V1476" i="1"/>
  <c r="T1476" i="1"/>
  <c r="U1476" i="1" s="1"/>
  <c r="V1475" i="1"/>
  <c r="T1475" i="1"/>
  <c r="U1475" i="1" s="1"/>
  <c r="V1474" i="1"/>
  <c r="T1474" i="1"/>
  <c r="U1474" i="1" s="1"/>
  <c r="V1473" i="1"/>
  <c r="T1473" i="1"/>
  <c r="U1473" i="1" s="1"/>
  <c r="V1472" i="1"/>
  <c r="T1472" i="1"/>
  <c r="U1472" i="1" s="1"/>
  <c r="V1471" i="1"/>
  <c r="T1471" i="1"/>
  <c r="U1471" i="1" s="1"/>
  <c r="V1470" i="1"/>
  <c r="T1470" i="1"/>
  <c r="U1470" i="1" s="1"/>
  <c r="V1469" i="1"/>
  <c r="T1469" i="1"/>
  <c r="U1469" i="1" s="1"/>
  <c r="V1468" i="1"/>
  <c r="T1468" i="1"/>
  <c r="U1468" i="1" s="1"/>
  <c r="V1467" i="1"/>
  <c r="T1467" i="1"/>
  <c r="U1467" i="1" s="1"/>
  <c r="V1466" i="1"/>
  <c r="T1466" i="1"/>
  <c r="U1466" i="1" s="1"/>
  <c r="V1465" i="1"/>
  <c r="T1465" i="1"/>
  <c r="U1465" i="1" s="1"/>
  <c r="V1464" i="1"/>
  <c r="T1464" i="1"/>
  <c r="U1464" i="1" s="1"/>
  <c r="V1463" i="1"/>
  <c r="T1463" i="1"/>
  <c r="U1463" i="1" s="1"/>
  <c r="V1462" i="1"/>
  <c r="T1462" i="1"/>
  <c r="U1462" i="1" s="1"/>
  <c r="V1461" i="1"/>
  <c r="T1461" i="1"/>
  <c r="U1461" i="1" s="1"/>
  <c r="V1460" i="1"/>
  <c r="T1460" i="1"/>
  <c r="U1460" i="1" s="1"/>
  <c r="V1459" i="1"/>
  <c r="T1459" i="1"/>
  <c r="U1459" i="1" s="1"/>
  <c r="V1458" i="1"/>
  <c r="T1458" i="1"/>
  <c r="U1458" i="1" s="1"/>
  <c r="V1457" i="1"/>
  <c r="T1457" i="1"/>
  <c r="U1457" i="1" s="1"/>
  <c r="V1456" i="1"/>
  <c r="T1456" i="1"/>
  <c r="U1456" i="1" s="1"/>
  <c r="V1455" i="1"/>
  <c r="T1455" i="1"/>
  <c r="U1455" i="1" s="1"/>
  <c r="V1454" i="1"/>
  <c r="T1454" i="1"/>
  <c r="U1454" i="1" s="1"/>
  <c r="V1453" i="1"/>
  <c r="T1453" i="1"/>
  <c r="U1453" i="1" s="1"/>
  <c r="V1452" i="1"/>
  <c r="T1452" i="1"/>
  <c r="U1452" i="1" s="1"/>
  <c r="V1451" i="1"/>
  <c r="T1451" i="1"/>
  <c r="U1451" i="1" s="1"/>
  <c r="V1450" i="1"/>
  <c r="T1450" i="1"/>
  <c r="U1450" i="1" s="1"/>
  <c r="V1449" i="1"/>
  <c r="T1449" i="1"/>
  <c r="U1449" i="1" s="1"/>
  <c r="V1448" i="1"/>
  <c r="T1448" i="1"/>
  <c r="U1448" i="1" s="1"/>
  <c r="V1447" i="1"/>
  <c r="T1447" i="1"/>
  <c r="U1447" i="1" s="1"/>
  <c r="V1446" i="1"/>
  <c r="T1446" i="1"/>
  <c r="U1446" i="1" s="1"/>
  <c r="V1445" i="1"/>
  <c r="T1445" i="1"/>
  <c r="U1445" i="1" s="1"/>
  <c r="V1444" i="1"/>
  <c r="T1444" i="1"/>
  <c r="U1444" i="1" s="1"/>
  <c r="V1443" i="1"/>
  <c r="T1443" i="1"/>
  <c r="U1443" i="1" s="1"/>
  <c r="V1442" i="1"/>
  <c r="T1442" i="1"/>
  <c r="U1442" i="1" s="1"/>
  <c r="V1441" i="1"/>
  <c r="T1441" i="1"/>
  <c r="U1441" i="1" s="1"/>
  <c r="V1440" i="1"/>
  <c r="T1440" i="1"/>
  <c r="U1440" i="1" s="1"/>
  <c r="V1439" i="1"/>
  <c r="T1439" i="1"/>
  <c r="U1439" i="1" s="1"/>
  <c r="V1438" i="1"/>
  <c r="T1438" i="1"/>
  <c r="U1438" i="1" s="1"/>
  <c r="V1437" i="1"/>
  <c r="T1437" i="1"/>
  <c r="U1437" i="1" s="1"/>
  <c r="V1436" i="1"/>
  <c r="T1436" i="1"/>
  <c r="U1436" i="1" s="1"/>
  <c r="V1435" i="1"/>
  <c r="T1435" i="1"/>
  <c r="U1435" i="1" s="1"/>
  <c r="V1434" i="1"/>
  <c r="T1434" i="1"/>
  <c r="U1434" i="1" s="1"/>
  <c r="V1433" i="1"/>
  <c r="T1433" i="1"/>
  <c r="U1433" i="1" s="1"/>
  <c r="V1432" i="1"/>
  <c r="T1432" i="1"/>
  <c r="U1432" i="1" s="1"/>
  <c r="V1431" i="1"/>
  <c r="T1431" i="1"/>
  <c r="U1431" i="1" s="1"/>
  <c r="V1430" i="1"/>
  <c r="T1430" i="1"/>
  <c r="U1430" i="1" s="1"/>
  <c r="V1429" i="1"/>
  <c r="T1429" i="1"/>
  <c r="U1429" i="1" s="1"/>
  <c r="V1428" i="1"/>
  <c r="T1428" i="1"/>
  <c r="U1428" i="1" s="1"/>
  <c r="V1427" i="1"/>
  <c r="T1427" i="1"/>
  <c r="U1427" i="1" s="1"/>
  <c r="V1426" i="1"/>
  <c r="T1426" i="1"/>
  <c r="U1426" i="1" s="1"/>
  <c r="V1425" i="1"/>
  <c r="T1425" i="1"/>
  <c r="U1425" i="1" s="1"/>
  <c r="V1424" i="1"/>
  <c r="T1424" i="1"/>
  <c r="U1424" i="1" s="1"/>
  <c r="V1423" i="1"/>
  <c r="T1423" i="1"/>
  <c r="U1423" i="1" s="1"/>
  <c r="V1422" i="1"/>
  <c r="T1422" i="1"/>
  <c r="U1422" i="1" s="1"/>
  <c r="V1421" i="1"/>
  <c r="T1421" i="1"/>
  <c r="U1421" i="1" s="1"/>
  <c r="V1420" i="1"/>
  <c r="T1420" i="1"/>
  <c r="U1420" i="1" s="1"/>
  <c r="V1419" i="1"/>
  <c r="T1419" i="1"/>
  <c r="U1419" i="1" s="1"/>
  <c r="V1418" i="1"/>
  <c r="T1418" i="1"/>
  <c r="U1418" i="1" s="1"/>
  <c r="V1417" i="1"/>
  <c r="T1417" i="1"/>
  <c r="U1417" i="1" s="1"/>
  <c r="V1416" i="1"/>
  <c r="T1416" i="1"/>
  <c r="U1416" i="1" s="1"/>
  <c r="V1415" i="1"/>
  <c r="T1415" i="1"/>
  <c r="U1415" i="1" s="1"/>
  <c r="V1414" i="1"/>
  <c r="T1414" i="1"/>
  <c r="U1414" i="1" s="1"/>
  <c r="V1413" i="1"/>
  <c r="T1413" i="1"/>
  <c r="U1413" i="1" s="1"/>
  <c r="V1412" i="1"/>
  <c r="T1412" i="1"/>
  <c r="U1412" i="1" s="1"/>
  <c r="V1411" i="1"/>
  <c r="T1411" i="1"/>
  <c r="U1411" i="1" s="1"/>
  <c r="V1410" i="1"/>
  <c r="T1410" i="1"/>
  <c r="U1410" i="1" s="1"/>
  <c r="V1409" i="1"/>
  <c r="T1409" i="1"/>
  <c r="U1409" i="1" s="1"/>
  <c r="V1408" i="1"/>
  <c r="T1408" i="1"/>
  <c r="U1408" i="1" s="1"/>
  <c r="V1407" i="1"/>
  <c r="T1407" i="1"/>
  <c r="U1407" i="1" s="1"/>
  <c r="V1406" i="1"/>
  <c r="T1406" i="1"/>
  <c r="U1406" i="1" s="1"/>
  <c r="V1405" i="1"/>
  <c r="T1405" i="1"/>
  <c r="U1405" i="1" s="1"/>
  <c r="V1404" i="1"/>
  <c r="T1404" i="1"/>
  <c r="U1404" i="1" s="1"/>
  <c r="V1403" i="1"/>
  <c r="T1403" i="1"/>
  <c r="U1403" i="1" s="1"/>
  <c r="V1402" i="1"/>
  <c r="T1402" i="1"/>
  <c r="U1402" i="1" s="1"/>
  <c r="V1401" i="1"/>
  <c r="T1401" i="1"/>
  <c r="U1401" i="1" s="1"/>
  <c r="V1400" i="1"/>
  <c r="T1400" i="1"/>
  <c r="U1400" i="1" s="1"/>
  <c r="V1399" i="1"/>
  <c r="T1399" i="1"/>
  <c r="U1399" i="1" s="1"/>
  <c r="V1398" i="1"/>
  <c r="T1398" i="1"/>
  <c r="U1398" i="1" s="1"/>
  <c r="V1397" i="1"/>
  <c r="T1397" i="1"/>
  <c r="U1397" i="1" s="1"/>
  <c r="V1396" i="1"/>
  <c r="T1396" i="1"/>
  <c r="U1396" i="1" s="1"/>
  <c r="V1395" i="1"/>
  <c r="T1395" i="1"/>
  <c r="U1395" i="1" s="1"/>
  <c r="V1394" i="1"/>
  <c r="T1394" i="1"/>
  <c r="U1394" i="1" s="1"/>
  <c r="V1393" i="1"/>
  <c r="T1393" i="1"/>
  <c r="U1393" i="1" s="1"/>
  <c r="V1392" i="1"/>
  <c r="T1392" i="1"/>
  <c r="U1392" i="1" s="1"/>
  <c r="V1391" i="1"/>
  <c r="T1391" i="1"/>
  <c r="U1391" i="1" s="1"/>
  <c r="V1390" i="1"/>
  <c r="T1390" i="1"/>
  <c r="U1390" i="1" s="1"/>
  <c r="V1389" i="1"/>
  <c r="T1389" i="1"/>
  <c r="U1389" i="1" s="1"/>
  <c r="V1388" i="1"/>
  <c r="T1388" i="1"/>
  <c r="U1388" i="1" s="1"/>
  <c r="V1387" i="1"/>
  <c r="T1387" i="1"/>
  <c r="U1387" i="1" s="1"/>
  <c r="V1386" i="1"/>
  <c r="T1386" i="1"/>
  <c r="U1386" i="1" s="1"/>
  <c r="V1385" i="1"/>
  <c r="T1385" i="1"/>
  <c r="U1385" i="1" s="1"/>
  <c r="V1384" i="1"/>
  <c r="T1384" i="1"/>
  <c r="U1384" i="1" s="1"/>
  <c r="V1383" i="1"/>
  <c r="T1383" i="1"/>
  <c r="U1383" i="1" s="1"/>
  <c r="V1382" i="1"/>
  <c r="T1382" i="1"/>
  <c r="U1382" i="1" s="1"/>
  <c r="V1381" i="1"/>
  <c r="T1381" i="1"/>
  <c r="U1381" i="1" s="1"/>
  <c r="V1380" i="1"/>
  <c r="T1380" i="1"/>
  <c r="U1380" i="1" s="1"/>
  <c r="V1379" i="1"/>
  <c r="T1379" i="1"/>
  <c r="U1379" i="1" s="1"/>
  <c r="V1378" i="1"/>
  <c r="T1378" i="1"/>
  <c r="U1378" i="1" s="1"/>
  <c r="V1377" i="1"/>
  <c r="T1377" i="1"/>
  <c r="U1377" i="1" s="1"/>
  <c r="V1376" i="1"/>
  <c r="T1376" i="1"/>
  <c r="U1376" i="1" s="1"/>
  <c r="V1375" i="1"/>
  <c r="T1375" i="1"/>
  <c r="U1375" i="1" s="1"/>
  <c r="V1374" i="1"/>
  <c r="T1374" i="1"/>
  <c r="U1374" i="1" s="1"/>
  <c r="V1373" i="1"/>
  <c r="T1373" i="1"/>
  <c r="U1373" i="1" s="1"/>
  <c r="V1372" i="1"/>
  <c r="T1372" i="1"/>
  <c r="U1372" i="1" s="1"/>
  <c r="V1371" i="1"/>
  <c r="T1371" i="1"/>
  <c r="U1371" i="1" s="1"/>
  <c r="V1370" i="1"/>
  <c r="T1370" i="1"/>
  <c r="U1370" i="1" s="1"/>
  <c r="V1369" i="1"/>
  <c r="T1369" i="1"/>
  <c r="U1369" i="1" s="1"/>
  <c r="V1368" i="1"/>
  <c r="T1368" i="1"/>
  <c r="U1368" i="1" s="1"/>
  <c r="V1367" i="1"/>
  <c r="T1367" i="1"/>
  <c r="U1367" i="1" s="1"/>
  <c r="V1366" i="1"/>
  <c r="T1366" i="1"/>
  <c r="U1366" i="1" s="1"/>
  <c r="V1365" i="1"/>
  <c r="T1365" i="1"/>
  <c r="U1365" i="1" s="1"/>
  <c r="V1364" i="1"/>
  <c r="T1364" i="1"/>
  <c r="U1364" i="1" s="1"/>
  <c r="V1363" i="1"/>
  <c r="T1363" i="1"/>
  <c r="U1363" i="1" s="1"/>
  <c r="V1362" i="1"/>
  <c r="T1362" i="1"/>
  <c r="U1362" i="1" s="1"/>
  <c r="V1361" i="1"/>
  <c r="T1361" i="1"/>
  <c r="U1361" i="1" s="1"/>
  <c r="V1360" i="1"/>
  <c r="T1360" i="1"/>
  <c r="U1360" i="1" s="1"/>
  <c r="V1359" i="1"/>
  <c r="T1359" i="1"/>
  <c r="U1359" i="1" s="1"/>
  <c r="V1358" i="1"/>
  <c r="T1358" i="1"/>
  <c r="U1358" i="1" s="1"/>
  <c r="V1357" i="1"/>
  <c r="T1357" i="1"/>
  <c r="U1357" i="1" s="1"/>
  <c r="V1356" i="1"/>
  <c r="T1356" i="1"/>
  <c r="U1356" i="1" s="1"/>
  <c r="V1355" i="1"/>
  <c r="T1355" i="1"/>
  <c r="U1355" i="1" s="1"/>
  <c r="V1354" i="1"/>
  <c r="T1354" i="1"/>
  <c r="U1354" i="1" s="1"/>
  <c r="V1353" i="1"/>
  <c r="T1353" i="1"/>
  <c r="U1353" i="1" s="1"/>
  <c r="V1352" i="1"/>
  <c r="T1352" i="1"/>
  <c r="U1352" i="1" s="1"/>
  <c r="V1351" i="1"/>
  <c r="T1351" i="1"/>
  <c r="U1351" i="1" s="1"/>
  <c r="V1350" i="1"/>
  <c r="T1350" i="1"/>
  <c r="U1350" i="1" s="1"/>
  <c r="V1349" i="1"/>
  <c r="T1349" i="1"/>
  <c r="U1349" i="1" s="1"/>
  <c r="V1348" i="1"/>
  <c r="T1348" i="1"/>
  <c r="U1348" i="1" s="1"/>
  <c r="V1347" i="1"/>
  <c r="T1347" i="1"/>
  <c r="U1347" i="1" s="1"/>
  <c r="V1346" i="1"/>
  <c r="T1346" i="1"/>
  <c r="U1346" i="1" s="1"/>
  <c r="V1345" i="1"/>
  <c r="T1345" i="1"/>
  <c r="U1345" i="1" s="1"/>
  <c r="V1344" i="1"/>
  <c r="T1344" i="1"/>
  <c r="U1344" i="1" s="1"/>
  <c r="V1343" i="1"/>
  <c r="T1343" i="1"/>
  <c r="U1343" i="1" s="1"/>
  <c r="V1342" i="1"/>
  <c r="T1342" i="1"/>
  <c r="U1342" i="1" s="1"/>
  <c r="V1341" i="1"/>
  <c r="T1341" i="1"/>
  <c r="U1341" i="1" s="1"/>
  <c r="V1340" i="1"/>
  <c r="T1340" i="1"/>
  <c r="U1340" i="1" s="1"/>
  <c r="V1339" i="1"/>
  <c r="T1339" i="1"/>
  <c r="U1339" i="1" s="1"/>
  <c r="V1338" i="1"/>
  <c r="T1338" i="1"/>
  <c r="U1338" i="1" s="1"/>
  <c r="V1337" i="1"/>
  <c r="T1337" i="1"/>
  <c r="U1337" i="1" s="1"/>
  <c r="V1336" i="1"/>
  <c r="T1336" i="1"/>
  <c r="U1336" i="1" s="1"/>
  <c r="V1335" i="1"/>
  <c r="T1335" i="1"/>
  <c r="U1335" i="1" s="1"/>
  <c r="V1334" i="1"/>
  <c r="T1334" i="1"/>
  <c r="U1334" i="1" s="1"/>
  <c r="V1333" i="1"/>
  <c r="T1333" i="1"/>
  <c r="U1333" i="1" s="1"/>
  <c r="V1332" i="1"/>
  <c r="T1332" i="1"/>
  <c r="U1332" i="1" s="1"/>
  <c r="V1331" i="1"/>
  <c r="T1331" i="1"/>
  <c r="U1331" i="1" s="1"/>
  <c r="V1330" i="1"/>
  <c r="T1330" i="1"/>
  <c r="U1330" i="1" s="1"/>
  <c r="V1329" i="1"/>
  <c r="T1329" i="1"/>
  <c r="U1329" i="1" s="1"/>
  <c r="V1328" i="1"/>
  <c r="T1328" i="1"/>
  <c r="U1328" i="1" s="1"/>
  <c r="V1327" i="1"/>
  <c r="T1327" i="1"/>
  <c r="U1327" i="1" s="1"/>
  <c r="V1326" i="1"/>
  <c r="T1326" i="1"/>
  <c r="U1326" i="1" s="1"/>
  <c r="V1325" i="1"/>
  <c r="T1325" i="1"/>
  <c r="U1325" i="1" s="1"/>
  <c r="V1324" i="1"/>
  <c r="T1324" i="1"/>
  <c r="U1324" i="1" s="1"/>
  <c r="V1323" i="1"/>
  <c r="T1323" i="1"/>
  <c r="U1323" i="1" s="1"/>
  <c r="V1322" i="1"/>
  <c r="T1322" i="1"/>
  <c r="U1322" i="1" s="1"/>
  <c r="V1321" i="1"/>
  <c r="T1321" i="1"/>
  <c r="U1321" i="1" s="1"/>
  <c r="V1320" i="1"/>
  <c r="T1320" i="1"/>
  <c r="U1320" i="1" s="1"/>
  <c r="V1319" i="1"/>
  <c r="T1319" i="1"/>
  <c r="U1319" i="1" s="1"/>
  <c r="V1318" i="1"/>
  <c r="T1318" i="1"/>
  <c r="U1318" i="1" s="1"/>
  <c r="V1317" i="1"/>
  <c r="T1317" i="1"/>
  <c r="U1317" i="1" s="1"/>
  <c r="V1316" i="1"/>
  <c r="T1316" i="1"/>
  <c r="U1316" i="1" s="1"/>
  <c r="V1315" i="1"/>
  <c r="T1315" i="1"/>
  <c r="U1315" i="1" s="1"/>
  <c r="V1314" i="1"/>
  <c r="T1314" i="1"/>
  <c r="U1314" i="1" s="1"/>
  <c r="V1313" i="1"/>
  <c r="T1313" i="1"/>
  <c r="U1313" i="1" s="1"/>
  <c r="V1312" i="1"/>
  <c r="T1312" i="1"/>
  <c r="U1312" i="1" s="1"/>
  <c r="V1311" i="1"/>
  <c r="T1311" i="1"/>
  <c r="U1311" i="1" s="1"/>
  <c r="V1310" i="1"/>
  <c r="T1310" i="1"/>
  <c r="U1310" i="1" s="1"/>
  <c r="V1309" i="1"/>
  <c r="T1309" i="1"/>
  <c r="U1309" i="1" s="1"/>
  <c r="V1308" i="1"/>
  <c r="T1308" i="1"/>
  <c r="U1308" i="1" s="1"/>
  <c r="V1307" i="1"/>
  <c r="T1307" i="1"/>
  <c r="U1307" i="1" s="1"/>
  <c r="V1306" i="1"/>
  <c r="T1306" i="1"/>
  <c r="U1306" i="1" s="1"/>
  <c r="V1305" i="1"/>
  <c r="T1305" i="1"/>
  <c r="U1305" i="1" s="1"/>
  <c r="V1304" i="1"/>
  <c r="T1304" i="1"/>
  <c r="U1304" i="1" s="1"/>
  <c r="V1303" i="1"/>
  <c r="T1303" i="1"/>
  <c r="U1303" i="1" s="1"/>
  <c r="V1302" i="1"/>
  <c r="T1302" i="1"/>
  <c r="U1302" i="1" s="1"/>
  <c r="V1301" i="1"/>
  <c r="T1301" i="1"/>
  <c r="U1301" i="1" s="1"/>
  <c r="V1300" i="1"/>
  <c r="T1300" i="1"/>
  <c r="U1300" i="1" s="1"/>
  <c r="V1299" i="1"/>
  <c r="T1299" i="1"/>
  <c r="U1299" i="1" s="1"/>
  <c r="V1298" i="1"/>
  <c r="T1298" i="1"/>
  <c r="U1298" i="1" s="1"/>
  <c r="V1297" i="1"/>
  <c r="T1297" i="1"/>
  <c r="U1297" i="1" s="1"/>
  <c r="V1296" i="1"/>
  <c r="T1296" i="1"/>
  <c r="U1296" i="1" s="1"/>
  <c r="V1295" i="1"/>
  <c r="T1295" i="1"/>
  <c r="U1295" i="1" s="1"/>
  <c r="V1294" i="1"/>
  <c r="T1294" i="1"/>
  <c r="U1294" i="1" s="1"/>
  <c r="V1293" i="1"/>
  <c r="T1293" i="1"/>
  <c r="U1293" i="1" s="1"/>
  <c r="V1292" i="1"/>
  <c r="T1292" i="1"/>
  <c r="U1292" i="1" s="1"/>
  <c r="V1291" i="1"/>
  <c r="T1291" i="1"/>
  <c r="U1291" i="1" s="1"/>
  <c r="V1290" i="1"/>
  <c r="T1290" i="1"/>
  <c r="U1290" i="1" s="1"/>
  <c r="V1289" i="1"/>
  <c r="T1289" i="1"/>
  <c r="U1289" i="1" s="1"/>
  <c r="V1288" i="1"/>
  <c r="T1288" i="1"/>
  <c r="U1288" i="1" s="1"/>
  <c r="V1287" i="1"/>
  <c r="T1287" i="1"/>
  <c r="U1287" i="1" s="1"/>
  <c r="V1286" i="1"/>
  <c r="T1286" i="1"/>
  <c r="U1286" i="1" s="1"/>
  <c r="V1285" i="1"/>
  <c r="T1285" i="1"/>
  <c r="U1285" i="1" s="1"/>
  <c r="V1284" i="1"/>
  <c r="T1284" i="1"/>
  <c r="U1284" i="1" s="1"/>
  <c r="V1283" i="1"/>
  <c r="T1283" i="1"/>
  <c r="U1283" i="1" s="1"/>
  <c r="V1282" i="1"/>
  <c r="T1282" i="1"/>
  <c r="U1282" i="1" s="1"/>
  <c r="V1281" i="1"/>
  <c r="T1281" i="1"/>
  <c r="U1281" i="1" s="1"/>
  <c r="V1280" i="1"/>
  <c r="T1280" i="1"/>
  <c r="U1280" i="1" s="1"/>
  <c r="V1279" i="1"/>
  <c r="T1279" i="1"/>
  <c r="U1279" i="1" s="1"/>
  <c r="V1278" i="1"/>
  <c r="T1278" i="1"/>
  <c r="U1278" i="1" s="1"/>
  <c r="V1277" i="1"/>
  <c r="T1277" i="1"/>
  <c r="U1277" i="1" s="1"/>
  <c r="V1276" i="1"/>
  <c r="T1276" i="1"/>
  <c r="U1276" i="1" s="1"/>
  <c r="V1275" i="1"/>
  <c r="T1275" i="1"/>
  <c r="U1275" i="1" s="1"/>
  <c r="V1274" i="1"/>
  <c r="T1274" i="1"/>
  <c r="U1274" i="1" s="1"/>
  <c r="V1273" i="1"/>
  <c r="T1273" i="1"/>
  <c r="U1273" i="1" s="1"/>
  <c r="V1272" i="1"/>
  <c r="T1272" i="1"/>
  <c r="U1272" i="1" s="1"/>
  <c r="V1271" i="1"/>
  <c r="T1271" i="1"/>
  <c r="U1271" i="1" s="1"/>
  <c r="V1270" i="1"/>
  <c r="T1270" i="1"/>
  <c r="U1270" i="1" s="1"/>
  <c r="V1269" i="1"/>
  <c r="T1269" i="1"/>
  <c r="U1269" i="1" s="1"/>
  <c r="V1268" i="1"/>
  <c r="T1268" i="1"/>
  <c r="U1268" i="1" s="1"/>
  <c r="V1267" i="1"/>
  <c r="T1267" i="1"/>
  <c r="U1267" i="1" s="1"/>
  <c r="V1266" i="1"/>
  <c r="T1266" i="1"/>
  <c r="U1266" i="1" s="1"/>
  <c r="V1265" i="1"/>
  <c r="T1265" i="1"/>
  <c r="U1265" i="1" s="1"/>
  <c r="V1264" i="1"/>
  <c r="T1264" i="1"/>
  <c r="U1264" i="1" s="1"/>
  <c r="V1263" i="1"/>
  <c r="T1263" i="1"/>
  <c r="U1263" i="1" s="1"/>
  <c r="V1262" i="1"/>
  <c r="T1262" i="1"/>
  <c r="U1262" i="1" s="1"/>
  <c r="V1261" i="1"/>
  <c r="T1261" i="1"/>
  <c r="U1261" i="1" s="1"/>
  <c r="V1260" i="1"/>
  <c r="T1260" i="1"/>
  <c r="U1260" i="1" s="1"/>
  <c r="V1259" i="1"/>
  <c r="T1259" i="1"/>
  <c r="U1259" i="1" s="1"/>
  <c r="V1258" i="1"/>
  <c r="T1258" i="1"/>
  <c r="U1258" i="1" s="1"/>
  <c r="V1257" i="1"/>
  <c r="T1257" i="1"/>
  <c r="U1257" i="1" s="1"/>
  <c r="V1256" i="1"/>
  <c r="T1256" i="1"/>
  <c r="U1256" i="1" s="1"/>
  <c r="V1255" i="1"/>
  <c r="T1255" i="1"/>
  <c r="U1255" i="1" s="1"/>
  <c r="V1254" i="1"/>
  <c r="T1254" i="1"/>
  <c r="U1254" i="1" s="1"/>
  <c r="V1253" i="1"/>
  <c r="T1253" i="1"/>
  <c r="U1253" i="1" s="1"/>
  <c r="V1252" i="1"/>
  <c r="T1252" i="1"/>
  <c r="U1252" i="1" s="1"/>
  <c r="V1251" i="1"/>
  <c r="T1251" i="1"/>
  <c r="U1251" i="1" s="1"/>
  <c r="V1250" i="1"/>
  <c r="T1250" i="1"/>
  <c r="U1250" i="1" s="1"/>
  <c r="V1249" i="1"/>
  <c r="T1249" i="1"/>
  <c r="U1249" i="1" s="1"/>
  <c r="V1248" i="1"/>
  <c r="T1248" i="1"/>
  <c r="U1248" i="1" s="1"/>
  <c r="V1247" i="1"/>
  <c r="T1247" i="1"/>
  <c r="U1247" i="1" s="1"/>
  <c r="V1246" i="1"/>
  <c r="T1246" i="1"/>
  <c r="U1246" i="1" s="1"/>
  <c r="V1245" i="1"/>
  <c r="T1245" i="1"/>
  <c r="U1245" i="1" s="1"/>
  <c r="V1244" i="1"/>
  <c r="T1244" i="1"/>
  <c r="U1244" i="1" s="1"/>
  <c r="V1243" i="1"/>
  <c r="T1243" i="1"/>
  <c r="U1243" i="1" s="1"/>
  <c r="V1242" i="1"/>
  <c r="T1242" i="1"/>
  <c r="U1242" i="1" s="1"/>
  <c r="V1241" i="1"/>
  <c r="T1241" i="1"/>
  <c r="U1241" i="1" s="1"/>
  <c r="V1240" i="1"/>
  <c r="T1240" i="1"/>
  <c r="U1240" i="1" s="1"/>
  <c r="V1239" i="1"/>
  <c r="T1239" i="1"/>
  <c r="U1239" i="1" s="1"/>
  <c r="V1238" i="1"/>
  <c r="T1238" i="1"/>
  <c r="U1238" i="1" s="1"/>
  <c r="V1237" i="1"/>
  <c r="T1237" i="1"/>
  <c r="U1237" i="1" s="1"/>
  <c r="V1236" i="1"/>
  <c r="T1236" i="1"/>
  <c r="U1236" i="1" s="1"/>
  <c r="V1235" i="1"/>
  <c r="T1235" i="1"/>
  <c r="U1235" i="1" s="1"/>
  <c r="V1234" i="1"/>
  <c r="T1234" i="1"/>
  <c r="U1234" i="1" s="1"/>
  <c r="V1233" i="1"/>
  <c r="T1233" i="1"/>
  <c r="U1233" i="1" s="1"/>
  <c r="V1232" i="1"/>
  <c r="T1232" i="1"/>
  <c r="U1232" i="1" s="1"/>
  <c r="V1231" i="1"/>
  <c r="T1231" i="1"/>
  <c r="U1231" i="1" s="1"/>
  <c r="V1230" i="1"/>
  <c r="T1230" i="1"/>
  <c r="U1230" i="1" s="1"/>
  <c r="V1229" i="1"/>
  <c r="T1229" i="1"/>
  <c r="U1229" i="1" s="1"/>
  <c r="V1228" i="1"/>
  <c r="T1228" i="1"/>
  <c r="U1228" i="1" s="1"/>
  <c r="V1227" i="1"/>
  <c r="T1227" i="1"/>
  <c r="U1227" i="1" s="1"/>
  <c r="V1226" i="1"/>
  <c r="T1226" i="1"/>
  <c r="U1226" i="1" s="1"/>
  <c r="V1225" i="1"/>
  <c r="T1225" i="1"/>
  <c r="U1225" i="1" s="1"/>
  <c r="V1224" i="1"/>
  <c r="T1224" i="1"/>
  <c r="U1224" i="1" s="1"/>
  <c r="V1223" i="1"/>
  <c r="T1223" i="1"/>
  <c r="U1223" i="1" s="1"/>
  <c r="V1222" i="1"/>
  <c r="T1222" i="1"/>
  <c r="U1222" i="1" s="1"/>
  <c r="V1221" i="1"/>
  <c r="T1221" i="1"/>
  <c r="U1221" i="1" s="1"/>
  <c r="V1220" i="1"/>
  <c r="T1220" i="1"/>
  <c r="U1220" i="1" s="1"/>
  <c r="V1219" i="1"/>
  <c r="T1219" i="1"/>
  <c r="U1219" i="1" s="1"/>
  <c r="V1218" i="1"/>
  <c r="T1218" i="1"/>
  <c r="U1218" i="1" s="1"/>
  <c r="V1217" i="1"/>
  <c r="T1217" i="1"/>
  <c r="U1217" i="1" s="1"/>
  <c r="V1216" i="1"/>
  <c r="T1216" i="1"/>
  <c r="U1216" i="1" s="1"/>
  <c r="V1215" i="1"/>
  <c r="T1215" i="1"/>
  <c r="U1215" i="1" s="1"/>
  <c r="V1214" i="1"/>
  <c r="T1214" i="1"/>
  <c r="U1214" i="1" s="1"/>
  <c r="V1213" i="1"/>
  <c r="T1213" i="1"/>
  <c r="U1213" i="1" s="1"/>
  <c r="V1212" i="1"/>
  <c r="T1212" i="1"/>
  <c r="U1212" i="1" s="1"/>
  <c r="V1211" i="1"/>
  <c r="T1211" i="1"/>
  <c r="U1211" i="1" s="1"/>
  <c r="V1210" i="1"/>
  <c r="T1210" i="1"/>
  <c r="U1210" i="1" s="1"/>
  <c r="V1209" i="1"/>
  <c r="T1209" i="1"/>
  <c r="U1209" i="1" s="1"/>
  <c r="V1208" i="1"/>
  <c r="T1208" i="1"/>
  <c r="U1208" i="1" s="1"/>
  <c r="V1207" i="1"/>
  <c r="T1207" i="1"/>
  <c r="U1207" i="1" s="1"/>
  <c r="V1206" i="1"/>
  <c r="T1206" i="1"/>
  <c r="U1206" i="1" s="1"/>
  <c r="V1205" i="1"/>
  <c r="T1205" i="1"/>
  <c r="U1205" i="1" s="1"/>
  <c r="V1204" i="1"/>
  <c r="T1204" i="1"/>
  <c r="U1204" i="1" s="1"/>
  <c r="V1203" i="1"/>
  <c r="T1203" i="1"/>
  <c r="U1203" i="1" s="1"/>
  <c r="V1202" i="1"/>
  <c r="T1202" i="1"/>
  <c r="U1202" i="1" s="1"/>
  <c r="V1201" i="1"/>
  <c r="T1201" i="1"/>
  <c r="U1201" i="1" s="1"/>
  <c r="V1200" i="1"/>
  <c r="T1200" i="1"/>
  <c r="U1200" i="1" s="1"/>
  <c r="V1199" i="1"/>
  <c r="T1199" i="1"/>
  <c r="U1199" i="1" s="1"/>
  <c r="V1198" i="1"/>
  <c r="T1198" i="1"/>
  <c r="U1198" i="1" s="1"/>
  <c r="V1197" i="1"/>
  <c r="T1197" i="1"/>
  <c r="U1197" i="1" s="1"/>
  <c r="V1196" i="1"/>
  <c r="T1196" i="1"/>
  <c r="U1196" i="1" s="1"/>
  <c r="V1195" i="1"/>
  <c r="T1195" i="1"/>
  <c r="U1195" i="1" s="1"/>
  <c r="V1194" i="1"/>
  <c r="T1194" i="1"/>
  <c r="U1194" i="1" s="1"/>
  <c r="V1193" i="1"/>
  <c r="T1193" i="1"/>
  <c r="U1193" i="1" s="1"/>
  <c r="V1192" i="1"/>
  <c r="T1192" i="1"/>
  <c r="U1192" i="1" s="1"/>
  <c r="V1191" i="1"/>
  <c r="T1191" i="1"/>
  <c r="U1191" i="1" s="1"/>
  <c r="V1190" i="1"/>
  <c r="T1190" i="1"/>
  <c r="U1190" i="1" s="1"/>
  <c r="V1189" i="1"/>
  <c r="T1189" i="1"/>
  <c r="U1189" i="1" s="1"/>
  <c r="V1188" i="1"/>
  <c r="T1188" i="1"/>
  <c r="U1188" i="1" s="1"/>
  <c r="V1187" i="1"/>
  <c r="T1187" i="1"/>
  <c r="U1187" i="1" s="1"/>
  <c r="V1186" i="1"/>
  <c r="T1186" i="1"/>
  <c r="U1186" i="1" s="1"/>
  <c r="V1185" i="1"/>
  <c r="T1185" i="1"/>
  <c r="U1185" i="1" s="1"/>
  <c r="V1184" i="1"/>
  <c r="T1184" i="1"/>
  <c r="U1184" i="1" s="1"/>
  <c r="V1183" i="1"/>
  <c r="T1183" i="1"/>
  <c r="U1183" i="1" s="1"/>
  <c r="V1182" i="1"/>
  <c r="T1182" i="1"/>
  <c r="U1182" i="1" s="1"/>
  <c r="V1181" i="1"/>
  <c r="T1181" i="1"/>
  <c r="U1181" i="1" s="1"/>
  <c r="V1180" i="1"/>
  <c r="T1180" i="1"/>
  <c r="U1180" i="1" s="1"/>
  <c r="V1179" i="1"/>
  <c r="T1179" i="1"/>
  <c r="U1179" i="1" s="1"/>
  <c r="V1178" i="1"/>
  <c r="T1178" i="1"/>
  <c r="U1178" i="1" s="1"/>
  <c r="V1177" i="1"/>
  <c r="T1177" i="1"/>
  <c r="U1177" i="1" s="1"/>
  <c r="V1176" i="1"/>
  <c r="T1176" i="1"/>
  <c r="U1176" i="1" s="1"/>
  <c r="V1175" i="1"/>
  <c r="T1175" i="1"/>
  <c r="U1175" i="1" s="1"/>
  <c r="V1174" i="1"/>
  <c r="T1174" i="1"/>
  <c r="U1174" i="1" s="1"/>
  <c r="V1173" i="1"/>
  <c r="T1173" i="1"/>
  <c r="U1173" i="1" s="1"/>
  <c r="V1172" i="1"/>
  <c r="T1172" i="1"/>
  <c r="U1172" i="1" s="1"/>
  <c r="V1171" i="1"/>
  <c r="T1171" i="1"/>
  <c r="U1171" i="1" s="1"/>
  <c r="V1170" i="1"/>
  <c r="T1170" i="1"/>
  <c r="U1170" i="1" s="1"/>
  <c r="V1169" i="1"/>
  <c r="T1169" i="1"/>
  <c r="U1169" i="1" s="1"/>
  <c r="V1168" i="1"/>
  <c r="T1168" i="1"/>
  <c r="U1168" i="1" s="1"/>
  <c r="V1167" i="1"/>
  <c r="T1167" i="1"/>
  <c r="U1167" i="1" s="1"/>
  <c r="V1166" i="1"/>
  <c r="T1166" i="1"/>
  <c r="U1166" i="1" s="1"/>
  <c r="V1165" i="1"/>
  <c r="T1165" i="1"/>
  <c r="U1165" i="1" s="1"/>
  <c r="V1164" i="1"/>
  <c r="T1164" i="1"/>
  <c r="U1164" i="1" s="1"/>
  <c r="V1163" i="1"/>
  <c r="T1163" i="1"/>
  <c r="U1163" i="1" s="1"/>
  <c r="V1162" i="1"/>
  <c r="T1162" i="1"/>
  <c r="U1162" i="1" s="1"/>
  <c r="V1161" i="1"/>
  <c r="T1161" i="1"/>
  <c r="U1161" i="1" s="1"/>
  <c r="V1160" i="1"/>
  <c r="T1160" i="1"/>
  <c r="U1160" i="1" s="1"/>
  <c r="V1159" i="1"/>
  <c r="T1159" i="1"/>
  <c r="U1159" i="1" s="1"/>
  <c r="V1158" i="1"/>
  <c r="T1158" i="1"/>
  <c r="U1158" i="1" s="1"/>
  <c r="V1157" i="1"/>
  <c r="T1157" i="1"/>
  <c r="U1157" i="1" s="1"/>
  <c r="V1156" i="1"/>
  <c r="T1156" i="1"/>
  <c r="U1156" i="1" s="1"/>
  <c r="V1155" i="1"/>
  <c r="T1155" i="1"/>
  <c r="U1155" i="1" s="1"/>
  <c r="V1154" i="1"/>
  <c r="T1154" i="1"/>
  <c r="U1154" i="1" s="1"/>
  <c r="V1153" i="1"/>
  <c r="T1153" i="1"/>
  <c r="U1153" i="1" s="1"/>
  <c r="V1152" i="1"/>
  <c r="T1152" i="1"/>
  <c r="U1152" i="1" s="1"/>
  <c r="V1151" i="1"/>
  <c r="T1151" i="1"/>
  <c r="U1151" i="1" s="1"/>
  <c r="V1150" i="1"/>
  <c r="T1150" i="1"/>
  <c r="U1150" i="1" s="1"/>
  <c r="V1149" i="1"/>
  <c r="T1149" i="1"/>
  <c r="U1149" i="1" s="1"/>
  <c r="V1148" i="1"/>
  <c r="T1148" i="1"/>
  <c r="U1148" i="1" s="1"/>
  <c r="V1147" i="1"/>
  <c r="T1147" i="1"/>
  <c r="U1147" i="1" s="1"/>
  <c r="V1146" i="1"/>
  <c r="T1146" i="1"/>
  <c r="U1146" i="1" s="1"/>
  <c r="V1145" i="1"/>
  <c r="T1145" i="1"/>
  <c r="U1145" i="1" s="1"/>
  <c r="V1144" i="1"/>
  <c r="T1144" i="1"/>
  <c r="U1144" i="1" s="1"/>
  <c r="V1143" i="1"/>
  <c r="T1143" i="1"/>
  <c r="U1143" i="1" s="1"/>
  <c r="V1142" i="1"/>
  <c r="T1142" i="1"/>
  <c r="U1142" i="1" s="1"/>
  <c r="V1141" i="1"/>
  <c r="T1141" i="1"/>
  <c r="U1141" i="1" s="1"/>
  <c r="V1140" i="1"/>
  <c r="T1140" i="1"/>
  <c r="U1140" i="1" s="1"/>
  <c r="V1139" i="1"/>
  <c r="T1139" i="1"/>
  <c r="U1139" i="1" s="1"/>
  <c r="V1138" i="1"/>
  <c r="T1138" i="1"/>
  <c r="U1138" i="1" s="1"/>
  <c r="V1137" i="1"/>
  <c r="T1137" i="1"/>
  <c r="U1137" i="1" s="1"/>
  <c r="V1136" i="1"/>
  <c r="T1136" i="1"/>
  <c r="U1136" i="1" s="1"/>
  <c r="V1135" i="1"/>
  <c r="T1135" i="1"/>
  <c r="U1135" i="1" s="1"/>
  <c r="V1134" i="1"/>
  <c r="T1134" i="1"/>
  <c r="U1134" i="1" s="1"/>
  <c r="V1133" i="1"/>
  <c r="T1133" i="1"/>
  <c r="U1133" i="1" s="1"/>
  <c r="V1132" i="1"/>
  <c r="T1132" i="1"/>
  <c r="U1132" i="1" s="1"/>
  <c r="V1131" i="1"/>
  <c r="T1131" i="1"/>
  <c r="U1131" i="1" s="1"/>
  <c r="V1130" i="1"/>
  <c r="T1130" i="1"/>
  <c r="U1130" i="1" s="1"/>
  <c r="V1129" i="1"/>
  <c r="T1129" i="1"/>
  <c r="U1129" i="1" s="1"/>
  <c r="V1128" i="1"/>
  <c r="T1128" i="1"/>
  <c r="U1128" i="1" s="1"/>
  <c r="V1127" i="1"/>
  <c r="T1127" i="1"/>
  <c r="U1127" i="1" s="1"/>
  <c r="V1126" i="1"/>
  <c r="T1126" i="1"/>
  <c r="U1126" i="1" s="1"/>
  <c r="V1125" i="1"/>
  <c r="T1125" i="1"/>
  <c r="U1125" i="1" s="1"/>
  <c r="V1124" i="1"/>
  <c r="T1124" i="1"/>
  <c r="U1124" i="1" s="1"/>
  <c r="V1123" i="1"/>
  <c r="T1123" i="1"/>
  <c r="U1123" i="1" s="1"/>
  <c r="V1122" i="1"/>
  <c r="T1122" i="1"/>
  <c r="U1122" i="1" s="1"/>
  <c r="V1121" i="1"/>
  <c r="T1121" i="1"/>
  <c r="U1121" i="1" s="1"/>
  <c r="V1120" i="1"/>
  <c r="T1120" i="1"/>
  <c r="U1120" i="1" s="1"/>
  <c r="V1119" i="1"/>
  <c r="T1119" i="1"/>
  <c r="U1119" i="1" s="1"/>
  <c r="V1118" i="1"/>
  <c r="T1118" i="1"/>
  <c r="U1118" i="1" s="1"/>
  <c r="V1117" i="1"/>
  <c r="T1117" i="1"/>
  <c r="U1117" i="1" s="1"/>
  <c r="V1116" i="1"/>
  <c r="T1116" i="1"/>
  <c r="U1116" i="1" s="1"/>
  <c r="V1115" i="1"/>
  <c r="T1115" i="1"/>
  <c r="U1115" i="1" s="1"/>
  <c r="V1114" i="1"/>
  <c r="T1114" i="1"/>
  <c r="U1114" i="1" s="1"/>
  <c r="V1113" i="1"/>
  <c r="T1113" i="1"/>
  <c r="U1113" i="1" s="1"/>
  <c r="V1112" i="1"/>
  <c r="T1112" i="1"/>
  <c r="U1112" i="1" s="1"/>
  <c r="V1111" i="1"/>
  <c r="T1111" i="1"/>
  <c r="U1111" i="1" s="1"/>
  <c r="V1110" i="1"/>
  <c r="T1110" i="1"/>
  <c r="U1110" i="1" s="1"/>
  <c r="V1109" i="1"/>
  <c r="T1109" i="1"/>
  <c r="U1109" i="1" s="1"/>
  <c r="V1108" i="1"/>
  <c r="T1108" i="1"/>
  <c r="U1108" i="1" s="1"/>
  <c r="V1107" i="1"/>
  <c r="T1107" i="1"/>
  <c r="U1107" i="1" s="1"/>
  <c r="V1106" i="1"/>
  <c r="T1106" i="1"/>
  <c r="U1106" i="1" s="1"/>
  <c r="V1105" i="1"/>
  <c r="T1105" i="1"/>
  <c r="U1105" i="1" s="1"/>
  <c r="V1104" i="1"/>
  <c r="T1104" i="1"/>
  <c r="U1104" i="1" s="1"/>
  <c r="V1103" i="1"/>
  <c r="T1103" i="1"/>
  <c r="U1103" i="1" s="1"/>
  <c r="V1102" i="1"/>
  <c r="T1102" i="1"/>
  <c r="U1102" i="1" s="1"/>
  <c r="V1101" i="1"/>
  <c r="T1101" i="1"/>
  <c r="U1101" i="1" s="1"/>
  <c r="V1100" i="1"/>
  <c r="T1100" i="1"/>
  <c r="U1100" i="1" s="1"/>
  <c r="V1099" i="1"/>
  <c r="T1099" i="1"/>
  <c r="U1099" i="1" s="1"/>
  <c r="V1098" i="1"/>
  <c r="T1098" i="1"/>
  <c r="U1098" i="1" s="1"/>
  <c r="V1097" i="1"/>
  <c r="T1097" i="1"/>
  <c r="U1097" i="1" s="1"/>
  <c r="V1096" i="1"/>
  <c r="T1096" i="1"/>
  <c r="U1096" i="1" s="1"/>
  <c r="V1095" i="1"/>
  <c r="T1095" i="1"/>
  <c r="U1095" i="1" s="1"/>
  <c r="V1094" i="1"/>
  <c r="T1094" i="1"/>
  <c r="U1094" i="1" s="1"/>
  <c r="V1093" i="1"/>
  <c r="T1093" i="1"/>
  <c r="U1093" i="1" s="1"/>
  <c r="V1092" i="1"/>
  <c r="T1092" i="1"/>
  <c r="U1092" i="1" s="1"/>
  <c r="V1091" i="1"/>
  <c r="T1091" i="1"/>
  <c r="U1091" i="1" s="1"/>
  <c r="V1090" i="1"/>
  <c r="T1090" i="1"/>
  <c r="U1090" i="1" s="1"/>
  <c r="V1089" i="1"/>
  <c r="T1089" i="1"/>
  <c r="U1089" i="1" s="1"/>
  <c r="V1088" i="1"/>
  <c r="T1088" i="1"/>
  <c r="U1088" i="1" s="1"/>
  <c r="V1087" i="1"/>
  <c r="T1087" i="1"/>
  <c r="U1087" i="1" s="1"/>
  <c r="V1086" i="1"/>
  <c r="T1086" i="1"/>
  <c r="U1086" i="1" s="1"/>
  <c r="V1085" i="1"/>
  <c r="T1085" i="1"/>
  <c r="U1085" i="1" s="1"/>
  <c r="V1084" i="1"/>
  <c r="T1084" i="1"/>
  <c r="U1084" i="1" s="1"/>
  <c r="V1083" i="1"/>
  <c r="T1083" i="1"/>
  <c r="U1083" i="1" s="1"/>
  <c r="V1082" i="1"/>
  <c r="T1082" i="1"/>
  <c r="U1082" i="1" s="1"/>
  <c r="V1081" i="1"/>
  <c r="T1081" i="1"/>
  <c r="U1081" i="1" s="1"/>
  <c r="V1080" i="1"/>
  <c r="T1080" i="1"/>
  <c r="U1080" i="1" s="1"/>
  <c r="V1079" i="1"/>
  <c r="T1079" i="1"/>
  <c r="U1079" i="1" s="1"/>
  <c r="V1078" i="1"/>
  <c r="T1078" i="1"/>
  <c r="U1078" i="1" s="1"/>
  <c r="V1077" i="1"/>
  <c r="T1077" i="1"/>
  <c r="U1077" i="1" s="1"/>
  <c r="V1076" i="1"/>
  <c r="T1076" i="1"/>
  <c r="U1076" i="1" s="1"/>
  <c r="V1075" i="1"/>
  <c r="T1075" i="1"/>
  <c r="U1075" i="1" s="1"/>
  <c r="V1074" i="1"/>
  <c r="T1074" i="1"/>
  <c r="U1074" i="1" s="1"/>
  <c r="V1073" i="1"/>
  <c r="T1073" i="1"/>
  <c r="U1073" i="1" s="1"/>
  <c r="V1072" i="1"/>
  <c r="T1072" i="1"/>
  <c r="U1072" i="1" s="1"/>
  <c r="V1071" i="1"/>
  <c r="T1071" i="1"/>
  <c r="U1071" i="1" s="1"/>
  <c r="V1070" i="1"/>
  <c r="T1070" i="1"/>
  <c r="U1070" i="1" s="1"/>
  <c r="V1069" i="1"/>
  <c r="T1069" i="1"/>
  <c r="U1069" i="1" s="1"/>
  <c r="V1068" i="1"/>
  <c r="T1068" i="1"/>
  <c r="U1068" i="1" s="1"/>
  <c r="V1067" i="1"/>
  <c r="T1067" i="1"/>
  <c r="U1067" i="1" s="1"/>
  <c r="V1066" i="1"/>
  <c r="T1066" i="1"/>
  <c r="U1066" i="1" s="1"/>
  <c r="V1065" i="1"/>
  <c r="T1065" i="1"/>
  <c r="U1065" i="1" s="1"/>
  <c r="V1064" i="1"/>
  <c r="T1064" i="1"/>
  <c r="U1064" i="1" s="1"/>
  <c r="V1063" i="1"/>
  <c r="T1063" i="1"/>
  <c r="U1063" i="1" s="1"/>
  <c r="V1062" i="1"/>
  <c r="T1062" i="1"/>
  <c r="U1062" i="1" s="1"/>
  <c r="V1061" i="1"/>
  <c r="T1061" i="1"/>
  <c r="U1061" i="1" s="1"/>
  <c r="V1060" i="1"/>
  <c r="T1060" i="1"/>
  <c r="U1060" i="1" s="1"/>
  <c r="V1059" i="1"/>
  <c r="T1059" i="1"/>
  <c r="U1059" i="1" s="1"/>
  <c r="V1058" i="1"/>
  <c r="T1058" i="1"/>
  <c r="U1058" i="1" s="1"/>
  <c r="V1057" i="1"/>
  <c r="T1057" i="1"/>
  <c r="U1057" i="1" s="1"/>
  <c r="V1056" i="1"/>
  <c r="T1056" i="1"/>
  <c r="U1056" i="1" s="1"/>
  <c r="V1055" i="1"/>
  <c r="T1055" i="1"/>
  <c r="U1055" i="1" s="1"/>
  <c r="V1054" i="1"/>
  <c r="T1054" i="1"/>
  <c r="U1054" i="1" s="1"/>
  <c r="V1053" i="1"/>
  <c r="T1053" i="1"/>
  <c r="U1053" i="1" s="1"/>
  <c r="V1052" i="1"/>
  <c r="T1052" i="1"/>
  <c r="U1052" i="1" s="1"/>
  <c r="V1051" i="1"/>
  <c r="T1051" i="1"/>
  <c r="U1051" i="1" s="1"/>
  <c r="V1050" i="1"/>
  <c r="T1050" i="1"/>
  <c r="U1050" i="1" s="1"/>
  <c r="V1049" i="1"/>
  <c r="T1049" i="1"/>
  <c r="U1049" i="1" s="1"/>
  <c r="V1048" i="1"/>
  <c r="T1048" i="1"/>
  <c r="U1048" i="1" s="1"/>
  <c r="V1047" i="1"/>
  <c r="T1047" i="1"/>
  <c r="U1047" i="1" s="1"/>
  <c r="V1046" i="1"/>
  <c r="T1046" i="1"/>
  <c r="U1046" i="1" s="1"/>
  <c r="V1045" i="1"/>
  <c r="T1045" i="1"/>
  <c r="U1045" i="1" s="1"/>
  <c r="V1044" i="1"/>
  <c r="T1044" i="1"/>
  <c r="U1044" i="1" s="1"/>
  <c r="V1043" i="1"/>
  <c r="T1043" i="1"/>
  <c r="U1043" i="1" s="1"/>
  <c r="V1042" i="1"/>
  <c r="T1042" i="1"/>
  <c r="U1042" i="1" s="1"/>
  <c r="V1041" i="1"/>
  <c r="T1041" i="1"/>
  <c r="U1041" i="1" s="1"/>
  <c r="V1040" i="1"/>
  <c r="T1040" i="1"/>
  <c r="U1040" i="1" s="1"/>
  <c r="V1039" i="1"/>
  <c r="T1039" i="1"/>
  <c r="U1039" i="1" s="1"/>
  <c r="V1038" i="1"/>
  <c r="T1038" i="1"/>
  <c r="U1038" i="1" s="1"/>
  <c r="V1037" i="1"/>
  <c r="T1037" i="1"/>
  <c r="U1037" i="1" s="1"/>
  <c r="V1036" i="1"/>
  <c r="T1036" i="1"/>
  <c r="U1036" i="1" s="1"/>
  <c r="V1035" i="1"/>
  <c r="T1035" i="1"/>
  <c r="U1035" i="1" s="1"/>
  <c r="V1034" i="1"/>
  <c r="T1034" i="1"/>
  <c r="U1034" i="1" s="1"/>
  <c r="V1033" i="1"/>
  <c r="T1033" i="1"/>
  <c r="U1033" i="1" s="1"/>
  <c r="V1032" i="1"/>
  <c r="T1032" i="1"/>
  <c r="U1032" i="1" s="1"/>
  <c r="V1031" i="1"/>
  <c r="T1031" i="1"/>
  <c r="U1031" i="1" s="1"/>
  <c r="V1030" i="1"/>
  <c r="T1030" i="1"/>
  <c r="U1030" i="1" s="1"/>
  <c r="V1029" i="1"/>
  <c r="T1029" i="1"/>
  <c r="U1029" i="1" s="1"/>
  <c r="V1028" i="1"/>
  <c r="T1028" i="1"/>
  <c r="U1028" i="1" s="1"/>
  <c r="V1027" i="1"/>
  <c r="T1027" i="1"/>
  <c r="U1027" i="1" s="1"/>
  <c r="V1026" i="1"/>
  <c r="T1026" i="1"/>
  <c r="U1026" i="1" s="1"/>
  <c r="V1025" i="1"/>
  <c r="T1025" i="1"/>
  <c r="U1025" i="1" s="1"/>
  <c r="V1024" i="1"/>
  <c r="T1024" i="1"/>
  <c r="U1024" i="1" s="1"/>
  <c r="V1023" i="1"/>
  <c r="T1023" i="1"/>
  <c r="U1023" i="1" s="1"/>
  <c r="V1022" i="1"/>
  <c r="T1022" i="1"/>
  <c r="U1022" i="1" s="1"/>
  <c r="V1021" i="1"/>
  <c r="T1021" i="1"/>
  <c r="U1021" i="1" s="1"/>
  <c r="V1020" i="1"/>
  <c r="T1020" i="1"/>
  <c r="U1020" i="1" s="1"/>
  <c r="V1019" i="1"/>
  <c r="T1019" i="1"/>
  <c r="U1019" i="1" s="1"/>
  <c r="V1018" i="1"/>
  <c r="T1018" i="1"/>
  <c r="U1018" i="1" s="1"/>
  <c r="V1017" i="1"/>
  <c r="T1017" i="1"/>
  <c r="U1017" i="1" s="1"/>
  <c r="V1016" i="1"/>
  <c r="T1016" i="1"/>
  <c r="U1016" i="1" s="1"/>
  <c r="V1015" i="1"/>
  <c r="T1015" i="1"/>
  <c r="U1015" i="1" s="1"/>
  <c r="V1014" i="1"/>
  <c r="T1014" i="1"/>
  <c r="U1014" i="1" s="1"/>
  <c r="V1013" i="1"/>
  <c r="T1013" i="1"/>
  <c r="U1013" i="1" s="1"/>
  <c r="V1012" i="1"/>
  <c r="T1012" i="1"/>
  <c r="U1012" i="1" s="1"/>
  <c r="V1011" i="1"/>
  <c r="T1011" i="1"/>
  <c r="U1011" i="1" s="1"/>
  <c r="V1010" i="1"/>
  <c r="T1010" i="1"/>
  <c r="U1010" i="1" s="1"/>
  <c r="V1009" i="1"/>
  <c r="T1009" i="1"/>
  <c r="U1009" i="1" s="1"/>
  <c r="V1008" i="1"/>
  <c r="T1008" i="1"/>
  <c r="U1008" i="1" s="1"/>
  <c r="V1007" i="1"/>
  <c r="T1007" i="1"/>
  <c r="U1007" i="1" s="1"/>
  <c r="V1006" i="1"/>
  <c r="T1006" i="1"/>
  <c r="U1006" i="1" s="1"/>
  <c r="V1005" i="1"/>
  <c r="T1005" i="1"/>
  <c r="U1005" i="1" s="1"/>
  <c r="V1004" i="1"/>
  <c r="T1004" i="1"/>
  <c r="U1004" i="1" s="1"/>
  <c r="V1003" i="1"/>
  <c r="T1003" i="1"/>
  <c r="U1003" i="1" s="1"/>
  <c r="V1002" i="1"/>
  <c r="T1002" i="1"/>
  <c r="U1002" i="1" s="1"/>
  <c r="V1001" i="1"/>
  <c r="T1001" i="1"/>
  <c r="U1001" i="1" s="1"/>
  <c r="V1000" i="1"/>
  <c r="T1000" i="1"/>
  <c r="U1000" i="1" s="1"/>
  <c r="V999" i="1"/>
  <c r="T999" i="1"/>
  <c r="U999" i="1" s="1"/>
  <c r="V998" i="1"/>
  <c r="T998" i="1"/>
  <c r="U998" i="1" s="1"/>
  <c r="V997" i="1"/>
  <c r="T997" i="1"/>
  <c r="U997" i="1" s="1"/>
  <c r="V996" i="1"/>
  <c r="T996" i="1"/>
  <c r="U996" i="1" s="1"/>
  <c r="V995" i="1"/>
  <c r="T995" i="1"/>
  <c r="U995" i="1" s="1"/>
  <c r="V994" i="1"/>
  <c r="T994" i="1"/>
  <c r="U994" i="1" s="1"/>
  <c r="V993" i="1"/>
  <c r="T993" i="1"/>
  <c r="U993" i="1" s="1"/>
  <c r="V992" i="1"/>
  <c r="T992" i="1"/>
  <c r="U992" i="1" s="1"/>
  <c r="V991" i="1"/>
  <c r="T991" i="1"/>
  <c r="U991" i="1" s="1"/>
  <c r="V990" i="1"/>
  <c r="T990" i="1"/>
  <c r="U990" i="1" s="1"/>
  <c r="V989" i="1"/>
  <c r="T989" i="1"/>
  <c r="U989" i="1" s="1"/>
  <c r="V988" i="1"/>
  <c r="T988" i="1"/>
  <c r="U988" i="1" s="1"/>
  <c r="V987" i="1"/>
  <c r="T987" i="1"/>
  <c r="U987" i="1" s="1"/>
  <c r="V986" i="1"/>
  <c r="T986" i="1"/>
  <c r="U986" i="1" s="1"/>
  <c r="V985" i="1"/>
  <c r="T985" i="1"/>
  <c r="U985" i="1" s="1"/>
  <c r="V984" i="1"/>
  <c r="T984" i="1"/>
  <c r="U984" i="1" s="1"/>
  <c r="V983" i="1"/>
  <c r="T983" i="1"/>
  <c r="U983" i="1" s="1"/>
  <c r="V982" i="1"/>
  <c r="T982" i="1"/>
  <c r="U982" i="1" s="1"/>
  <c r="V981" i="1"/>
  <c r="T981" i="1"/>
  <c r="U981" i="1" s="1"/>
  <c r="V980" i="1"/>
  <c r="T980" i="1"/>
  <c r="U980" i="1" s="1"/>
  <c r="V979" i="1"/>
  <c r="T979" i="1"/>
  <c r="U979" i="1" s="1"/>
  <c r="V978" i="1"/>
  <c r="T978" i="1"/>
  <c r="U978" i="1" s="1"/>
  <c r="V977" i="1"/>
  <c r="T977" i="1"/>
  <c r="U977" i="1" s="1"/>
  <c r="V976" i="1"/>
  <c r="T976" i="1"/>
  <c r="U976" i="1" s="1"/>
  <c r="V975" i="1"/>
  <c r="T975" i="1"/>
  <c r="U975" i="1" s="1"/>
  <c r="V974" i="1"/>
  <c r="T974" i="1"/>
  <c r="U974" i="1" s="1"/>
  <c r="V973" i="1"/>
  <c r="T973" i="1"/>
  <c r="U973" i="1" s="1"/>
  <c r="V972" i="1"/>
  <c r="T972" i="1"/>
  <c r="U972" i="1" s="1"/>
  <c r="V971" i="1"/>
  <c r="T971" i="1"/>
  <c r="U971" i="1" s="1"/>
  <c r="V970" i="1"/>
  <c r="T970" i="1"/>
  <c r="U970" i="1" s="1"/>
  <c r="V969" i="1"/>
  <c r="T969" i="1"/>
  <c r="U969" i="1" s="1"/>
  <c r="V968" i="1"/>
  <c r="T968" i="1"/>
  <c r="U968" i="1" s="1"/>
  <c r="V967" i="1"/>
  <c r="T967" i="1"/>
  <c r="U967" i="1" s="1"/>
  <c r="V966" i="1"/>
  <c r="T966" i="1"/>
  <c r="U966" i="1" s="1"/>
  <c r="V965" i="1"/>
  <c r="T965" i="1"/>
  <c r="U965" i="1" s="1"/>
  <c r="V964" i="1"/>
  <c r="T964" i="1"/>
  <c r="U964" i="1" s="1"/>
  <c r="V963" i="1"/>
  <c r="T963" i="1"/>
  <c r="U963" i="1" s="1"/>
  <c r="V962" i="1"/>
  <c r="T962" i="1"/>
  <c r="U962" i="1" s="1"/>
  <c r="V961" i="1"/>
  <c r="T961" i="1"/>
  <c r="U961" i="1" s="1"/>
  <c r="V960" i="1"/>
  <c r="T960" i="1"/>
  <c r="U960" i="1" s="1"/>
  <c r="V959" i="1"/>
  <c r="T959" i="1"/>
  <c r="U959" i="1" s="1"/>
  <c r="V958" i="1"/>
  <c r="T958" i="1"/>
  <c r="U958" i="1" s="1"/>
  <c r="V957" i="1"/>
  <c r="T957" i="1"/>
  <c r="U957" i="1" s="1"/>
  <c r="V956" i="1"/>
  <c r="T956" i="1"/>
  <c r="U956" i="1" s="1"/>
  <c r="V955" i="1"/>
  <c r="T955" i="1"/>
  <c r="U955" i="1" s="1"/>
  <c r="V954" i="1"/>
  <c r="T954" i="1"/>
  <c r="U954" i="1" s="1"/>
  <c r="V953" i="1"/>
  <c r="T953" i="1"/>
  <c r="U953" i="1" s="1"/>
  <c r="V952" i="1"/>
  <c r="T952" i="1"/>
  <c r="U952" i="1" s="1"/>
  <c r="V951" i="1"/>
  <c r="T951" i="1"/>
  <c r="U951" i="1" s="1"/>
  <c r="V950" i="1"/>
  <c r="T950" i="1"/>
  <c r="U950" i="1" s="1"/>
  <c r="V949" i="1"/>
  <c r="T949" i="1"/>
  <c r="U949" i="1" s="1"/>
  <c r="V948" i="1"/>
  <c r="T948" i="1"/>
  <c r="U948" i="1" s="1"/>
  <c r="V947" i="1"/>
  <c r="T947" i="1"/>
  <c r="U947" i="1" s="1"/>
  <c r="V946" i="1"/>
  <c r="T946" i="1"/>
  <c r="U946" i="1" s="1"/>
  <c r="V945" i="1"/>
  <c r="T945" i="1"/>
  <c r="U945" i="1" s="1"/>
  <c r="V944" i="1"/>
  <c r="T944" i="1"/>
  <c r="U944" i="1" s="1"/>
  <c r="V943" i="1"/>
  <c r="T943" i="1"/>
  <c r="U943" i="1" s="1"/>
  <c r="V942" i="1"/>
  <c r="T942" i="1"/>
  <c r="U942" i="1" s="1"/>
  <c r="V941" i="1"/>
  <c r="T941" i="1"/>
  <c r="U941" i="1" s="1"/>
  <c r="V940" i="1"/>
  <c r="T940" i="1"/>
  <c r="U940" i="1" s="1"/>
  <c r="V939" i="1"/>
  <c r="T939" i="1"/>
  <c r="U939" i="1" s="1"/>
  <c r="V938" i="1"/>
  <c r="T938" i="1"/>
  <c r="U938" i="1" s="1"/>
  <c r="V937" i="1"/>
  <c r="T937" i="1"/>
  <c r="U937" i="1" s="1"/>
  <c r="V936" i="1"/>
  <c r="T936" i="1"/>
  <c r="U936" i="1" s="1"/>
  <c r="V935" i="1"/>
  <c r="T935" i="1"/>
  <c r="U935" i="1" s="1"/>
  <c r="V934" i="1"/>
  <c r="T934" i="1"/>
  <c r="U934" i="1" s="1"/>
  <c r="V933" i="1"/>
  <c r="T933" i="1"/>
  <c r="U933" i="1" s="1"/>
  <c r="V932" i="1"/>
  <c r="T932" i="1"/>
  <c r="U932" i="1" s="1"/>
  <c r="V931" i="1"/>
  <c r="T931" i="1"/>
  <c r="U931" i="1" s="1"/>
  <c r="V930" i="1"/>
  <c r="T930" i="1"/>
  <c r="U930" i="1" s="1"/>
  <c r="V929" i="1"/>
  <c r="T929" i="1"/>
  <c r="U929" i="1" s="1"/>
  <c r="V928" i="1"/>
  <c r="T928" i="1"/>
  <c r="U928" i="1" s="1"/>
  <c r="V927" i="1"/>
  <c r="T927" i="1"/>
  <c r="U927" i="1" s="1"/>
  <c r="V926" i="1"/>
  <c r="T926" i="1"/>
  <c r="U926" i="1" s="1"/>
  <c r="V925" i="1"/>
  <c r="T925" i="1"/>
  <c r="U925" i="1" s="1"/>
  <c r="V924" i="1"/>
  <c r="T924" i="1"/>
  <c r="U924" i="1" s="1"/>
  <c r="V923" i="1"/>
  <c r="T923" i="1"/>
  <c r="U923" i="1" s="1"/>
  <c r="V922" i="1"/>
  <c r="T922" i="1"/>
  <c r="U922" i="1" s="1"/>
  <c r="V921" i="1"/>
  <c r="T921" i="1"/>
  <c r="U921" i="1" s="1"/>
  <c r="V920" i="1"/>
  <c r="T920" i="1"/>
  <c r="U920" i="1" s="1"/>
  <c r="V919" i="1"/>
  <c r="T919" i="1"/>
  <c r="U919" i="1" s="1"/>
  <c r="V918" i="1"/>
  <c r="T918" i="1"/>
  <c r="U918" i="1" s="1"/>
  <c r="V917" i="1"/>
  <c r="T917" i="1"/>
  <c r="U917" i="1" s="1"/>
  <c r="V916" i="1"/>
  <c r="T916" i="1"/>
  <c r="U916" i="1" s="1"/>
  <c r="V915" i="1"/>
  <c r="T915" i="1"/>
  <c r="U915" i="1" s="1"/>
  <c r="V914" i="1"/>
  <c r="T914" i="1"/>
  <c r="U914" i="1" s="1"/>
  <c r="V913" i="1"/>
  <c r="T913" i="1"/>
  <c r="U913" i="1" s="1"/>
  <c r="V912" i="1"/>
  <c r="T912" i="1"/>
  <c r="U912" i="1" s="1"/>
  <c r="V911" i="1"/>
  <c r="T911" i="1"/>
  <c r="U911" i="1" s="1"/>
  <c r="V910" i="1"/>
  <c r="T910" i="1"/>
  <c r="U910" i="1" s="1"/>
  <c r="V909" i="1"/>
  <c r="T909" i="1"/>
  <c r="U909" i="1" s="1"/>
  <c r="V908" i="1"/>
  <c r="T908" i="1"/>
  <c r="U908" i="1" s="1"/>
  <c r="V907" i="1"/>
  <c r="T907" i="1"/>
  <c r="U907" i="1" s="1"/>
  <c r="V906" i="1"/>
  <c r="T906" i="1"/>
  <c r="U906" i="1" s="1"/>
  <c r="V905" i="1"/>
  <c r="T905" i="1"/>
  <c r="U905" i="1" s="1"/>
  <c r="V904" i="1"/>
  <c r="T904" i="1"/>
  <c r="U904" i="1" s="1"/>
  <c r="V903" i="1"/>
  <c r="T903" i="1"/>
  <c r="U903" i="1" s="1"/>
  <c r="V902" i="1"/>
  <c r="T902" i="1"/>
  <c r="U902" i="1" s="1"/>
  <c r="V901" i="1"/>
  <c r="T901" i="1"/>
  <c r="U901" i="1" s="1"/>
  <c r="V900" i="1"/>
  <c r="T900" i="1"/>
  <c r="U900" i="1" s="1"/>
  <c r="V899" i="1"/>
  <c r="T899" i="1"/>
  <c r="U899" i="1" s="1"/>
  <c r="V898" i="1"/>
  <c r="T898" i="1"/>
  <c r="U898" i="1" s="1"/>
  <c r="V897" i="1"/>
  <c r="T897" i="1"/>
  <c r="U897" i="1" s="1"/>
  <c r="V896" i="1"/>
  <c r="T896" i="1"/>
  <c r="U896" i="1" s="1"/>
  <c r="V895" i="1"/>
  <c r="T895" i="1"/>
  <c r="U895" i="1" s="1"/>
  <c r="V894" i="1"/>
  <c r="T894" i="1"/>
  <c r="U894" i="1" s="1"/>
  <c r="V893" i="1"/>
  <c r="T893" i="1"/>
  <c r="U893" i="1" s="1"/>
  <c r="V892" i="1"/>
  <c r="T892" i="1"/>
  <c r="U892" i="1" s="1"/>
  <c r="V891" i="1"/>
  <c r="T891" i="1"/>
  <c r="U891" i="1" s="1"/>
  <c r="V890" i="1"/>
  <c r="T890" i="1"/>
  <c r="U890" i="1" s="1"/>
  <c r="V889" i="1"/>
  <c r="T889" i="1"/>
  <c r="U889" i="1" s="1"/>
  <c r="V888" i="1"/>
  <c r="T888" i="1"/>
  <c r="U888" i="1" s="1"/>
  <c r="V887" i="1"/>
  <c r="T887" i="1"/>
  <c r="U887" i="1" s="1"/>
  <c r="V886" i="1"/>
  <c r="T886" i="1"/>
  <c r="U886" i="1" s="1"/>
  <c r="V885" i="1"/>
  <c r="T885" i="1"/>
  <c r="U885" i="1" s="1"/>
  <c r="V884" i="1"/>
  <c r="T884" i="1"/>
  <c r="U884" i="1" s="1"/>
  <c r="V883" i="1"/>
  <c r="T883" i="1"/>
  <c r="U883" i="1" s="1"/>
  <c r="V882" i="1"/>
  <c r="T882" i="1"/>
  <c r="U882" i="1" s="1"/>
  <c r="V881" i="1"/>
  <c r="T881" i="1"/>
  <c r="U881" i="1" s="1"/>
  <c r="V880" i="1"/>
  <c r="T880" i="1"/>
  <c r="U880" i="1" s="1"/>
  <c r="V879" i="1"/>
  <c r="T879" i="1"/>
  <c r="U879" i="1" s="1"/>
  <c r="V878" i="1"/>
  <c r="T878" i="1"/>
  <c r="U878" i="1" s="1"/>
  <c r="V877" i="1"/>
  <c r="T877" i="1"/>
  <c r="U877" i="1" s="1"/>
  <c r="V876" i="1"/>
  <c r="T876" i="1"/>
  <c r="U876" i="1" s="1"/>
  <c r="V875" i="1"/>
  <c r="T875" i="1"/>
  <c r="U875" i="1" s="1"/>
  <c r="V874" i="1"/>
  <c r="T874" i="1"/>
  <c r="U874" i="1" s="1"/>
  <c r="V873" i="1"/>
  <c r="T873" i="1"/>
  <c r="U873" i="1" s="1"/>
  <c r="V872" i="1"/>
  <c r="T872" i="1"/>
  <c r="U872" i="1" s="1"/>
  <c r="V871" i="1"/>
  <c r="T871" i="1"/>
  <c r="U871" i="1" s="1"/>
  <c r="V870" i="1"/>
  <c r="T870" i="1"/>
  <c r="U870" i="1" s="1"/>
  <c r="V869" i="1"/>
  <c r="T869" i="1"/>
  <c r="U869" i="1" s="1"/>
  <c r="V868" i="1"/>
  <c r="T868" i="1"/>
  <c r="U868" i="1" s="1"/>
  <c r="V867" i="1"/>
  <c r="T867" i="1"/>
  <c r="U867" i="1" s="1"/>
  <c r="V866" i="1"/>
  <c r="T866" i="1"/>
  <c r="U866" i="1" s="1"/>
  <c r="V865" i="1"/>
  <c r="T865" i="1"/>
  <c r="U865" i="1" s="1"/>
  <c r="V864" i="1"/>
  <c r="T864" i="1"/>
  <c r="U864" i="1" s="1"/>
  <c r="V863" i="1"/>
  <c r="T863" i="1"/>
  <c r="U863" i="1" s="1"/>
  <c r="V862" i="1"/>
  <c r="T862" i="1"/>
  <c r="U862" i="1" s="1"/>
  <c r="V861" i="1"/>
  <c r="T861" i="1"/>
  <c r="U861" i="1" s="1"/>
  <c r="V860" i="1"/>
  <c r="T860" i="1"/>
  <c r="U860" i="1" s="1"/>
  <c r="V859" i="1"/>
  <c r="T859" i="1"/>
  <c r="U859" i="1" s="1"/>
  <c r="V858" i="1"/>
  <c r="T858" i="1"/>
  <c r="U858" i="1" s="1"/>
  <c r="V857" i="1"/>
  <c r="T857" i="1"/>
  <c r="U857" i="1" s="1"/>
  <c r="V856" i="1"/>
  <c r="T856" i="1"/>
  <c r="U856" i="1" s="1"/>
  <c r="V855" i="1"/>
  <c r="T855" i="1"/>
  <c r="U855" i="1" s="1"/>
  <c r="V854" i="1"/>
  <c r="T854" i="1"/>
  <c r="U854" i="1" s="1"/>
  <c r="V853" i="1"/>
  <c r="T853" i="1"/>
  <c r="U853" i="1" s="1"/>
  <c r="V852" i="1"/>
  <c r="T852" i="1"/>
  <c r="U852" i="1" s="1"/>
  <c r="V851" i="1"/>
  <c r="T851" i="1"/>
  <c r="U851" i="1" s="1"/>
  <c r="V850" i="1"/>
  <c r="T850" i="1"/>
  <c r="U850" i="1" s="1"/>
  <c r="V849" i="1"/>
  <c r="T849" i="1"/>
  <c r="U849" i="1" s="1"/>
  <c r="V848" i="1"/>
  <c r="T848" i="1"/>
  <c r="U848" i="1" s="1"/>
  <c r="V847" i="1"/>
  <c r="T847" i="1"/>
  <c r="U847" i="1" s="1"/>
  <c r="V846" i="1"/>
  <c r="T846" i="1"/>
  <c r="U846" i="1" s="1"/>
  <c r="V845" i="1"/>
  <c r="T845" i="1"/>
  <c r="U845" i="1" s="1"/>
  <c r="V844" i="1"/>
  <c r="T844" i="1"/>
  <c r="U844" i="1" s="1"/>
  <c r="V843" i="1"/>
  <c r="T843" i="1"/>
  <c r="U843" i="1" s="1"/>
  <c r="V842" i="1"/>
  <c r="T842" i="1"/>
  <c r="U842" i="1" s="1"/>
  <c r="V841" i="1"/>
  <c r="T841" i="1"/>
  <c r="U841" i="1" s="1"/>
  <c r="V840" i="1"/>
  <c r="T840" i="1"/>
  <c r="U840" i="1" s="1"/>
  <c r="V839" i="1"/>
  <c r="T839" i="1"/>
  <c r="U839" i="1" s="1"/>
  <c r="V838" i="1"/>
  <c r="T838" i="1"/>
  <c r="U838" i="1" s="1"/>
  <c r="V837" i="1"/>
  <c r="T837" i="1"/>
  <c r="U837" i="1" s="1"/>
  <c r="V836" i="1"/>
  <c r="T836" i="1"/>
  <c r="U836" i="1" s="1"/>
  <c r="V835" i="1"/>
  <c r="T835" i="1"/>
  <c r="U835" i="1" s="1"/>
  <c r="V834" i="1"/>
  <c r="T834" i="1"/>
  <c r="U834" i="1" s="1"/>
  <c r="V833" i="1"/>
  <c r="T833" i="1"/>
  <c r="U833" i="1" s="1"/>
  <c r="V832" i="1"/>
  <c r="T832" i="1"/>
  <c r="U832" i="1" s="1"/>
  <c r="V831" i="1"/>
  <c r="T831" i="1"/>
  <c r="U831" i="1" s="1"/>
  <c r="V830" i="1"/>
  <c r="T830" i="1"/>
  <c r="U830" i="1" s="1"/>
  <c r="V829" i="1"/>
  <c r="T829" i="1"/>
  <c r="U829" i="1" s="1"/>
  <c r="V828" i="1"/>
  <c r="T828" i="1"/>
  <c r="U828" i="1" s="1"/>
  <c r="V827" i="1"/>
  <c r="T827" i="1"/>
  <c r="U827" i="1" s="1"/>
  <c r="V826" i="1"/>
  <c r="T826" i="1"/>
  <c r="U826" i="1" s="1"/>
  <c r="V825" i="1"/>
  <c r="T825" i="1"/>
  <c r="U825" i="1" s="1"/>
  <c r="V824" i="1"/>
  <c r="T824" i="1"/>
  <c r="U824" i="1" s="1"/>
  <c r="V823" i="1"/>
  <c r="T823" i="1"/>
  <c r="U823" i="1" s="1"/>
  <c r="V822" i="1"/>
  <c r="T822" i="1"/>
  <c r="U822" i="1" s="1"/>
  <c r="V821" i="1"/>
  <c r="T821" i="1"/>
  <c r="U821" i="1" s="1"/>
  <c r="V820" i="1"/>
  <c r="T820" i="1"/>
  <c r="U820" i="1" s="1"/>
  <c r="V819" i="1"/>
  <c r="T819" i="1"/>
  <c r="U819" i="1" s="1"/>
  <c r="V818" i="1"/>
  <c r="T818" i="1"/>
  <c r="U818" i="1" s="1"/>
  <c r="V817" i="1"/>
  <c r="T817" i="1"/>
  <c r="U817" i="1" s="1"/>
  <c r="V816" i="1"/>
  <c r="T816" i="1"/>
  <c r="U816" i="1" s="1"/>
  <c r="V815" i="1"/>
  <c r="T815" i="1"/>
  <c r="U815" i="1" s="1"/>
  <c r="V814" i="1"/>
  <c r="T814" i="1"/>
  <c r="U814" i="1" s="1"/>
  <c r="V813" i="1"/>
  <c r="T813" i="1"/>
  <c r="U813" i="1" s="1"/>
  <c r="V812" i="1"/>
  <c r="T812" i="1"/>
  <c r="U812" i="1" s="1"/>
  <c r="V811" i="1"/>
  <c r="T811" i="1"/>
  <c r="U811" i="1" s="1"/>
  <c r="V810" i="1"/>
  <c r="T810" i="1"/>
  <c r="U810" i="1" s="1"/>
  <c r="V809" i="1"/>
  <c r="T809" i="1"/>
  <c r="U809" i="1" s="1"/>
  <c r="V808" i="1"/>
  <c r="T808" i="1"/>
  <c r="U808" i="1" s="1"/>
  <c r="V807" i="1"/>
  <c r="T807" i="1"/>
  <c r="U807" i="1" s="1"/>
  <c r="V806" i="1"/>
  <c r="T806" i="1"/>
  <c r="U806" i="1" s="1"/>
  <c r="V805" i="1"/>
  <c r="T805" i="1"/>
  <c r="U805" i="1" s="1"/>
  <c r="V804" i="1"/>
  <c r="T804" i="1"/>
  <c r="U804" i="1" s="1"/>
  <c r="V803" i="1"/>
  <c r="T803" i="1"/>
  <c r="U803" i="1" s="1"/>
  <c r="V802" i="1"/>
  <c r="T802" i="1"/>
  <c r="U802" i="1" s="1"/>
  <c r="V801" i="1"/>
  <c r="T801" i="1"/>
  <c r="U801" i="1" s="1"/>
  <c r="V800" i="1"/>
  <c r="T800" i="1"/>
  <c r="U800" i="1" s="1"/>
  <c r="V799" i="1"/>
  <c r="T799" i="1"/>
  <c r="U799" i="1" s="1"/>
  <c r="V798" i="1"/>
  <c r="T798" i="1"/>
  <c r="U798" i="1" s="1"/>
  <c r="V797" i="1"/>
  <c r="T797" i="1"/>
  <c r="U797" i="1" s="1"/>
  <c r="V796" i="1"/>
  <c r="T796" i="1"/>
  <c r="U796" i="1" s="1"/>
  <c r="V795" i="1"/>
  <c r="T795" i="1"/>
  <c r="U795" i="1" s="1"/>
  <c r="V794" i="1"/>
  <c r="T794" i="1"/>
  <c r="U794" i="1" s="1"/>
  <c r="V793" i="1"/>
  <c r="T793" i="1"/>
  <c r="U793" i="1" s="1"/>
  <c r="V792" i="1"/>
  <c r="T792" i="1"/>
  <c r="U792" i="1" s="1"/>
  <c r="V791" i="1"/>
  <c r="T791" i="1"/>
  <c r="U791" i="1" s="1"/>
  <c r="V790" i="1"/>
  <c r="T790" i="1"/>
  <c r="U790" i="1" s="1"/>
  <c r="V789" i="1"/>
  <c r="T789" i="1"/>
  <c r="U789" i="1" s="1"/>
  <c r="V788" i="1"/>
  <c r="T788" i="1"/>
  <c r="U788" i="1" s="1"/>
  <c r="V787" i="1"/>
  <c r="T787" i="1"/>
  <c r="U787" i="1" s="1"/>
  <c r="V786" i="1"/>
  <c r="T786" i="1"/>
  <c r="U786" i="1" s="1"/>
  <c r="V785" i="1"/>
  <c r="T785" i="1"/>
  <c r="U785" i="1" s="1"/>
  <c r="V784" i="1"/>
  <c r="T784" i="1"/>
  <c r="U784" i="1" s="1"/>
  <c r="V783" i="1"/>
  <c r="T783" i="1"/>
  <c r="U783" i="1" s="1"/>
  <c r="V782" i="1"/>
  <c r="T782" i="1"/>
  <c r="U782" i="1" s="1"/>
  <c r="V781" i="1"/>
  <c r="T781" i="1"/>
  <c r="U781" i="1" s="1"/>
  <c r="V780" i="1"/>
  <c r="T780" i="1"/>
  <c r="U780" i="1" s="1"/>
  <c r="V779" i="1"/>
  <c r="T779" i="1"/>
  <c r="U779" i="1" s="1"/>
  <c r="V778" i="1"/>
  <c r="T778" i="1"/>
  <c r="U778" i="1" s="1"/>
  <c r="V777" i="1"/>
  <c r="T777" i="1"/>
  <c r="U777" i="1" s="1"/>
  <c r="V776" i="1"/>
  <c r="T776" i="1"/>
  <c r="U776" i="1" s="1"/>
  <c r="V775" i="1"/>
  <c r="T775" i="1"/>
  <c r="U775" i="1" s="1"/>
  <c r="V774" i="1"/>
  <c r="T774" i="1"/>
  <c r="U774" i="1" s="1"/>
  <c r="V773" i="1"/>
  <c r="T773" i="1"/>
  <c r="U773" i="1" s="1"/>
  <c r="V772" i="1"/>
  <c r="T772" i="1"/>
  <c r="U772" i="1" s="1"/>
  <c r="V771" i="1"/>
  <c r="T771" i="1"/>
  <c r="U771" i="1" s="1"/>
  <c r="V770" i="1"/>
  <c r="T770" i="1"/>
  <c r="U770" i="1" s="1"/>
  <c r="V769" i="1"/>
  <c r="T769" i="1"/>
  <c r="U769" i="1" s="1"/>
  <c r="V768" i="1"/>
  <c r="T768" i="1"/>
  <c r="U768" i="1" s="1"/>
  <c r="V767" i="1"/>
  <c r="T767" i="1"/>
  <c r="U767" i="1" s="1"/>
  <c r="V766" i="1"/>
  <c r="T766" i="1"/>
  <c r="U766" i="1" s="1"/>
  <c r="V765" i="1"/>
  <c r="T765" i="1"/>
  <c r="U765" i="1" s="1"/>
  <c r="V764" i="1"/>
  <c r="T764" i="1"/>
  <c r="U764" i="1" s="1"/>
  <c r="V763" i="1"/>
  <c r="T763" i="1"/>
  <c r="U763" i="1" s="1"/>
  <c r="V762" i="1"/>
  <c r="T762" i="1"/>
  <c r="U762" i="1" s="1"/>
  <c r="V761" i="1"/>
  <c r="T761" i="1"/>
  <c r="U761" i="1" s="1"/>
  <c r="V760" i="1"/>
  <c r="T760" i="1"/>
  <c r="U760" i="1" s="1"/>
  <c r="V759" i="1"/>
  <c r="T759" i="1"/>
  <c r="U759" i="1" s="1"/>
  <c r="V758" i="1"/>
  <c r="T758" i="1"/>
  <c r="U758" i="1" s="1"/>
  <c r="V757" i="1"/>
  <c r="T757" i="1"/>
  <c r="U757" i="1" s="1"/>
  <c r="V756" i="1"/>
  <c r="T756" i="1"/>
  <c r="U756" i="1" s="1"/>
  <c r="V755" i="1"/>
  <c r="T755" i="1"/>
  <c r="U755" i="1" s="1"/>
  <c r="V754" i="1"/>
  <c r="T754" i="1"/>
  <c r="U754" i="1" s="1"/>
  <c r="V753" i="1"/>
  <c r="T753" i="1"/>
  <c r="U753" i="1" s="1"/>
  <c r="V752" i="1"/>
  <c r="T752" i="1"/>
  <c r="U752" i="1" s="1"/>
  <c r="V751" i="1"/>
  <c r="T751" i="1"/>
  <c r="U751" i="1" s="1"/>
  <c r="V750" i="1"/>
  <c r="T750" i="1"/>
  <c r="U750" i="1" s="1"/>
  <c r="V749" i="1"/>
  <c r="T749" i="1"/>
  <c r="U749" i="1" s="1"/>
  <c r="V748" i="1"/>
  <c r="T748" i="1"/>
  <c r="U748" i="1" s="1"/>
  <c r="V747" i="1"/>
  <c r="T747" i="1"/>
  <c r="U747" i="1" s="1"/>
  <c r="V746" i="1"/>
  <c r="T746" i="1"/>
  <c r="U746" i="1" s="1"/>
  <c r="V745" i="1"/>
  <c r="T745" i="1"/>
  <c r="U745" i="1" s="1"/>
  <c r="V744" i="1"/>
  <c r="T744" i="1"/>
  <c r="U744" i="1" s="1"/>
  <c r="V743" i="1"/>
  <c r="T743" i="1"/>
  <c r="U743" i="1" s="1"/>
  <c r="V742" i="1"/>
  <c r="T742" i="1"/>
  <c r="U742" i="1" s="1"/>
  <c r="V741" i="1"/>
  <c r="T741" i="1"/>
  <c r="U741" i="1" s="1"/>
  <c r="V740" i="1"/>
  <c r="T740" i="1"/>
  <c r="U740" i="1" s="1"/>
  <c r="V739" i="1"/>
  <c r="T739" i="1"/>
  <c r="U739" i="1" s="1"/>
  <c r="V738" i="1"/>
  <c r="T738" i="1"/>
  <c r="U738" i="1" s="1"/>
  <c r="V737" i="1"/>
  <c r="T737" i="1"/>
  <c r="U737" i="1" s="1"/>
  <c r="V736" i="1"/>
  <c r="T736" i="1"/>
  <c r="U736" i="1" s="1"/>
  <c r="V735" i="1"/>
  <c r="T735" i="1"/>
  <c r="U735" i="1" s="1"/>
  <c r="V734" i="1"/>
  <c r="T734" i="1"/>
  <c r="U734" i="1" s="1"/>
  <c r="V733" i="1"/>
  <c r="T733" i="1"/>
  <c r="U733" i="1" s="1"/>
  <c r="V732" i="1"/>
  <c r="T732" i="1"/>
  <c r="U732" i="1" s="1"/>
  <c r="V731" i="1"/>
  <c r="T731" i="1"/>
  <c r="U731" i="1" s="1"/>
  <c r="V730" i="1"/>
  <c r="T730" i="1"/>
  <c r="U730" i="1" s="1"/>
  <c r="V729" i="1"/>
  <c r="T729" i="1"/>
  <c r="U729" i="1" s="1"/>
  <c r="V728" i="1"/>
  <c r="T728" i="1"/>
  <c r="U728" i="1" s="1"/>
  <c r="V727" i="1"/>
  <c r="T727" i="1"/>
  <c r="U727" i="1" s="1"/>
  <c r="V726" i="1"/>
  <c r="T726" i="1"/>
  <c r="U726" i="1" s="1"/>
  <c r="V725" i="1"/>
  <c r="T725" i="1"/>
  <c r="U725" i="1" s="1"/>
  <c r="V724" i="1"/>
  <c r="T724" i="1"/>
  <c r="U724" i="1" s="1"/>
  <c r="V723" i="1"/>
  <c r="T723" i="1"/>
  <c r="U723" i="1" s="1"/>
  <c r="V722" i="1"/>
  <c r="T722" i="1"/>
  <c r="U722" i="1" s="1"/>
  <c r="V721" i="1"/>
  <c r="T721" i="1"/>
  <c r="U721" i="1" s="1"/>
  <c r="V720" i="1"/>
  <c r="T720" i="1"/>
  <c r="U720" i="1" s="1"/>
  <c r="V719" i="1"/>
  <c r="T719" i="1"/>
  <c r="U719" i="1" s="1"/>
  <c r="V718" i="1"/>
  <c r="T718" i="1"/>
  <c r="U718" i="1" s="1"/>
  <c r="V717" i="1"/>
  <c r="T717" i="1"/>
  <c r="U717" i="1" s="1"/>
  <c r="V716" i="1"/>
  <c r="T716" i="1"/>
  <c r="U716" i="1" s="1"/>
  <c r="V715" i="1"/>
  <c r="T715" i="1"/>
  <c r="U715" i="1" s="1"/>
  <c r="V714" i="1"/>
  <c r="T714" i="1"/>
  <c r="U714" i="1" s="1"/>
  <c r="V713" i="1"/>
  <c r="T713" i="1"/>
  <c r="U713" i="1" s="1"/>
  <c r="V712" i="1"/>
  <c r="T712" i="1"/>
  <c r="U712" i="1" s="1"/>
  <c r="V711" i="1"/>
  <c r="T711" i="1"/>
  <c r="U711" i="1" s="1"/>
  <c r="V710" i="1"/>
  <c r="T710" i="1"/>
  <c r="U710" i="1" s="1"/>
  <c r="V709" i="1"/>
  <c r="T709" i="1"/>
  <c r="U709" i="1" s="1"/>
  <c r="V708" i="1"/>
  <c r="T708" i="1"/>
  <c r="U708" i="1" s="1"/>
  <c r="V707" i="1"/>
  <c r="T707" i="1"/>
  <c r="U707" i="1" s="1"/>
  <c r="V706" i="1"/>
  <c r="T706" i="1"/>
  <c r="U706" i="1" s="1"/>
  <c r="V705" i="1"/>
  <c r="T705" i="1"/>
  <c r="U705" i="1" s="1"/>
  <c r="V704" i="1"/>
  <c r="T704" i="1"/>
  <c r="U704" i="1" s="1"/>
  <c r="V703" i="1"/>
  <c r="T703" i="1"/>
  <c r="U703" i="1" s="1"/>
  <c r="V702" i="1"/>
  <c r="T702" i="1"/>
  <c r="U702" i="1" s="1"/>
  <c r="V701" i="1"/>
  <c r="T701" i="1"/>
  <c r="U701" i="1" s="1"/>
  <c r="V700" i="1"/>
  <c r="T700" i="1"/>
  <c r="U700" i="1" s="1"/>
  <c r="V699" i="1"/>
  <c r="T699" i="1"/>
  <c r="U699" i="1" s="1"/>
  <c r="V698" i="1"/>
  <c r="T698" i="1"/>
  <c r="U698" i="1" s="1"/>
  <c r="V697" i="1"/>
  <c r="T697" i="1"/>
  <c r="U697" i="1" s="1"/>
  <c r="V696" i="1"/>
  <c r="T696" i="1"/>
  <c r="U696" i="1" s="1"/>
  <c r="V695" i="1"/>
  <c r="T695" i="1"/>
  <c r="U695" i="1" s="1"/>
  <c r="V694" i="1"/>
  <c r="T694" i="1"/>
  <c r="U694" i="1" s="1"/>
  <c r="V693" i="1"/>
  <c r="T693" i="1"/>
  <c r="U693" i="1" s="1"/>
  <c r="V692" i="1"/>
  <c r="T692" i="1"/>
  <c r="U692" i="1" s="1"/>
  <c r="V691" i="1"/>
  <c r="T691" i="1"/>
  <c r="U691" i="1" s="1"/>
  <c r="V690" i="1"/>
  <c r="T690" i="1"/>
  <c r="U690" i="1" s="1"/>
  <c r="V689" i="1"/>
  <c r="T689" i="1"/>
  <c r="U689" i="1" s="1"/>
  <c r="V688" i="1"/>
  <c r="T688" i="1"/>
  <c r="U688" i="1" s="1"/>
  <c r="V687" i="1"/>
  <c r="T687" i="1"/>
  <c r="U687" i="1" s="1"/>
  <c r="V686" i="1"/>
  <c r="T686" i="1"/>
  <c r="U686" i="1" s="1"/>
  <c r="V685" i="1"/>
  <c r="T685" i="1"/>
  <c r="U685" i="1" s="1"/>
  <c r="V684" i="1"/>
  <c r="T684" i="1"/>
  <c r="U684" i="1" s="1"/>
  <c r="V683" i="1"/>
  <c r="T683" i="1"/>
  <c r="U683" i="1" s="1"/>
  <c r="V682" i="1"/>
  <c r="T682" i="1"/>
  <c r="U682" i="1" s="1"/>
  <c r="V681" i="1"/>
  <c r="T681" i="1"/>
  <c r="U681" i="1" s="1"/>
  <c r="V680" i="1"/>
  <c r="T680" i="1"/>
  <c r="U680" i="1" s="1"/>
  <c r="V679" i="1"/>
  <c r="T679" i="1"/>
  <c r="U679" i="1" s="1"/>
  <c r="V678" i="1"/>
  <c r="T678" i="1"/>
  <c r="U678" i="1" s="1"/>
  <c r="V677" i="1"/>
  <c r="T677" i="1"/>
  <c r="U677" i="1" s="1"/>
  <c r="V676" i="1"/>
  <c r="T676" i="1"/>
  <c r="U676" i="1" s="1"/>
  <c r="V675" i="1"/>
  <c r="T675" i="1"/>
  <c r="U675" i="1" s="1"/>
  <c r="V674" i="1"/>
  <c r="T674" i="1"/>
  <c r="U674" i="1" s="1"/>
  <c r="V673" i="1"/>
  <c r="T673" i="1"/>
  <c r="U673" i="1" s="1"/>
  <c r="V672" i="1"/>
  <c r="T672" i="1"/>
  <c r="U672" i="1" s="1"/>
  <c r="V671" i="1"/>
  <c r="T671" i="1"/>
  <c r="U671" i="1" s="1"/>
  <c r="V670" i="1"/>
  <c r="T670" i="1"/>
  <c r="U670" i="1" s="1"/>
  <c r="V669" i="1"/>
  <c r="T669" i="1"/>
  <c r="U669" i="1" s="1"/>
  <c r="V668" i="1"/>
  <c r="T668" i="1"/>
  <c r="U668" i="1" s="1"/>
  <c r="V667" i="1"/>
  <c r="T667" i="1"/>
  <c r="U667" i="1" s="1"/>
  <c r="V666" i="1"/>
  <c r="T666" i="1"/>
  <c r="U666" i="1" s="1"/>
  <c r="V665" i="1"/>
  <c r="T665" i="1"/>
  <c r="U665" i="1" s="1"/>
  <c r="V664" i="1"/>
  <c r="T664" i="1"/>
  <c r="U664" i="1" s="1"/>
  <c r="V663" i="1"/>
  <c r="T663" i="1"/>
  <c r="U663" i="1" s="1"/>
  <c r="V662" i="1"/>
  <c r="T662" i="1"/>
  <c r="U662" i="1" s="1"/>
  <c r="V661" i="1"/>
  <c r="T661" i="1"/>
  <c r="U661" i="1" s="1"/>
  <c r="V660" i="1"/>
  <c r="T660" i="1"/>
  <c r="U660" i="1" s="1"/>
  <c r="V659" i="1"/>
  <c r="T659" i="1"/>
  <c r="U659" i="1" s="1"/>
  <c r="V658" i="1"/>
  <c r="T658" i="1"/>
  <c r="U658" i="1" s="1"/>
  <c r="V657" i="1"/>
  <c r="T657" i="1"/>
  <c r="U657" i="1" s="1"/>
  <c r="V656" i="1"/>
  <c r="T656" i="1"/>
  <c r="U656" i="1" s="1"/>
  <c r="V655" i="1"/>
  <c r="T655" i="1"/>
  <c r="U655" i="1" s="1"/>
  <c r="V654" i="1"/>
  <c r="T654" i="1"/>
  <c r="U654" i="1" s="1"/>
  <c r="V653" i="1"/>
  <c r="T653" i="1"/>
  <c r="U653" i="1" s="1"/>
  <c r="V652" i="1"/>
  <c r="T652" i="1"/>
  <c r="U652" i="1" s="1"/>
  <c r="V651" i="1"/>
  <c r="T651" i="1"/>
  <c r="U651" i="1" s="1"/>
  <c r="V650" i="1"/>
  <c r="T650" i="1"/>
  <c r="U650" i="1" s="1"/>
  <c r="V649" i="1"/>
  <c r="T649" i="1"/>
  <c r="U649" i="1" s="1"/>
  <c r="V648" i="1"/>
  <c r="T648" i="1"/>
  <c r="U648" i="1" s="1"/>
  <c r="V647" i="1"/>
  <c r="T647" i="1"/>
  <c r="U647" i="1" s="1"/>
  <c r="V646" i="1"/>
  <c r="T646" i="1"/>
  <c r="U646" i="1" s="1"/>
  <c r="V645" i="1"/>
  <c r="T645" i="1"/>
  <c r="U645" i="1" s="1"/>
  <c r="V644" i="1"/>
  <c r="T644" i="1"/>
  <c r="U644" i="1" s="1"/>
  <c r="V643" i="1"/>
  <c r="T643" i="1"/>
  <c r="U643" i="1" s="1"/>
  <c r="V642" i="1"/>
  <c r="T642" i="1"/>
  <c r="U642" i="1" s="1"/>
  <c r="V641" i="1"/>
  <c r="T641" i="1"/>
  <c r="U641" i="1" s="1"/>
  <c r="V640" i="1"/>
  <c r="T640" i="1"/>
  <c r="U640" i="1" s="1"/>
  <c r="V639" i="1"/>
  <c r="T639" i="1"/>
  <c r="U639" i="1" s="1"/>
  <c r="V638" i="1"/>
  <c r="T638" i="1"/>
  <c r="U638" i="1" s="1"/>
  <c r="V637" i="1"/>
  <c r="T637" i="1"/>
  <c r="U637" i="1" s="1"/>
  <c r="V636" i="1"/>
  <c r="T636" i="1"/>
  <c r="U636" i="1" s="1"/>
  <c r="V635" i="1"/>
  <c r="T635" i="1"/>
  <c r="U635" i="1" s="1"/>
  <c r="V634" i="1"/>
  <c r="T634" i="1"/>
  <c r="U634" i="1" s="1"/>
  <c r="V633" i="1"/>
  <c r="T633" i="1"/>
  <c r="U633" i="1" s="1"/>
  <c r="V632" i="1"/>
  <c r="T632" i="1"/>
  <c r="U632" i="1" s="1"/>
  <c r="V631" i="1"/>
  <c r="T631" i="1"/>
  <c r="U631" i="1" s="1"/>
  <c r="V630" i="1"/>
  <c r="T630" i="1"/>
  <c r="U630" i="1" s="1"/>
  <c r="V629" i="1"/>
  <c r="T629" i="1"/>
  <c r="U629" i="1" s="1"/>
  <c r="V628" i="1"/>
  <c r="T628" i="1"/>
  <c r="U628" i="1" s="1"/>
  <c r="V627" i="1"/>
  <c r="T627" i="1"/>
  <c r="U627" i="1" s="1"/>
  <c r="V626" i="1"/>
  <c r="T626" i="1"/>
  <c r="U626" i="1" s="1"/>
  <c r="V625" i="1"/>
  <c r="T625" i="1"/>
  <c r="U625" i="1" s="1"/>
  <c r="V624" i="1"/>
  <c r="T624" i="1"/>
  <c r="U624" i="1" s="1"/>
  <c r="V623" i="1"/>
  <c r="T623" i="1"/>
  <c r="U623" i="1" s="1"/>
  <c r="V622" i="1"/>
  <c r="T622" i="1"/>
  <c r="U622" i="1" s="1"/>
  <c r="V621" i="1"/>
  <c r="T621" i="1"/>
  <c r="U621" i="1" s="1"/>
  <c r="V620" i="1"/>
  <c r="T620" i="1"/>
  <c r="U620" i="1" s="1"/>
  <c r="V619" i="1"/>
  <c r="T619" i="1"/>
  <c r="U619" i="1" s="1"/>
  <c r="V618" i="1"/>
  <c r="T618" i="1"/>
  <c r="U618" i="1" s="1"/>
  <c r="V617" i="1"/>
  <c r="T617" i="1"/>
  <c r="U617" i="1" s="1"/>
  <c r="V616" i="1"/>
  <c r="T616" i="1"/>
  <c r="U616" i="1" s="1"/>
  <c r="V615" i="1"/>
  <c r="T615" i="1"/>
  <c r="U615" i="1" s="1"/>
  <c r="V614" i="1"/>
  <c r="T614" i="1"/>
  <c r="U614" i="1" s="1"/>
  <c r="V613" i="1"/>
  <c r="T613" i="1"/>
  <c r="U613" i="1" s="1"/>
  <c r="V612" i="1"/>
  <c r="T612" i="1"/>
  <c r="U612" i="1" s="1"/>
  <c r="V611" i="1"/>
  <c r="T611" i="1"/>
  <c r="U611" i="1" s="1"/>
  <c r="V610" i="1"/>
  <c r="T610" i="1"/>
  <c r="U610" i="1" s="1"/>
  <c r="V609" i="1"/>
  <c r="T609" i="1"/>
  <c r="U609" i="1" s="1"/>
  <c r="V608" i="1"/>
  <c r="T608" i="1"/>
  <c r="U608" i="1" s="1"/>
  <c r="V607" i="1"/>
  <c r="T607" i="1"/>
  <c r="U607" i="1" s="1"/>
  <c r="V606" i="1"/>
  <c r="T606" i="1"/>
  <c r="U606" i="1" s="1"/>
  <c r="V605" i="1"/>
  <c r="T605" i="1"/>
  <c r="U605" i="1" s="1"/>
  <c r="V604" i="1"/>
  <c r="T604" i="1"/>
  <c r="U604" i="1" s="1"/>
  <c r="V603" i="1"/>
  <c r="T603" i="1"/>
  <c r="U603" i="1" s="1"/>
  <c r="V602" i="1"/>
  <c r="T602" i="1"/>
  <c r="U602" i="1" s="1"/>
  <c r="V601" i="1"/>
  <c r="T601" i="1"/>
  <c r="U601" i="1" s="1"/>
  <c r="V600" i="1"/>
  <c r="T600" i="1"/>
  <c r="U600" i="1" s="1"/>
  <c r="V599" i="1"/>
  <c r="T599" i="1"/>
  <c r="U599" i="1" s="1"/>
  <c r="V598" i="1"/>
  <c r="T598" i="1"/>
  <c r="U598" i="1" s="1"/>
  <c r="V597" i="1"/>
  <c r="T597" i="1"/>
  <c r="U597" i="1" s="1"/>
  <c r="V596" i="1"/>
  <c r="T596" i="1"/>
  <c r="U596" i="1" s="1"/>
  <c r="V595" i="1"/>
  <c r="T595" i="1"/>
  <c r="U595" i="1" s="1"/>
  <c r="V594" i="1"/>
  <c r="T594" i="1"/>
  <c r="U594" i="1" s="1"/>
  <c r="V593" i="1"/>
  <c r="T593" i="1"/>
  <c r="U593" i="1" s="1"/>
  <c r="V592" i="1"/>
  <c r="T592" i="1"/>
  <c r="U592" i="1" s="1"/>
  <c r="V591" i="1"/>
  <c r="T591" i="1"/>
  <c r="U591" i="1" s="1"/>
  <c r="V590" i="1"/>
  <c r="T590" i="1"/>
  <c r="U590" i="1" s="1"/>
  <c r="V589" i="1"/>
  <c r="T589" i="1"/>
  <c r="U589" i="1" s="1"/>
  <c r="V588" i="1"/>
  <c r="T588" i="1"/>
  <c r="U588" i="1" s="1"/>
  <c r="V587" i="1"/>
  <c r="T587" i="1"/>
  <c r="U587" i="1" s="1"/>
  <c r="V586" i="1"/>
  <c r="T586" i="1"/>
  <c r="U586" i="1" s="1"/>
  <c r="V585" i="1"/>
  <c r="T585" i="1"/>
  <c r="U585" i="1" s="1"/>
  <c r="V584" i="1"/>
  <c r="T584" i="1"/>
  <c r="U584" i="1" s="1"/>
  <c r="V583" i="1"/>
  <c r="T583" i="1"/>
  <c r="U583" i="1" s="1"/>
  <c r="V582" i="1"/>
  <c r="T582" i="1"/>
  <c r="U582" i="1" s="1"/>
  <c r="V581" i="1"/>
  <c r="T581" i="1"/>
  <c r="U581" i="1" s="1"/>
  <c r="V580" i="1"/>
  <c r="T580" i="1"/>
  <c r="U580" i="1" s="1"/>
  <c r="V579" i="1"/>
  <c r="T579" i="1"/>
  <c r="U579" i="1" s="1"/>
  <c r="V578" i="1"/>
  <c r="T578" i="1"/>
  <c r="U578" i="1" s="1"/>
  <c r="V577" i="1"/>
  <c r="T577" i="1"/>
  <c r="U577" i="1" s="1"/>
  <c r="V576" i="1"/>
  <c r="T576" i="1"/>
  <c r="U576" i="1" s="1"/>
  <c r="V575" i="1"/>
  <c r="T575" i="1"/>
  <c r="U575" i="1" s="1"/>
  <c r="V574" i="1"/>
  <c r="T574" i="1"/>
  <c r="U574" i="1" s="1"/>
  <c r="V573" i="1"/>
  <c r="T573" i="1"/>
  <c r="U573" i="1" s="1"/>
  <c r="V572" i="1"/>
  <c r="T572" i="1"/>
  <c r="U572" i="1" s="1"/>
  <c r="V571" i="1"/>
  <c r="T571" i="1"/>
  <c r="U571" i="1" s="1"/>
  <c r="V570" i="1"/>
  <c r="T570" i="1"/>
  <c r="U570" i="1" s="1"/>
  <c r="V569" i="1"/>
  <c r="T569" i="1"/>
  <c r="U569" i="1" s="1"/>
  <c r="V568" i="1"/>
  <c r="T568" i="1"/>
  <c r="U568" i="1" s="1"/>
  <c r="V567" i="1"/>
  <c r="T567" i="1"/>
  <c r="U567" i="1" s="1"/>
  <c r="V566" i="1"/>
  <c r="T566" i="1"/>
  <c r="U566" i="1" s="1"/>
  <c r="V565" i="1"/>
  <c r="T565" i="1"/>
  <c r="U565" i="1" s="1"/>
  <c r="V564" i="1"/>
  <c r="T564" i="1"/>
  <c r="U564" i="1" s="1"/>
  <c r="V563" i="1"/>
  <c r="T563" i="1"/>
  <c r="U563" i="1" s="1"/>
  <c r="V562" i="1"/>
  <c r="T562" i="1"/>
  <c r="U562" i="1" s="1"/>
  <c r="V561" i="1"/>
  <c r="T561" i="1"/>
  <c r="U561" i="1" s="1"/>
  <c r="V560" i="1"/>
  <c r="T560" i="1"/>
  <c r="U560" i="1" s="1"/>
  <c r="V559" i="1"/>
  <c r="T559" i="1"/>
  <c r="U559" i="1" s="1"/>
  <c r="V558" i="1"/>
  <c r="T558" i="1"/>
  <c r="U558" i="1" s="1"/>
  <c r="V557" i="1"/>
  <c r="T557" i="1"/>
  <c r="U557" i="1" s="1"/>
  <c r="V556" i="1"/>
  <c r="T556" i="1"/>
  <c r="U556" i="1" s="1"/>
  <c r="V555" i="1"/>
  <c r="T555" i="1"/>
  <c r="U555" i="1" s="1"/>
  <c r="V554" i="1"/>
  <c r="T554" i="1"/>
  <c r="U554" i="1" s="1"/>
  <c r="V553" i="1"/>
  <c r="T553" i="1"/>
  <c r="U553" i="1" s="1"/>
  <c r="V552" i="1"/>
  <c r="T552" i="1"/>
  <c r="U552" i="1" s="1"/>
  <c r="V551" i="1"/>
  <c r="T551" i="1"/>
  <c r="U551" i="1" s="1"/>
  <c r="V550" i="1"/>
  <c r="T550" i="1"/>
  <c r="U550" i="1" s="1"/>
  <c r="V549" i="1"/>
  <c r="T549" i="1"/>
  <c r="U549" i="1" s="1"/>
  <c r="V548" i="1"/>
  <c r="T548" i="1"/>
  <c r="U548" i="1" s="1"/>
  <c r="V547" i="1"/>
  <c r="T547" i="1"/>
  <c r="U547" i="1" s="1"/>
  <c r="V546" i="1"/>
  <c r="T546" i="1"/>
  <c r="U546" i="1" s="1"/>
  <c r="V545" i="1"/>
  <c r="T545" i="1"/>
  <c r="U545" i="1" s="1"/>
  <c r="V544" i="1"/>
  <c r="T544" i="1"/>
  <c r="U544" i="1" s="1"/>
  <c r="V543" i="1"/>
  <c r="T543" i="1"/>
  <c r="U543" i="1" s="1"/>
  <c r="V542" i="1"/>
  <c r="T542" i="1"/>
  <c r="U542" i="1" s="1"/>
  <c r="V541" i="1"/>
  <c r="T541" i="1"/>
  <c r="U541" i="1" s="1"/>
  <c r="V540" i="1"/>
  <c r="T540" i="1"/>
  <c r="U540" i="1" s="1"/>
  <c r="V539" i="1"/>
  <c r="T539" i="1"/>
  <c r="U539" i="1" s="1"/>
  <c r="V538" i="1"/>
  <c r="T538" i="1"/>
  <c r="U538" i="1" s="1"/>
  <c r="V537" i="1"/>
  <c r="T537" i="1"/>
  <c r="U537" i="1" s="1"/>
  <c r="V536" i="1"/>
  <c r="T536" i="1"/>
  <c r="U536" i="1" s="1"/>
  <c r="V535" i="1"/>
  <c r="T535" i="1"/>
  <c r="U535" i="1" s="1"/>
  <c r="V534" i="1"/>
  <c r="T534" i="1"/>
  <c r="U534" i="1" s="1"/>
  <c r="V533" i="1"/>
  <c r="T533" i="1"/>
  <c r="U533" i="1" s="1"/>
  <c r="V532" i="1"/>
  <c r="T532" i="1"/>
  <c r="U532" i="1" s="1"/>
  <c r="V531" i="1"/>
  <c r="T531" i="1"/>
  <c r="U531" i="1" s="1"/>
  <c r="V530" i="1"/>
  <c r="T530" i="1"/>
  <c r="U530" i="1" s="1"/>
  <c r="V529" i="1"/>
  <c r="T529" i="1"/>
  <c r="U529" i="1" s="1"/>
  <c r="V528" i="1"/>
  <c r="T528" i="1"/>
  <c r="U528" i="1" s="1"/>
  <c r="V527" i="1"/>
  <c r="T527" i="1"/>
  <c r="U527" i="1" s="1"/>
  <c r="V526" i="1"/>
  <c r="T526" i="1"/>
  <c r="U526" i="1" s="1"/>
  <c r="V525" i="1"/>
  <c r="T525" i="1"/>
  <c r="U525" i="1" s="1"/>
  <c r="V524" i="1"/>
  <c r="T524" i="1"/>
  <c r="U524" i="1" s="1"/>
  <c r="V523" i="1"/>
  <c r="T523" i="1"/>
  <c r="U523" i="1" s="1"/>
  <c r="V522" i="1"/>
  <c r="T522" i="1"/>
  <c r="U522" i="1" s="1"/>
  <c r="V521" i="1"/>
  <c r="T521" i="1"/>
  <c r="U521" i="1" s="1"/>
  <c r="V520" i="1"/>
  <c r="T520" i="1"/>
  <c r="U520" i="1" s="1"/>
  <c r="V519" i="1"/>
  <c r="T519" i="1"/>
  <c r="U519" i="1" s="1"/>
  <c r="V518" i="1"/>
  <c r="T518" i="1"/>
  <c r="U518" i="1" s="1"/>
  <c r="V517" i="1"/>
  <c r="T517" i="1"/>
  <c r="U517" i="1" s="1"/>
  <c r="V516" i="1"/>
  <c r="T516" i="1"/>
  <c r="U516" i="1" s="1"/>
  <c r="V515" i="1"/>
  <c r="T515" i="1"/>
  <c r="U515" i="1" s="1"/>
  <c r="V514" i="1"/>
  <c r="T514" i="1"/>
  <c r="U514" i="1" s="1"/>
  <c r="V513" i="1"/>
  <c r="T513" i="1"/>
  <c r="U513" i="1" s="1"/>
  <c r="V512" i="1"/>
  <c r="T512" i="1"/>
  <c r="U512" i="1" s="1"/>
  <c r="V511" i="1"/>
  <c r="T511" i="1"/>
  <c r="U511" i="1" s="1"/>
  <c r="V510" i="1"/>
  <c r="T510" i="1"/>
  <c r="U510" i="1" s="1"/>
  <c r="V509" i="1"/>
  <c r="T509" i="1"/>
  <c r="U509" i="1" s="1"/>
  <c r="V508" i="1"/>
  <c r="T508" i="1"/>
  <c r="U508" i="1" s="1"/>
  <c r="V507" i="1"/>
  <c r="T507" i="1"/>
  <c r="U507" i="1" s="1"/>
  <c r="V506" i="1"/>
  <c r="T506" i="1"/>
  <c r="U506" i="1" s="1"/>
  <c r="V505" i="1"/>
  <c r="T505" i="1"/>
  <c r="U505" i="1" s="1"/>
  <c r="V504" i="1"/>
  <c r="T504" i="1"/>
  <c r="U504" i="1" s="1"/>
  <c r="V503" i="1"/>
  <c r="T503" i="1"/>
  <c r="U503" i="1" s="1"/>
  <c r="V502" i="1"/>
  <c r="T502" i="1"/>
  <c r="U502" i="1" s="1"/>
  <c r="V501" i="1"/>
  <c r="T501" i="1"/>
  <c r="U501" i="1" s="1"/>
  <c r="V500" i="1"/>
  <c r="T500" i="1"/>
  <c r="U500" i="1" s="1"/>
  <c r="V499" i="1"/>
  <c r="T499" i="1"/>
  <c r="U499" i="1" s="1"/>
  <c r="V498" i="1"/>
  <c r="T498" i="1"/>
  <c r="U498" i="1" s="1"/>
  <c r="V497" i="1"/>
  <c r="T497" i="1"/>
  <c r="U497" i="1" s="1"/>
  <c r="V496" i="1"/>
  <c r="T496" i="1"/>
  <c r="U496" i="1" s="1"/>
  <c r="V495" i="1"/>
  <c r="T495" i="1"/>
  <c r="U495" i="1" s="1"/>
  <c r="V494" i="1"/>
  <c r="T494" i="1"/>
  <c r="U494" i="1" s="1"/>
  <c r="V493" i="1"/>
  <c r="T493" i="1"/>
  <c r="U493" i="1" s="1"/>
  <c r="V492" i="1"/>
  <c r="T492" i="1"/>
  <c r="U492" i="1" s="1"/>
  <c r="V491" i="1"/>
  <c r="T491" i="1"/>
  <c r="U491" i="1" s="1"/>
  <c r="V490" i="1"/>
  <c r="T490" i="1"/>
  <c r="U490" i="1" s="1"/>
  <c r="V489" i="1"/>
  <c r="T489" i="1"/>
  <c r="U489" i="1" s="1"/>
  <c r="V488" i="1"/>
  <c r="T488" i="1"/>
  <c r="U488" i="1" s="1"/>
  <c r="V487" i="1"/>
  <c r="T487" i="1"/>
  <c r="U487" i="1" s="1"/>
  <c r="V486" i="1"/>
  <c r="T486" i="1"/>
  <c r="U486" i="1" s="1"/>
  <c r="V485" i="1"/>
  <c r="T485" i="1"/>
  <c r="U485" i="1" s="1"/>
  <c r="V484" i="1"/>
  <c r="T484" i="1"/>
  <c r="U484" i="1" s="1"/>
  <c r="V483" i="1"/>
  <c r="T483" i="1"/>
  <c r="U483" i="1" s="1"/>
  <c r="V482" i="1"/>
  <c r="T482" i="1"/>
  <c r="U482" i="1" s="1"/>
  <c r="V481" i="1"/>
  <c r="T481" i="1"/>
  <c r="U481" i="1" s="1"/>
  <c r="V480" i="1"/>
  <c r="T480" i="1"/>
  <c r="U480" i="1" s="1"/>
  <c r="V479" i="1"/>
  <c r="T479" i="1"/>
  <c r="U479" i="1" s="1"/>
  <c r="V478" i="1"/>
  <c r="T478" i="1"/>
  <c r="U478" i="1" s="1"/>
  <c r="V477" i="1"/>
  <c r="T477" i="1"/>
  <c r="U477" i="1" s="1"/>
  <c r="V476" i="1"/>
  <c r="T476" i="1"/>
  <c r="U476" i="1" s="1"/>
  <c r="V475" i="1"/>
  <c r="T475" i="1"/>
  <c r="U475" i="1" s="1"/>
  <c r="V474" i="1"/>
  <c r="T474" i="1"/>
  <c r="U474" i="1" s="1"/>
  <c r="V473" i="1"/>
  <c r="T473" i="1"/>
  <c r="U473" i="1" s="1"/>
  <c r="V472" i="1"/>
  <c r="T472" i="1"/>
  <c r="U472" i="1" s="1"/>
  <c r="V471" i="1"/>
  <c r="T471" i="1"/>
  <c r="U471" i="1" s="1"/>
  <c r="V470" i="1"/>
  <c r="T470" i="1"/>
  <c r="U470" i="1" s="1"/>
  <c r="V469" i="1"/>
  <c r="T469" i="1"/>
  <c r="U469" i="1" s="1"/>
  <c r="V468" i="1"/>
  <c r="T468" i="1"/>
  <c r="U468" i="1" s="1"/>
  <c r="V467" i="1"/>
  <c r="T467" i="1"/>
  <c r="U467" i="1" s="1"/>
  <c r="V466" i="1"/>
  <c r="T466" i="1"/>
  <c r="U466" i="1" s="1"/>
  <c r="V465" i="1"/>
  <c r="T465" i="1"/>
  <c r="U465" i="1" s="1"/>
  <c r="V464" i="1"/>
  <c r="T464" i="1"/>
  <c r="U464" i="1" s="1"/>
  <c r="V463" i="1"/>
  <c r="T463" i="1"/>
  <c r="U463" i="1" s="1"/>
  <c r="V462" i="1"/>
  <c r="T462" i="1"/>
  <c r="U462" i="1" s="1"/>
  <c r="V461" i="1"/>
  <c r="T461" i="1"/>
  <c r="U461" i="1" s="1"/>
  <c r="V460" i="1"/>
  <c r="T460" i="1"/>
  <c r="U460" i="1" s="1"/>
  <c r="V459" i="1"/>
  <c r="T459" i="1"/>
  <c r="U459" i="1" s="1"/>
  <c r="V458" i="1"/>
  <c r="T458" i="1"/>
  <c r="U458" i="1" s="1"/>
  <c r="V457" i="1"/>
  <c r="T457" i="1"/>
  <c r="U457" i="1" s="1"/>
  <c r="V456" i="1"/>
  <c r="T456" i="1"/>
  <c r="U456" i="1" s="1"/>
  <c r="V455" i="1"/>
  <c r="T455" i="1"/>
  <c r="U455" i="1" s="1"/>
  <c r="V454" i="1"/>
  <c r="T454" i="1"/>
  <c r="U454" i="1" s="1"/>
  <c r="V453" i="1"/>
  <c r="T453" i="1"/>
  <c r="U453" i="1" s="1"/>
  <c r="V452" i="1"/>
  <c r="T452" i="1"/>
  <c r="U452" i="1" s="1"/>
  <c r="V451" i="1"/>
  <c r="T451" i="1"/>
  <c r="U451" i="1" s="1"/>
  <c r="V450" i="1"/>
  <c r="T450" i="1"/>
  <c r="U450" i="1" s="1"/>
  <c r="V449" i="1"/>
  <c r="T449" i="1"/>
  <c r="U449" i="1" s="1"/>
  <c r="V448" i="1"/>
  <c r="T448" i="1"/>
  <c r="U448" i="1" s="1"/>
  <c r="V447" i="1"/>
  <c r="T447" i="1"/>
  <c r="U447" i="1" s="1"/>
  <c r="V446" i="1"/>
  <c r="T446" i="1"/>
  <c r="U446" i="1" s="1"/>
  <c r="V445" i="1"/>
  <c r="T445" i="1"/>
  <c r="U445" i="1" s="1"/>
  <c r="V444" i="1"/>
  <c r="T444" i="1"/>
  <c r="U444" i="1" s="1"/>
  <c r="V443" i="1"/>
  <c r="T443" i="1"/>
  <c r="U443" i="1" s="1"/>
  <c r="V442" i="1"/>
  <c r="T442" i="1"/>
  <c r="U442" i="1" s="1"/>
  <c r="V441" i="1"/>
  <c r="T441" i="1"/>
  <c r="U441" i="1" s="1"/>
  <c r="V440" i="1"/>
  <c r="T440" i="1"/>
  <c r="U440" i="1" s="1"/>
  <c r="V439" i="1"/>
  <c r="T439" i="1"/>
  <c r="U439" i="1" s="1"/>
  <c r="V438" i="1"/>
  <c r="T438" i="1"/>
  <c r="U438" i="1" s="1"/>
  <c r="V437" i="1"/>
  <c r="T437" i="1"/>
  <c r="U437" i="1" s="1"/>
  <c r="V436" i="1"/>
  <c r="T436" i="1"/>
  <c r="U436" i="1" s="1"/>
  <c r="V435" i="1"/>
  <c r="T435" i="1"/>
  <c r="U435" i="1" s="1"/>
  <c r="V434" i="1"/>
  <c r="T434" i="1"/>
  <c r="U434" i="1" s="1"/>
  <c r="V433" i="1"/>
  <c r="T433" i="1"/>
  <c r="U433" i="1" s="1"/>
  <c r="V432" i="1"/>
  <c r="T432" i="1"/>
  <c r="U432" i="1" s="1"/>
  <c r="V431" i="1"/>
  <c r="T431" i="1"/>
  <c r="U431" i="1" s="1"/>
  <c r="V430" i="1"/>
  <c r="T430" i="1"/>
  <c r="U430" i="1" s="1"/>
  <c r="V429" i="1"/>
  <c r="T429" i="1"/>
  <c r="U429" i="1" s="1"/>
  <c r="V428" i="1"/>
  <c r="T428" i="1"/>
  <c r="U428" i="1" s="1"/>
  <c r="V427" i="1"/>
  <c r="T427" i="1"/>
  <c r="U427" i="1" s="1"/>
  <c r="V426" i="1"/>
  <c r="T426" i="1"/>
  <c r="U426" i="1" s="1"/>
  <c r="V425" i="1"/>
  <c r="T425" i="1"/>
  <c r="U425" i="1" s="1"/>
  <c r="V424" i="1"/>
  <c r="T424" i="1"/>
  <c r="U424" i="1" s="1"/>
  <c r="V423" i="1"/>
  <c r="T423" i="1"/>
  <c r="U423" i="1" s="1"/>
  <c r="V422" i="1"/>
  <c r="T422" i="1"/>
  <c r="U422" i="1" s="1"/>
  <c r="V421" i="1"/>
  <c r="T421" i="1"/>
  <c r="U421" i="1" s="1"/>
  <c r="V420" i="1"/>
  <c r="T420" i="1"/>
  <c r="U420" i="1" s="1"/>
  <c r="V419" i="1"/>
  <c r="T419" i="1"/>
  <c r="U419" i="1" s="1"/>
  <c r="V418" i="1"/>
  <c r="T418" i="1"/>
  <c r="U418" i="1" s="1"/>
  <c r="V417" i="1"/>
  <c r="T417" i="1"/>
  <c r="U417" i="1" s="1"/>
  <c r="V416" i="1"/>
  <c r="T416" i="1"/>
  <c r="U416" i="1" s="1"/>
  <c r="V415" i="1"/>
  <c r="T415" i="1"/>
  <c r="U415" i="1" s="1"/>
  <c r="V414" i="1"/>
  <c r="T414" i="1"/>
  <c r="U414" i="1" s="1"/>
  <c r="V413" i="1"/>
  <c r="T413" i="1"/>
  <c r="U413" i="1" s="1"/>
  <c r="V412" i="1"/>
  <c r="T412" i="1"/>
  <c r="U412" i="1" s="1"/>
  <c r="V411" i="1"/>
  <c r="T411" i="1"/>
  <c r="U411" i="1" s="1"/>
  <c r="V410" i="1"/>
  <c r="T410" i="1"/>
  <c r="U410" i="1" s="1"/>
  <c r="V409" i="1"/>
  <c r="T409" i="1"/>
  <c r="U409" i="1" s="1"/>
  <c r="V408" i="1"/>
  <c r="T408" i="1"/>
  <c r="U408" i="1" s="1"/>
  <c r="V407" i="1"/>
  <c r="T407" i="1"/>
  <c r="U407" i="1" s="1"/>
  <c r="V406" i="1"/>
  <c r="T406" i="1"/>
  <c r="U406" i="1" s="1"/>
  <c r="V405" i="1"/>
  <c r="T405" i="1"/>
  <c r="U405" i="1" s="1"/>
  <c r="V404" i="1"/>
  <c r="T404" i="1"/>
  <c r="U404" i="1" s="1"/>
  <c r="V403" i="1"/>
  <c r="T403" i="1"/>
  <c r="U403" i="1" s="1"/>
  <c r="V402" i="1"/>
  <c r="T402" i="1"/>
  <c r="U402" i="1" s="1"/>
  <c r="V401" i="1"/>
  <c r="T401" i="1"/>
  <c r="U401" i="1" s="1"/>
  <c r="V400" i="1"/>
  <c r="T400" i="1"/>
  <c r="U400" i="1" s="1"/>
  <c r="V399" i="1"/>
  <c r="T399" i="1"/>
  <c r="U399" i="1" s="1"/>
  <c r="V398" i="1"/>
  <c r="T398" i="1"/>
  <c r="U398" i="1" s="1"/>
  <c r="V397" i="1"/>
  <c r="T397" i="1"/>
  <c r="U397" i="1" s="1"/>
  <c r="V396" i="1"/>
  <c r="T396" i="1"/>
  <c r="U396" i="1" s="1"/>
  <c r="V395" i="1"/>
  <c r="T395" i="1"/>
  <c r="U395" i="1" s="1"/>
  <c r="V394" i="1"/>
  <c r="T394" i="1"/>
  <c r="U394" i="1" s="1"/>
  <c r="V393" i="1"/>
  <c r="T393" i="1"/>
  <c r="U393" i="1" s="1"/>
  <c r="V392" i="1"/>
  <c r="T392" i="1"/>
  <c r="U392" i="1" s="1"/>
  <c r="V391" i="1"/>
  <c r="T391" i="1"/>
  <c r="U391" i="1" s="1"/>
  <c r="V390" i="1"/>
  <c r="T390" i="1"/>
  <c r="U390" i="1" s="1"/>
  <c r="V389" i="1"/>
  <c r="T389" i="1"/>
  <c r="U389" i="1" s="1"/>
  <c r="V388" i="1"/>
  <c r="T388" i="1"/>
  <c r="U388" i="1" s="1"/>
  <c r="V387" i="1"/>
  <c r="T387" i="1"/>
  <c r="U387" i="1" s="1"/>
  <c r="V386" i="1"/>
  <c r="T386" i="1"/>
  <c r="U386" i="1" s="1"/>
  <c r="V385" i="1"/>
  <c r="T385" i="1"/>
  <c r="U385" i="1" s="1"/>
  <c r="V384" i="1"/>
  <c r="T384" i="1"/>
  <c r="U384" i="1" s="1"/>
  <c r="V383" i="1"/>
  <c r="T383" i="1"/>
  <c r="U383" i="1" s="1"/>
  <c r="V382" i="1"/>
  <c r="T382" i="1"/>
  <c r="U382" i="1" s="1"/>
  <c r="V381" i="1"/>
  <c r="T381" i="1"/>
  <c r="U381" i="1" s="1"/>
  <c r="V380" i="1"/>
  <c r="T380" i="1"/>
  <c r="U380" i="1" s="1"/>
  <c r="V379" i="1"/>
  <c r="T379" i="1"/>
  <c r="U379" i="1" s="1"/>
  <c r="V378" i="1"/>
  <c r="T378" i="1"/>
  <c r="U378" i="1" s="1"/>
  <c r="V377" i="1"/>
  <c r="T377" i="1"/>
  <c r="U377" i="1" s="1"/>
  <c r="V376" i="1"/>
  <c r="T376" i="1"/>
  <c r="U376" i="1" s="1"/>
  <c r="V375" i="1"/>
  <c r="T375" i="1"/>
  <c r="U375" i="1" s="1"/>
  <c r="V374" i="1"/>
  <c r="T374" i="1"/>
  <c r="U374" i="1" s="1"/>
  <c r="V373" i="1"/>
  <c r="T373" i="1"/>
  <c r="U373" i="1" s="1"/>
  <c r="V372" i="1"/>
  <c r="T372" i="1"/>
  <c r="U372" i="1" s="1"/>
  <c r="V371" i="1"/>
  <c r="T371" i="1"/>
  <c r="U371" i="1" s="1"/>
  <c r="V370" i="1"/>
  <c r="T370" i="1"/>
  <c r="U370" i="1" s="1"/>
  <c r="V369" i="1"/>
  <c r="T369" i="1"/>
  <c r="U369" i="1" s="1"/>
  <c r="V368" i="1"/>
  <c r="T368" i="1"/>
  <c r="U368" i="1" s="1"/>
  <c r="V367" i="1"/>
  <c r="T367" i="1"/>
  <c r="U367" i="1" s="1"/>
  <c r="V366" i="1"/>
  <c r="T366" i="1"/>
  <c r="U366" i="1" s="1"/>
  <c r="V365" i="1"/>
  <c r="T365" i="1"/>
  <c r="U365" i="1" s="1"/>
  <c r="V364" i="1"/>
  <c r="T364" i="1"/>
  <c r="U364" i="1" s="1"/>
  <c r="V363" i="1"/>
  <c r="T363" i="1"/>
  <c r="U363" i="1" s="1"/>
  <c r="V362" i="1"/>
  <c r="T362" i="1"/>
  <c r="U362" i="1" s="1"/>
  <c r="V361" i="1"/>
  <c r="T361" i="1"/>
  <c r="U361" i="1" s="1"/>
  <c r="V360" i="1"/>
  <c r="T360" i="1"/>
  <c r="U360" i="1" s="1"/>
  <c r="V359" i="1"/>
  <c r="T359" i="1"/>
  <c r="U359" i="1" s="1"/>
  <c r="V358" i="1"/>
  <c r="T358" i="1"/>
  <c r="U358" i="1" s="1"/>
  <c r="V357" i="1"/>
  <c r="T357" i="1"/>
  <c r="U357" i="1" s="1"/>
  <c r="V356" i="1"/>
  <c r="T356" i="1"/>
  <c r="U356" i="1" s="1"/>
  <c r="V355" i="1"/>
  <c r="T355" i="1"/>
  <c r="U355" i="1" s="1"/>
  <c r="V354" i="1"/>
  <c r="T354" i="1"/>
  <c r="U354" i="1" s="1"/>
  <c r="V353" i="1"/>
  <c r="T353" i="1"/>
  <c r="U353" i="1" s="1"/>
  <c r="V352" i="1"/>
  <c r="T352" i="1"/>
  <c r="U352" i="1" s="1"/>
  <c r="V351" i="1"/>
  <c r="T351" i="1"/>
  <c r="U351" i="1" s="1"/>
  <c r="V350" i="1"/>
  <c r="T350" i="1"/>
  <c r="U350" i="1" s="1"/>
  <c r="V349" i="1"/>
  <c r="T349" i="1"/>
  <c r="U349" i="1" s="1"/>
  <c r="V348" i="1"/>
  <c r="T348" i="1"/>
  <c r="U348" i="1" s="1"/>
  <c r="V347" i="1"/>
  <c r="T347" i="1"/>
  <c r="U347" i="1" s="1"/>
  <c r="V346" i="1"/>
  <c r="T346" i="1"/>
  <c r="U346" i="1" s="1"/>
  <c r="V345" i="1"/>
  <c r="T345" i="1"/>
  <c r="U345" i="1" s="1"/>
  <c r="V344" i="1"/>
  <c r="T344" i="1"/>
  <c r="U344" i="1" s="1"/>
  <c r="V343" i="1"/>
  <c r="T343" i="1"/>
  <c r="U343" i="1" s="1"/>
  <c r="V342" i="1"/>
  <c r="T342" i="1"/>
  <c r="U342" i="1" s="1"/>
  <c r="V341" i="1"/>
  <c r="T341" i="1"/>
  <c r="U341" i="1" s="1"/>
  <c r="V340" i="1"/>
  <c r="T340" i="1"/>
  <c r="U340" i="1" s="1"/>
  <c r="V339" i="1"/>
  <c r="T339" i="1"/>
  <c r="U339" i="1" s="1"/>
  <c r="V338" i="1"/>
  <c r="T338" i="1"/>
  <c r="U338" i="1" s="1"/>
  <c r="V337" i="1"/>
  <c r="T337" i="1"/>
  <c r="U337" i="1" s="1"/>
  <c r="V336" i="1"/>
  <c r="T336" i="1"/>
  <c r="U336" i="1" s="1"/>
  <c r="V335" i="1"/>
  <c r="T335" i="1"/>
  <c r="U335" i="1" s="1"/>
  <c r="V334" i="1"/>
  <c r="T334" i="1"/>
  <c r="U334" i="1" s="1"/>
  <c r="V333" i="1"/>
  <c r="T333" i="1"/>
  <c r="U333" i="1" s="1"/>
  <c r="V332" i="1"/>
  <c r="T332" i="1"/>
  <c r="U332" i="1" s="1"/>
  <c r="V331" i="1"/>
  <c r="T331" i="1"/>
  <c r="U331" i="1" s="1"/>
  <c r="V330" i="1"/>
  <c r="T330" i="1"/>
  <c r="U330" i="1" s="1"/>
  <c r="V329" i="1"/>
  <c r="T329" i="1"/>
  <c r="U329" i="1" s="1"/>
  <c r="V328" i="1"/>
  <c r="T328" i="1"/>
  <c r="U328" i="1" s="1"/>
  <c r="V327" i="1"/>
  <c r="T327" i="1"/>
  <c r="U327" i="1" s="1"/>
  <c r="V326" i="1"/>
  <c r="T326" i="1"/>
  <c r="U326" i="1" s="1"/>
  <c r="V325" i="1"/>
  <c r="T325" i="1"/>
  <c r="U325" i="1" s="1"/>
  <c r="V324" i="1"/>
  <c r="T324" i="1"/>
  <c r="U324" i="1" s="1"/>
  <c r="V323" i="1"/>
  <c r="T323" i="1"/>
  <c r="U323" i="1" s="1"/>
  <c r="V322" i="1"/>
  <c r="T322" i="1"/>
  <c r="U322" i="1" s="1"/>
  <c r="V321" i="1"/>
  <c r="T321" i="1"/>
  <c r="U321" i="1" s="1"/>
  <c r="V320" i="1"/>
  <c r="T320" i="1"/>
  <c r="U320" i="1" s="1"/>
  <c r="V319" i="1"/>
  <c r="T319" i="1"/>
  <c r="U319" i="1" s="1"/>
  <c r="V318" i="1"/>
  <c r="T318" i="1"/>
  <c r="U318" i="1" s="1"/>
  <c r="V317" i="1"/>
  <c r="T317" i="1"/>
  <c r="U317" i="1" s="1"/>
  <c r="V316" i="1"/>
  <c r="T316" i="1"/>
  <c r="U316" i="1" s="1"/>
  <c r="V315" i="1"/>
  <c r="T315" i="1"/>
  <c r="U315" i="1" s="1"/>
  <c r="V314" i="1"/>
  <c r="T314" i="1"/>
  <c r="U314" i="1" s="1"/>
  <c r="V313" i="1"/>
  <c r="T313" i="1"/>
  <c r="U313" i="1" s="1"/>
  <c r="V312" i="1"/>
  <c r="T312" i="1"/>
  <c r="U312" i="1" s="1"/>
  <c r="V311" i="1"/>
  <c r="T311" i="1"/>
  <c r="U311" i="1" s="1"/>
  <c r="V310" i="1"/>
  <c r="T310" i="1"/>
  <c r="U310" i="1" s="1"/>
  <c r="V309" i="1"/>
  <c r="T309" i="1"/>
  <c r="U309" i="1" s="1"/>
  <c r="V308" i="1"/>
  <c r="T308" i="1"/>
  <c r="U308" i="1" s="1"/>
  <c r="V307" i="1"/>
  <c r="T307" i="1"/>
  <c r="U307" i="1" s="1"/>
  <c r="V306" i="1"/>
  <c r="T306" i="1"/>
  <c r="U306" i="1" s="1"/>
  <c r="V305" i="1"/>
  <c r="T305" i="1"/>
  <c r="U305" i="1" s="1"/>
  <c r="V304" i="1"/>
  <c r="T304" i="1"/>
  <c r="U304" i="1" s="1"/>
  <c r="V303" i="1"/>
  <c r="T303" i="1"/>
  <c r="U303" i="1" s="1"/>
  <c r="V302" i="1"/>
  <c r="T302" i="1"/>
  <c r="U302" i="1" s="1"/>
  <c r="V301" i="1"/>
  <c r="T301" i="1"/>
  <c r="U301" i="1" s="1"/>
  <c r="V300" i="1"/>
  <c r="T300" i="1"/>
  <c r="U300" i="1" s="1"/>
  <c r="V299" i="1"/>
  <c r="T299" i="1"/>
  <c r="U299" i="1" s="1"/>
  <c r="V298" i="1"/>
  <c r="T298" i="1"/>
  <c r="U298" i="1" s="1"/>
  <c r="V297" i="1"/>
  <c r="T297" i="1"/>
  <c r="U297" i="1" s="1"/>
  <c r="V296" i="1"/>
  <c r="T296" i="1"/>
  <c r="U296" i="1" s="1"/>
  <c r="V295" i="1"/>
  <c r="T295" i="1"/>
  <c r="U295" i="1" s="1"/>
  <c r="V294" i="1"/>
  <c r="T294" i="1"/>
  <c r="U294" i="1" s="1"/>
  <c r="V293" i="1"/>
  <c r="T293" i="1"/>
  <c r="U293" i="1" s="1"/>
  <c r="V292" i="1"/>
  <c r="T292" i="1"/>
  <c r="U292" i="1" s="1"/>
  <c r="V291" i="1"/>
  <c r="T291" i="1"/>
  <c r="U291" i="1" s="1"/>
  <c r="V290" i="1"/>
  <c r="T290" i="1"/>
  <c r="U290" i="1" s="1"/>
  <c r="V289" i="1"/>
  <c r="T289" i="1"/>
  <c r="U289" i="1" s="1"/>
  <c r="V288" i="1"/>
  <c r="T288" i="1"/>
  <c r="U288" i="1" s="1"/>
  <c r="V287" i="1"/>
  <c r="T287" i="1"/>
  <c r="U287" i="1" s="1"/>
  <c r="V286" i="1"/>
  <c r="T286" i="1"/>
  <c r="U286" i="1" s="1"/>
  <c r="V285" i="1"/>
  <c r="T285" i="1"/>
  <c r="U285" i="1" s="1"/>
  <c r="V284" i="1"/>
  <c r="T284" i="1"/>
  <c r="U284" i="1" s="1"/>
  <c r="V283" i="1"/>
  <c r="T283" i="1"/>
  <c r="U283" i="1" s="1"/>
  <c r="V282" i="1"/>
  <c r="T282" i="1"/>
  <c r="U282" i="1" s="1"/>
  <c r="V281" i="1"/>
  <c r="T281" i="1"/>
  <c r="U281" i="1" s="1"/>
  <c r="V280" i="1"/>
  <c r="T280" i="1"/>
  <c r="U280" i="1" s="1"/>
  <c r="V279" i="1"/>
  <c r="T279" i="1"/>
  <c r="U279" i="1" s="1"/>
  <c r="V278" i="1"/>
  <c r="T278" i="1"/>
  <c r="U278" i="1" s="1"/>
  <c r="V277" i="1"/>
  <c r="T277" i="1"/>
  <c r="U277" i="1" s="1"/>
  <c r="V276" i="1"/>
  <c r="T276" i="1"/>
  <c r="U276" i="1" s="1"/>
  <c r="V275" i="1"/>
  <c r="T275" i="1"/>
  <c r="U275" i="1" s="1"/>
  <c r="V274" i="1"/>
  <c r="T274" i="1"/>
  <c r="U274" i="1" s="1"/>
  <c r="V273" i="1"/>
  <c r="T273" i="1"/>
  <c r="U273" i="1" s="1"/>
  <c r="V272" i="1"/>
  <c r="T272" i="1"/>
  <c r="U272" i="1" s="1"/>
  <c r="V271" i="1"/>
  <c r="T271" i="1"/>
  <c r="U271" i="1" s="1"/>
  <c r="V270" i="1"/>
  <c r="T270" i="1"/>
  <c r="U270" i="1" s="1"/>
  <c r="V269" i="1"/>
  <c r="T269" i="1"/>
  <c r="U269" i="1" s="1"/>
  <c r="V268" i="1"/>
  <c r="T268" i="1"/>
  <c r="U268" i="1" s="1"/>
  <c r="V267" i="1"/>
  <c r="T267" i="1"/>
  <c r="U267" i="1" s="1"/>
  <c r="V266" i="1"/>
  <c r="T266" i="1"/>
  <c r="U266" i="1" s="1"/>
  <c r="V265" i="1"/>
  <c r="T265" i="1"/>
  <c r="U265" i="1" s="1"/>
  <c r="V264" i="1"/>
  <c r="T264" i="1"/>
  <c r="U264" i="1" s="1"/>
  <c r="V263" i="1"/>
  <c r="T263" i="1"/>
  <c r="U263" i="1" s="1"/>
  <c r="V262" i="1"/>
  <c r="T262" i="1"/>
  <c r="U262" i="1" s="1"/>
  <c r="V261" i="1"/>
  <c r="T261" i="1"/>
  <c r="U261" i="1" s="1"/>
  <c r="V260" i="1"/>
  <c r="T260" i="1"/>
  <c r="U260" i="1" s="1"/>
  <c r="V259" i="1"/>
  <c r="T259" i="1"/>
  <c r="U259" i="1" s="1"/>
  <c r="V258" i="1"/>
  <c r="T258" i="1"/>
  <c r="U258" i="1" s="1"/>
  <c r="V257" i="1"/>
  <c r="T257" i="1"/>
  <c r="U257" i="1" s="1"/>
  <c r="V256" i="1"/>
  <c r="T256" i="1"/>
  <c r="U256" i="1" s="1"/>
  <c r="V255" i="1"/>
  <c r="T255" i="1"/>
  <c r="U255" i="1" s="1"/>
  <c r="V254" i="1"/>
  <c r="T254" i="1"/>
  <c r="U254" i="1" s="1"/>
  <c r="V253" i="1"/>
  <c r="T253" i="1"/>
  <c r="U253" i="1" s="1"/>
  <c r="V252" i="1"/>
  <c r="T252" i="1"/>
  <c r="U252" i="1" s="1"/>
  <c r="V251" i="1"/>
  <c r="T251" i="1"/>
  <c r="U251" i="1" s="1"/>
  <c r="V250" i="1"/>
  <c r="T250" i="1"/>
  <c r="U250" i="1" s="1"/>
  <c r="V249" i="1"/>
  <c r="T249" i="1"/>
  <c r="U249" i="1" s="1"/>
  <c r="V248" i="1"/>
  <c r="T248" i="1"/>
  <c r="U248" i="1" s="1"/>
  <c r="V247" i="1"/>
  <c r="T247" i="1"/>
  <c r="U247" i="1" s="1"/>
  <c r="V246" i="1"/>
  <c r="T246" i="1"/>
  <c r="U246" i="1" s="1"/>
  <c r="V245" i="1"/>
  <c r="T245" i="1"/>
  <c r="U245" i="1" s="1"/>
  <c r="V244" i="1"/>
  <c r="T244" i="1"/>
  <c r="U244" i="1" s="1"/>
  <c r="V243" i="1"/>
  <c r="T243" i="1"/>
  <c r="U243" i="1" s="1"/>
  <c r="V242" i="1"/>
  <c r="T242" i="1"/>
  <c r="U242" i="1" s="1"/>
  <c r="V241" i="1"/>
  <c r="T241" i="1"/>
  <c r="U241" i="1" s="1"/>
  <c r="V240" i="1"/>
  <c r="T240" i="1"/>
  <c r="U240" i="1" s="1"/>
  <c r="V239" i="1"/>
  <c r="T239" i="1"/>
  <c r="U239" i="1" s="1"/>
  <c r="V238" i="1"/>
  <c r="T238" i="1"/>
  <c r="U238" i="1" s="1"/>
  <c r="V237" i="1"/>
  <c r="T237" i="1"/>
  <c r="U237" i="1" s="1"/>
  <c r="V236" i="1"/>
  <c r="T236" i="1"/>
  <c r="U236" i="1" s="1"/>
  <c r="V235" i="1"/>
  <c r="T235" i="1"/>
  <c r="U235" i="1" s="1"/>
  <c r="V234" i="1"/>
  <c r="T234" i="1"/>
  <c r="U234" i="1" s="1"/>
  <c r="V233" i="1"/>
  <c r="T233" i="1"/>
  <c r="U233" i="1" s="1"/>
  <c r="V232" i="1"/>
  <c r="T232" i="1"/>
  <c r="U232" i="1" s="1"/>
  <c r="V231" i="1"/>
  <c r="T231" i="1"/>
  <c r="U231" i="1" s="1"/>
  <c r="V230" i="1"/>
  <c r="T230" i="1"/>
  <c r="U230" i="1" s="1"/>
  <c r="V229" i="1"/>
  <c r="T229" i="1"/>
  <c r="U229" i="1" s="1"/>
  <c r="V228" i="1"/>
  <c r="T228" i="1"/>
  <c r="U228" i="1" s="1"/>
  <c r="V227" i="1"/>
  <c r="T227" i="1"/>
  <c r="U227" i="1" s="1"/>
  <c r="V226" i="1"/>
  <c r="T226" i="1"/>
  <c r="U226" i="1" s="1"/>
  <c r="V225" i="1"/>
  <c r="T225" i="1"/>
  <c r="U225" i="1" s="1"/>
  <c r="V224" i="1"/>
  <c r="T224" i="1"/>
  <c r="U224" i="1" s="1"/>
  <c r="V223" i="1"/>
  <c r="T223" i="1"/>
  <c r="U223" i="1" s="1"/>
  <c r="V222" i="1"/>
  <c r="T222" i="1"/>
  <c r="U222" i="1" s="1"/>
  <c r="V221" i="1"/>
  <c r="T221" i="1"/>
  <c r="U221" i="1" s="1"/>
  <c r="V220" i="1"/>
  <c r="T220" i="1"/>
  <c r="U220" i="1" s="1"/>
  <c r="V219" i="1"/>
  <c r="T219" i="1"/>
  <c r="U219" i="1" s="1"/>
  <c r="V218" i="1"/>
  <c r="T218" i="1"/>
  <c r="U218" i="1" s="1"/>
  <c r="V217" i="1"/>
  <c r="T217" i="1"/>
  <c r="U217" i="1" s="1"/>
  <c r="V216" i="1"/>
  <c r="T216" i="1"/>
  <c r="U216" i="1" s="1"/>
  <c r="V215" i="1"/>
  <c r="T215" i="1"/>
  <c r="U215" i="1" s="1"/>
  <c r="V214" i="1"/>
  <c r="T214" i="1"/>
  <c r="U214" i="1" s="1"/>
  <c r="V213" i="1"/>
  <c r="T213" i="1"/>
  <c r="U213" i="1" s="1"/>
  <c r="V212" i="1"/>
  <c r="T212" i="1"/>
  <c r="U212" i="1" s="1"/>
  <c r="V211" i="1"/>
  <c r="T211" i="1"/>
  <c r="U211" i="1" s="1"/>
  <c r="V210" i="1"/>
  <c r="T210" i="1"/>
  <c r="U210" i="1" s="1"/>
  <c r="V209" i="1"/>
  <c r="T209" i="1"/>
  <c r="U209" i="1" s="1"/>
  <c r="V208" i="1"/>
  <c r="T208" i="1"/>
  <c r="U208" i="1" s="1"/>
  <c r="V207" i="1"/>
  <c r="T207" i="1"/>
  <c r="U207" i="1" s="1"/>
  <c r="V206" i="1"/>
  <c r="T206" i="1"/>
  <c r="U206" i="1" s="1"/>
  <c r="V205" i="1"/>
  <c r="T205" i="1"/>
  <c r="U205" i="1" s="1"/>
  <c r="V204" i="1"/>
  <c r="T204" i="1"/>
  <c r="U204" i="1" s="1"/>
  <c r="V203" i="1"/>
  <c r="T203" i="1"/>
  <c r="U203" i="1" s="1"/>
  <c r="V202" i="1"/>
  <c r="T202" i="1"/>
  <c r="U202" i="1" s="1"/>
  <c r="V201" i="1"/>
  <c r="T201" i="1"/>
  <c r="U201" i="1" s="1"/>
  <c r="V200" i="1"/>
  <c r="T200" i="1"/>
  <c r="U200" i="1" s="1"/>
  <c r="V199" i="1"/>
  <c r="T199" i="1"/>
  <c r="U199" i="1" s="1"/>
  <c r="V198" i="1"/>
  <c r="T198" i="1"/>
  <c r="U198" i="1" s="1"/>
  <c r="V197" i="1"/>
  <c r="T197" i="1"/>
  <c r="U197" i="1" s="1"/>
  <c r="V196" i="1"/>
  <c r="T196" i="1"/>
  <c r="U196" i="1" s="1"/>
  <c r="V195" i="1"/>
  <c r="T195" i="1"/>
  <c r="U195" i="1" s="1"/>
  <c r="V194" i="1"/>
  <c r="T194" i="1"/>
  <c r="U194" i="1" s="1"/>
  <c r="V193" i="1"/>
  <c r="T193" i="1"/>
  <c r="U193" i="1" s="1"/>
  <c r="V192" i="1"/>
  <c r="T192" i="1"/>
  <c r="U192" i="1" s="1"/>
  <c r="V191" i="1"/>
  <c r="T191" i="1"/>
  <c r="U191" i="1" s="1"/>
  <c r="V190" i="1"/>
  <c r="T190" i="1"/>
  <c r="U190" i="1" s="1"/>
  <c r="V189" i="1"/>
  <c r="T189" i="1"/>
  <c r="U189" i="1" s="1"/>
  <c r="V188" i="1"/>
  <c r="T188" i="1"/>
  <c r="U188" i="1" s="1"/>
  <c r="V187" i="1"/>
  <c r="T187" i="1"/>
  <c r="U187" i="1" s="1"/>
  <c r="V186" i="1"/>
  <c r="T186" i="1"/>
  <c r="U186" i="1" s="1"/>
  <c r="V185" i="1"/>
  <c r="T185" i="1"/>
  <c r="U185" i="1" s="1"/>
  <c r="V184" i="1"/>
  <c r="T184" i="1"/>
  <c r="U184" i="1" s="1"/>
  <c r="V183" i="1"/>
  <c r="T183" i="1"/>
  <c r="U183" i="1" s="1"/>
  <c r="V182" i="1"/>
  <c r="T182" i="1"/>
  <c r="U182" i="1" s="1"/>
  <c r="V181" i="1"/>
  <c r="T181" i="1"/>
  <c r="U181" i="1" s="1"/>
  <c r="V180" i="1"/>
  <c r="T180" i="1"/>
  <c r="U180" i="1" s="1"/>
  <c r="V179" i="1"/>
  <c r="T179" i="1"/>
  <c r="U179" i="1" s="1"/>
  <c r="V178" i="1"/>
  <c r="T178" i="1"/>
  <c r="U178" i="1" s="1"/>
  <c r="V177" i="1"/>
  <c r="T177" i="1"/>
  <c r="U177" i="1" s="1"/>
  <c r="V176" i="1"/>
  <c r="T176" i="1"/>
  <c r="U176" i="1" s="1"/>
  <c r="V175" i="1"/>
  <c r="T175" i="1"/>
  <c r="U175" i="1" s="1"/>
  <c r="V174" i="1"/>
  <c r="T174" i="1"/>
  <c r="U174" i="1" s="1"/>
  <c r="V173" i="1"/>
  <c r="T173" i="1"/>
  <c r="U173" i="1" s="1"/>
  <c r="V172" i="1"/>
  <c r="T172" i="1"/>
  <c r="U172" i="1" s="1"/>
  <c r="V171" i="1"/>
  <c r="T171" i="1"/>
  <c r="U171" i="1" s="1"/>
  <c r="V170" i="1"/>
  <c r="T170" i="1"/>
  <c r="U170" i="1" s="1"/>
  <c r="V169" i="1"/>
  <c r="T169" i="1"/>
  <c r="U169" i="1" s="1"/>
  <c r="V168" i="1"/>
  <c r="T168" i="1"/>
  <c r="U168" i="1" s="1"/>
  <c r="V167" i="1"/>
  <c r="T167" i="1"/>
  <c r="U167" i="1" s="1"/>
  <c r="V166" i="1"/>
  <c r="T166" i="1"/>
  <c r="U166" i="1" s="1"/>
  <c r="V165" i="1"/>
  <c r="T165" i="1"/>
  <c r="U165" i="1" s="1"/>
  <c r="V164" i="1"/>
  <c r="T164" i="1"/>
  <c r="U164" i="1" s="1"/>
  <c r="V163" i="1"/>
  <c r="T163" i="1"/>
  <c r="U163" i="1" s="1"/>
  <c r="V162" i="1"/>
  <c r="T162" i="1"/>
  <c r="U162" i="1" s="1"/>
  <c r="V161" i="1"/>
  <c r="T161" i="1"/>
  <c r="U161" i="1" s="1"/>
  <c r="V160" i="1"/>
  <c r="T160" i="1"/>
  <c r="U160" i="1" s="1"/>
  <c r="V159" i="1"/>
  <c r="T159" i="1"/>
  <c r="U159" i="1" s="1"/>
  <c r="V158" i="1"/>
  <c r="T158" i="1"/>
  <c r="U158" i="1" s="1"/>
  <c r="V157" i="1"/>
  <c r="T157" i="1"/>
  <c r="U157" i="1" s="1"/>
  <c r="V156" i="1"/>
  <c r="T156" i="1"/>
  <c r="U156" i="1" s="1"/>
  <c r="V155" i="1"/>
  <c r="T155" i="1"/>
  <c r="U155" i="1" s="1"/>
  <c r="V154" i="1"/>
  <c r="T154" i="1"/>
  <c r="U154" i="1" s="1"/>
  <c r="V153" i="1"/>
  <c r="T153" i="1"/>
  <c r="U153" i="1" s="1"/>
  <c r="V152" i="1"/>
  <c r="T152" i="1"/>
  <c r="U152" i="1" s="1"/>
  <c r="V151" i="1"/>
  <c r="T151" i="1"/>
  <c r="U151" i="1" s="1"/>
  <c r="V150" i="1"/>
  <c r="T150" i="1"/>
  <c r="U150" i="1" s="1"/>
  <c r="V149" i="1"/>
  <c r="T149" i="1"/>
  <c r="U149" i="1" s="1"/>
  <c r="V148" i="1"/>
  <c r="T148" i="1"/>
  <c r="U148" i="1" s="1"/>
  <c r="V147" i="1"/>
  <c r="T147" i="1"/>
  <c r="U147" i="1" s="1"/>
  <c r="V146" i="1"/>
  <c r="T146" i="1"/>
  <c r="U146" i="1" s="1"/>
  <c r="V145" i="1"/>
  <c r="T145" i="1"/>
  <c r="U145" i="1" s="1"/>
  <c r="V144" i="1"/>
  <c r="T144" i="1"/>
  <c r="U144" i="1" s="1"/>
  <c r="V143" i="1"/>
  <c r="T143" i="1"/>
  <c r="U143" i="1" s="1"/>
  <c r="V142" i="1"/>
  <c r="T142" i="1"/>
  <c r="U142" i="1" s="1"/>
  <c r="V141" i="1"/>
  <c r="T141" i="1"/>
  <c r="U141" i="1" s="1"/>
  <c r="V140" i="1"/>
  <c r="T140" i="1"/>
  <c r="U140" i="1" s="1"/>
  <c r="V139" i="1"/>
  <c r="T139" i="1"/>
  <c r="U139" i="1" s="1"/>
  <c r="V138" i="1"/>
  <c r="T138" i="1"/>
  <c r="U138" i="1" s="1"/>
  <c r="V137" i="1"/>
  <c r="T137" i="1"/>
  <c r="U137" i="1" s="1"/>
  <c r="V136" i="1"/>
  <c r="T136" i="1"/>
  <c r="U136" i="1" s="1"/>
  <c r="V135" i="1"/>
  <c r="T135" i="1"/>
  <c r="U135" i="1" s="1"/>
  <c r="V134" i="1"/>
  <c r="T134" i="1"/>
  <c r="U134" i="1" s="1"/>
  <c r="V133" i="1"/>
  <c r="T133" i="1"/>
  <c r="U133" i="1" s="1"/>
  <c r="V132" i="1"/>
  <c r="T132" i="1"/>
  <c r="U132" i="1" s="1"/>
  <c r="V131" i="1"/>
  <c r="T131" i="1"/>
  <c r="U131" i="1" s="1"/>
  <c r="V130" i="1"/>
  <c r="T130" i="1"/>
  <c r="U130" i="1" s="1"/>
  <c r="V129" i="1"/>
  <c r="T129" i="1"/>
  <c r="U129" i="1" s="1"/>
  <c r="V128" i="1"/>
  <c r="T128" i="1"/>
  <c r="U128" i="1" s="1"/>
  <c r="V127" i="1"/>
  <c r="T127" i="1"/>
  <c r="U127" i="1" s="1"/>
  <c r="V126" i="1"/>
  <c r="T126" i="1"/>
  <c r="U126" i="1" s="1"/>
  <c r="V125" i="1"/>
  <c r="T125" i="1"/>
  <c r="U125" i="1" s="1"/>
  <c r="V124" i="1"/>
  <c r="T124" i="1"/>
  <c r="U124" i="1" s="1"/>
  <c r="V123" i="1"/>
  <c r="T123" i="1"/>
  <c r="U123" i="1" s="1"/>
  <c r="V122" i="1"/>
  <c r="T122" i="1"/>
  <c r="U122" i="1" s="1"/>
  <c r="V121" i="1"/>
  <c r="T121" i="1"/>
  <c r="U121" i="1" s="1"/>
  <c r="V120" i="1"/>
  <c r="T120" i="1"/>
  <c r="U120" i="1" s="1"/>
  <c r="V119" i="1"/>
  <c r="T119" i="1"/>
  <c r="U119" i="1" s="1"/>
  <c r="V118" i="1"/>
  <c r="T118" i="1"/>
  <c r="U118" i="1" s="1"/>
  <c r="V117" i="1"/>
  <c r="T117" i="1"/>
  <c r="U117" i="1" s="1"/>
  <c r="V116" i="1"/>
  <c r="T116" i="1"/>
  <c r="U116" i="1" s="1"/>
  <c r="V115" i="1"/>
  <c r="T115" i="1"/>
  <c r="U115" i="1" s="1"/>
  <c r="V114" i="1"/>
  <c r="T114" i="1"/>
  <c r="U114" i="1" s="1"/>
  <c r="V113" i="1"/>
  <c r="T113" i="1"/>
  <c r="U113" i="1" s="1"/>
  <c r="V112" i="1"/>
  <c r="T112" i="1"/>
  <c r="U112" i="1" s="1"/>
  <c r="V111" i="1"/>
  <c r="T111" i="1"/>
  <c r="U111" i="1" s="1"/>
  <c r="V110" i="1"/>
  <c r="T110" i="1"/>
  <c r="U110" i="1" s="1"/>
  <c r="V109" i="1"/>
  <c r="T109" i="1"/>
  <c r="U109" i="1" s="1"/>
  <c r="V108" i="1"/>
  <c r="T108" i="1"/>
  <c r="U108" i="1" s="1"/>
  <c r="V107" i="1"/>
  <c r="T107" i="1"/>
  <c r="U107" i="1" s="1"/>
  <c r="V106" i="1"/>
  <c r="T106" i="1"/>
  <c r="U106" i="1" s="1"/>
  <c r="V105" i="1"/>
  <c r="T105" i="1"/>
  <c r="U105" i="1" s="1"/>
  <c r="V104" i="1"/>
  <c r="T104" i="1"/>
  <c r="U104" i="1" s="1"/>
  <c r="V103" i="1"/>
  <c r="T103" i="1"/>
  <c r="U103" i="1" s="1"/>
  <c r="V102" i="1"/>
  <c r="T102" i="1"/>
  <c r="U102" i="1" s="1"/>
  <c r="V101" i="1"/>
  <c r="T101" i="1"/>
  <c r="U101" i="1" s="1"/>
  <c r="V100" i="1"/>
  <c r="T100" i="1"/>
  <c r="U100" i="1" s="1"/>
  <c r="V99" i="1"/>
  <c r="T99" i="1"/>
  <c r="U99" i="1" s="1"/>
  <c r="V98" i="1"/>
  <c r="T98" i="1"/>
  <c r="U98" i="1" s="1"/>
  <c r="V97" i="1"/>
  <c r="T97" i="1"/>
  <c r="U97" i="1" s="1"/>
  <c r="V96" i="1"/>
  <c r="T96" i="1"/>
  <c r="U96" i="1" s="1"/>
  <c r="V95" i="1"/>
  <c r="T95" i="1"/>
  <c r="U95" i="1" s="1"/>
  <c r="V94" i="1"/>
  <c r="T94" i="1"/>
  <c r="U94" i="1" s="1"/>
  <c r="V93" i="1"/>
  <c r="T93" i="1"/>
  <c r="U93" i="1" s="1"/>
  <c r="V92" i="1"/>
  <c r="T92" i="1"/>
  <c r="U92" i="1" s="1"/>
  <c r="V91" i="1"/>
  <c r="T91" i="1"/>
  <c r="U91" i="1" s="1"/>
  <c r="V90" i="1"/>
  <c r="T90" i="1"/>
  <c r="U90" i="1" s="1"/>
  <c r="V89" i="1"/>
  <c r="T89" i="1"/>
  <c r="U89" i="1" s="1"/>
  <c r="V88" i="1"/>
  <c r="T88" i="1"/>
  <c r="U88" i="1" s="1"/>
  <c r="V87" i="1"/>
  <c r="T87" i="1"/>
  <c r="U87" i="1" s="1"/>
  <c r="V86" i="1"/>
  <c r="T86" i="1"/>
  <c r="U86" i="1" s="1"/>
  <c r="V85" i="1"/>
  <c r="T85" i="1"/>
  <c r="U85" i="1" s="1"/>
  <c r="V84" i="1"/>
  <c r="T84" i="1"/>
  <c r="U84" i="1" s="1"/>
  <c r="V83" i="1"/>
  <c r="T83" i="1"/>
  <c r="U83" i="1" s="1"/>
  <c r="V82" i="1"/>
  <c r="T82" i="1"/>
  <c r="U82" i="1" s="1"/>
  <c r="V81" i="1"/>
  <c r="T81" i="1"/>
  <c r="U81" i="1" s="1"/>
  <c r="V80" i="1"/>
  <c r="T80" i="1"/>
  <c r="U80" i="1" s="1"/>
  <c r="V79" i="1"/>
  <c r="T79" i="1"/>
  <c r="U79" i="1" s="1"/>
  <c r="V78" i="1"/>
  <c r="T78" i="1"/>
  <c r="U78" i="1" s="1"/>
  <c r="V77" i="1"/>
  <c r="T77" i="1"/>
  <c r="U77" i="1" s="1"/>
  <c r="V76" i="1"/>
  <c r="T76" i="1"/>
  <c r="U76" i="1" s="1"/>
  <c r="V75" i="1"/>
  <c r="T75" i="1"/>
  <c r="U75" i="1" s="1"/>
  <c r="V74" i="1"/>
  <c r="T74" i="1"/>
  <c r="U74" i="1" s="1"/>
  <c r="V73" i="1"/>
  <c r="T73" i="1"/>
  <c r="U73" i="1" s="1"/>
  <c r="V72" i="1"/>
  <c r="T72" i="1"/>
  <c r="U72" i="1" s="1"/>
  <c r="V71" i="1"/>
  <c r="T71" i="1"/>
  <c r="U71" i="1" s="1"/>
  <c r="V70" i="1"/>
  <c r="T70" i="1"/>
  <c r="U70" i="1" s="1"/>
  <c r="V69" i="1"/>
  <c r="T69" i="1"/>
  <c r="U69" i="1" s="1"/>
  <c r="V68" i="1"/>
  <c r="T68" i="1"/>
  <c r="U68" i="1" s="1"/>
  <c r="V67" i="1"/>
  <c r="T67" i="1"/>
  <c r="U67" i="1" s="1"/>
  <c r="V66" i="1"/>
  <c r="T66" i="1"/>
  <c r="U66" i="1" s="1"/>
  <c r="V65" i="1"/>
  <c r="T65" i="1"/>
  <c r="U65" i="1" s="1"/>
  <c r="V64" i="1"/>
  <c r="T64" i="1"/>
  <c r="U64" i="1" s="1"/>
  <c r="V63" i="1"/>
  <c r="T63" i="1"/>
  <c r="U63" i="1" s="1"/>
  <c r="V62" i="1"/>
  <c r="T62" i="1"/>
  <c r="U62" i="1" s="1"/>
  <c r="V61" i="1"/>
  <c r="T61" i="1"/>
  <c r="U61" i="1" s="1"/>
  <c r="V60" i="1"/>
  <c r="T60" i="1"/>
  <c r="U60" i="1" s="1"/>
  <c r="V59" i="1"/>
  <c r="T59" i="1"/>
  <c r="U59" i="1" s="1"/>
  <c r="V58" i="1"/>
  <c r="T58" i="1"/>
  <c r="U58" i="1" s="1"/>
  <c r="V57" i="1"/>
  <c r="T57" i="1"/>
  <c r="U57" i="1" s="1"/>
  <c r="V56" i="1"/>
  <c r="T56" i="1"/>
  <c r="U56" i="1" s="1"/>
  <c r="V55" i="1"/>
  <c r="T55" i="1"/>
  <c r="U55" i="1" s="1"/>
  <c r="V54" i="1"/>
  <c r="T54" i="1"/>
  <c r="U54" i="1" s="1"/>
  <c r="V53" i="1"/>
  <c r="T53" i="1"/>
  <c r="U53" i="1" s="1"/>
  <c r="V52" i="1"/>
  <c r="T52" i="1"/>
  <c r="U52" i="1" s="1"/>
  <c r="V51" i="1"/>
  <c r="T51" i="1"/>
  <c r="U51" i="1" s="1"/>
  <c r="V50" i="1"/>
  <c r="T50" i="1"/>
  <c r="U50" i="1" s="1"/>
  <c r="V49" i="1"/>
  <c r="T49" i="1"/>
  <c r="U49" i="1" s="1"/>
  <c r="V48" i="1"/>
  <c r="T48" i="1"/>
  <c r="U48" i="1" s="1"/>
  <c r="V47" i="1"/>
  <c r="T47" i="1"/>
  <c r="U47" i="1" s="1"/>
  <c r="V46" i="1"/>
  <c r="T46" i="1"/>
  <c r="U46" i="1" s="1"/>
  <c r="V45" i="1"/>
  <c r="T45" i="1"/>
  <c r="U45" i="1" s="1"/>
  <c r="V44" i="1"/>
  <c r="T44" i="1"/>
  <c r="U44" i="1" s="1"/>
  <c r="V43" i="1"/>
  <c r="T43" i="1"/>
  <c r="U43" i="1" s="1"/>
  <c r="V42" i="1"/>
  <c r="T42" i="1"/>
  <c r="U42" i="1" s="1"/>
  <c r="V41" i="1"/>
  <c r="T41" i="1"/>
  <c r="U41" i="1" s="1"/>
  <c r="V40" i="1"/>
  <c r="T40" i="1"/>
  <c r="U40" i="1" s="1"/>
  <c r="V39" i="1"/>
  <c r="T39" i="1"/>
  <c r="U39" i="1" s="1"/>
  <c r="V38" i="1"/>
  <c r="T38" i="1"/>
  <c r="U38" i="1" s="1"/>
  <c r="V37" i="1"/>
  <c r="T37" i="1"/>
  <c r="U37" i="1" s="1"/>
  <c r="V36" i="1"/>
  <c r="T36" i="1"/>
  <c r="U36" i="1" s="1"/>
  <c r="V35" i="1"/>
  <c r="T35" i="1"/>
  <c r="U35" i="1" s="1"/>
  <c r="V34" i="1"/>
  <c r="T34" i="1"/>
  <c r="U34" i="1" s="1"/>
  <c r="V33" i="1"/>
  <c r="T33" i="1"/>
  <c r="U33" i="1" s="1"/>
  <c r="V32" i="1"/>
  <c r="T32" i="1"/>
  <c r="U32" i="1" s="1"/>
  <c r="V31" i="1"/>
  <c r="T31" i="1"/>
  <c r="U31" i="1" s="1"/>
  <c r="V30" i="1"/>
  <c r="T30" i="1"/>
  <c r="U30" i="1" s="1"/>
  <c r="V29" i="1"/>
  <c r="T29" i="1"/>
  <c r="U29" i="1" s="1"/>
  <c r="V28" i="1"/>
  <c r="T28" i="1"/>
  <c r="U28" i="1" s="1"/>
  <c r="V27" i="1"/>
  <c r="T27" i="1"/>
  <c r="U27" i="1" s="1"/>
  <c r="V26" i="1"/>
  <c r="T26" i="1"/>
  <c r="U26" i="1" s="1"/>
  <c r="V25" i="1"/>
  <c r="T25" i="1"/>
  <c r="U25" i="1" s="1"/>
  <c r="V24" i="1"/>
  <c r="T24" i="1"/>
  <c r="U24" i="1" s="1"/>
  <c r="V23" i="1"/>
  <c r="T23" i="1"/>
  <c r="U23" i="1" s="1"/>
  <c r="V22" i="1"/>
  <c r="T22" i="1"/>
  <c r="U22" i="1" s="1"/>
  <c r="V21" i="1"/>
  <c r="T21" i="1"/>
  <c r="U21" i="1" s="1"/>
  <c r="V20" i="1"/>
  <c r="T20" i="1"/>
  <c r="U20" i="1" s="1"/>
  <c r="V19" i="1"/>
  <c r="T19" i="1"/>
  <c r="U19" i="1" s="1"/>
  <c r="V18" i="1"/>
  <c r="T18" i="1"/>
  <c r="U18" i="1" s="1"/>
  <c r="V17" i="1"/>
  <c r="T17" i="1"/>
  <c r="U17" i="1" s="1"/>
  <c r="V16" i="1"/>
  <c r="T16" i="1"/>
  <c r="U16" i="1" s="1"/>
  <c r="V15" i="1"/>
  <c r="T15" i="1"/>
  <c r="U15" i="1" s="1"/>
  <c r="V14" i="1"/>
  <c r="T14" i="1"/>
  <c r="U14" i="1" s="1"/>
  <c r="V13" i="1"/>
  <c r="T13" i="1"/>
  <c r="U13" i="1" s="1"/>
  <c r="V12" i="1"/>
  <c r="T12" i="1"/>
  <c r="U12" i="1" s="1"/>
  <c r="V11" i="1"/>
  <c r="T11" i="1"/>
  <c r="U11" i="1" s="1"/>
  <c r="V10" i="1"/>
  <c r="T10" i="1"/>
  <c r="U10" i="1" s="1"/>
  <c r="V9" i="1"/>
  <c r="T9" i="1"/>
  <c r="U9" i="1" s="1"/>
  <c r="V8" i="1"/>
  <c r="T8" i="1"/>
  <c r="U8" i="1" s="1"/>
  <c r="V7" i="1"/>
  <c r="T7" i="1"/>
  <c r="U7" i="1" s="1"/>
  <c r="V6" i="1"/>
  <c r="T6" i="1"/>
  <c r="U6" i="1" s="1"/>
  <c r="V5" i="1"/>
  <c r="T5" i="1"/>
  <c r="U5" i="1" s="1"/>
  <c r="V4" i="1"/>
  <c r="T4" i="1"/>
  <c r="U4" i="1" s="1"/>
  <c r="V3" i="1"/>
  <c r="T3" i="1"/>
  <c r="U3" i="1" s="1"/>
  <c r="V2" i="1"/>
  <c r="T2" i="1"/>
  <c r="U2" i="1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2" i="1"/>
  <c r="K19" i="2"/>
  <c r="K20" i="2"/>
  <c r="K22" i="2"/>
  <c r="K23" i="2"/>
  <c r="K24" i="2"/>
  <c r="K27" i="2"/>
  <c r="K28" i="2"/>
  <c r="K18" i="2"/>
  <c r="K21" i="2"/>
  <c r="K25" i="2"/>
  <c r="K26" i="2"/>
  <c r="U1799" i="1"/>
  <c r="U1800" i="1"/>
  <c r="U1801" i="1"/>
  <c r="U1802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121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59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84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235" i="1"/>
  <c r="S236" i="1"/>
  <c r="S185" i="1"/>
  <c r="S186" i="1"/>
  <c r="S187" i="1"/>
  <c r="S188" i="1"/>
  <c r="S189" i="1"/>
  <c r="S274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87" i="1"/>
  <c r="S344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345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365" i="1"/>
  <c r="S379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81" i="1"/>
  <c r="S382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507" i="1"/>
  <c r="S608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609" i="1"/>
  <c r="S380" i="1"/>
  <c r="S684" i="1"/>
  <c r="S685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695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734" i="1"/>
  <c r="S735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838" i="1"/>
  <c r="S676" i="1"/>
  <c r="S677" i="1"/>
  <c r="S678" i="1"/>
  <c r="S679" i="1"/>
  <c r="S680" i="1"/>
  <c r="S681" i="1"/>
  <c r="S682" i="1"/>
  <c r="S683" i="1"/>
  <c r="S875" i="1"/>
  <c r="S894" i="1"/>
  <c r="S686" i="1"/>
  <c r="S687" i="1"/>
  <c r="S688" i="1"/>
  <c r="S689" i="1"/>
  <c r="S690" i="1"/>
  <c r="S691" i="1"/>
  <c r="S692" i="1"/>
  <c r="S693" i="1"/>
  <c r="S694" i="1"/>
  <c r="S987" i="1"/>
  <c r="S103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1036" i="1"/>
  <c r="S1042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1043" i="1"/>
  <c r="S1044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119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1315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1355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372" i="1"/>
  <c r="S1398" i="1"/>
  <c r="S1037" i="1"/>
  <c r="S1038" i="1"/>
  <c r="S1039" i="1"/>
  <c r="S1040" i="1"/>
  <c r="S1041" i="1"/>
  <c r="S1418" i="1"/>
  <c r="S1617" i="1"/>
  <c r="S1697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706" i="1"/>
  <c r="S1196" i="1"/>
  <c r="S1197" i="1"/>
  <c r="S1198" i="1"/>
  <c r="S1199" i="1"/>
  <c r="S1200" i="1"/>
  <c r="S1201" i="1"/>
  <c r="S1202" i="1"/>
  <c r="S1203" i="1"/>
  <c r="S1204" i="1"/>
  <c r="S1205" i="1"/>
  <c r="S1206" i="1"/>
  <c r="S1739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747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788" i="1"/>
  <c r="S1790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791" i="1"/>
  <c r="S179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793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794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795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796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797" i="1"/>
  <c r="S1698" i="1"/>
  <c r="S1699" i="1"/>
  <c r="S1700" i="1"/>
  <c r="S1701" i="1"/>
  <c r="S1702" i="1"/>
  <c r="S1703" i="1"/>
  <c r="S1704" i="1"/>
  <c r="S1705" i="1"/>
  <c r="S1798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99" i="1"/>
  <c r="S1800" i="1"/>
  <c r="S1740" i="1"/>
  <c r="S1741" i="1"/>
  <c r="S1742" i="1"/>
  <c r="S1743" i="1"/>
  <c r="S1744" i="1"/>
  <c r="S1745" i="1"/>
  <c r="S1746" i="1"/>
  <c r="S1801" i="1"/>
  <c r="S1802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9" i="1"/>
  <c r="S35" i="1"/>
  <c r="S36" i="1"/>
  <c r="S37" i="1"/>
  <c r="S38" i="1"/>
  <c r="S39" i="1"/>
  <c r="S40" i="1"/>
  <c r="S41" i="1"/>
  <c r="S42" i="1"/>
  <c r="S43" i="1"/>
  <c r="S44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D1BE4C-EF46-42FF-98BF-CB9ED2639045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<sst xmlns="http://schemas.openxmlformats.org/spreadsheetml/2006/main" count="18575" uniqueCount="2648">
  <si>
    <t>patient_id</t>
  </si>
  <si>
    <t>hospital</t>
  </si>
  <si>
    <t>department</t>
  </si>
  <si>
    <t>appointment_datetime</t>
  </si>
  <si>
    <t>arrival_datetime</t>
  </si>
  <si>
    <t>discharge_datetime</t>
  </si>
  <si>
    <t>age</t>
  </si>
  <si>
    <t>gender</t>
  </si>
  <si>
    <t>appointment_status</t>
  </si>
  <si>
    <t>waiting_time_minutes</t>
  </si>
  <si>
    <t>consultation_duration_minutes</t>
  </si>
  <si>
    <t>referral_source</t>
  </si>
  <si>
    <t>postcode_area</t>
  </si>
  <si>
    <t>patient_satisfaction</t>
  </si>
  <si>
    <t>follow_up_required</t>
  </si>
  <si>
    <t>cost_gbp</t>
  </si>
  <si>
    <t>data_source</t>
  </si>
  <si>
    <t>A00001</t>
  </si>
  <si>
    <t>P10377</t>
  </si>
  <si>
    <t>Royal Victoria Hospital</t>
  </si>
  <si>
    <t>Outpatient</t>
  </si>
  <si>
    <t>Female</t>
  </si>
  <si>
    <t>Pending</t>
  </si>
  <si>
    <t>Emergency</t>
  </si>
  <si>
    <t>BT9</t>
  </si>
  <si>
    <t>Yes</t>
  </si>
  <si>
    <t>Legacy DB</t>
  </si>
  <si>
    <t>A00002</t>
  </si>
  <si>
    <t>P10110</t>
  </si>
  <si>
    <t>RVH</t>
  </si>
  <si>
    <t>Cardiology</t>
  </si>
  <si>
    <t>complete</t>
  </si>
  <si>
    <t>Online</t>
  </si>
  <si>
    <t>UNKNOWN</t>
  </si>
  <si>
    <t>yes</t>
  </si>
  <si>
    <t>A00003</t>
  </si>
  <si>
    <t>P10437</t>
  </si>
  <si>
    <t>Ulster Hospital</t>
  </si>
  <si>
    <t>Neurology</t>
  </si>
  <si>
    <t>Prefer not to say</t>
  </si>
  <si>
    <t>DNA</t>
  </si>
  <si>
    <t>Walk-in</t>
  </si>
  <si>
    <t xml:space="preserve">No </t>
  </si>
  <si>
    <t>ClinicSystem</t>
  </si>
  <si>
    <t>A00004</t>
  </si>
  <si>
    <t>P10117</t>
  </si>
  <si>
    <t>Belfast City Hospital</t>
  </si>
  <si>
    <t>Pediatrics</t>
  </si>
  <si>
    <t>10-17-2025 18:40</t>
  </si>
  <si>
    <t>unknown</t>
  </si>
  <si>
    <t>Specialist</t>
  </si>
  <si>
    <t>BT99</t>
  </si>
  <si>
    <t>Y</t>
  </si>
  <si>
    <t>A00005</t>
  </si>
  <si>
    <t>P10386</t>
  </si>
  <si>
    <t>Accident &amp; Emergency</t>
  </si>
  <si>
    <t>Male</t>
  </si>
  <si>
    <t>bt7</t>
  </si>
  <si>
    <t>HIS</t>
  </si>
  <si>
    <t>A00006</t>
  </si>
  <si>
    <t>P10232</t>
  </si>
  <si>
    <t>Out Patient</t>
  </si>
  <si>
    <t>Cancelled</t>
  </si>
  <si>
    <t xml:space="preserve">GP </t>
  </si>
  <si>
    <t>A00007</t>
  </si>
  <si>
    <t>P10122</t>
  </si>
  <si>
    <t>A&amp;E</t>
  </si>
  <si>
    <t>Completed</t>
  </si>
  <si>
    <t>Self-referral</t>
  </si>
  <si>
    <t>BT7</t>
  </si>
  <si>
    <t>A00008</t>
  </si>
  <si>
    <t>P10264</t>
  </si>
  <si>
    <t>CARDIOLOGY</t>
  </si>
  <si>
    <t>M</t>
  </si>
  <si>
    <t>BT1</t>
  </si>
  <si>
    <t>LegacyDB</t>
  </si>
  <si>
    <t>A00009</t>
  </si>
  <si>
    <t>P10097</t>
  </si>
  <si>
    <t>31/02/2025 10:00</t>
  </si>
  <si>
    <t>CANCELLED</t>
  </si>
  <si>
    <t>No</t>
  </si>
  <si>
    <t>A00010</t>
  </si>
  <si>
    <t>P10276</t>
  </si>
  <si>
    <t>MALE</t>
  </si>
  <si>
    <t>N</t>
  </si>
  <si>
    <t>A00011</t>
  </si>
  <si>
    <t>Belfast city hospital</t>
  </si>
  <si>
    <t>GP</t>
  </si>
  <si>
    <t>A00012</t>
  </si>
  <si>
    <t>P10126</t>
  </si>
  <si>
    <t>Non-binary</t>
  </si>
  <si>
    <t>BT15</t>
  </si>
  <si>
    <t>A00013</t>
  </si>
  <si>
    <t>P10135</t>
  </si>
  <si>
    <t>Mater Hospital</t>
  </si>
  <si>
    <t>F</t>
  </si>
  <si>
    <t>N/A</t>
  </si>
  <si>
    <t>A00014</t>
  </si>
  <si>
    <t>P10144</t>
  </si>
  <si>
    <t>Oncology</t>
  </si>
  <si>
    <t>BT2</t>
  </si>
  <si>
    <t>A00015</t>
  </si>
  <si>
    <t>P10353</t>
  </si>
  <si>
    <t>BT12</t>
  </si>
  <si>
    <t>A00016</t>
  </si>
  <si>
    <t>P10211</t>
  </si>
  <si>
    <t>GP Referral</t>
  </si>
  <si>
    <t>A00017</t>
  </si>
  <si>
    <t>P10442</t>
  </si>
  <si>
    <t>08-21-2024 10:00</t>
  </si>
  <si>
    <t>Unknown</t>
  </si>
  <si>
    <t>A00018</t>
  </si>
  <si>
    <t>A00019</t>
  </si>
  <si>
    <t>P10215</t>
  </si>
  <si>
    <t>Mater Hosp.</t>
  </si>
  <si>
    <t>Orthopedics</t>
  </si>
  <si>
    <t>A00020</t>
  </si>
  <si>
    <t>P10419</t>
  </si>
  <si>
    <t>04-29-2025 18:10</t>
  </si>
  <si>
    <t>A00021</t>
  </si>
  <si>
    <t>P10285</t>
  </si>
  <si>
    <t>A00022</t>
  </si>
  <si>
    <t>A00023</t>
  </si>
  <si>
    <t>P10194</t>
  </si>
  <si>
    <t>A00024</t>
  </si>
  <si>
    <t>P10288</t>
  </si>
  <si>
    <t>A00025</t>
  </si>
  <si>
    <t>P10332</t>
  </si>
  <si>
    <t>03-24-2024 14:00</t>
  </si>
  <si>
    <t>A00026</t>
  </si>
  <si>
    <t>P10055</t>
  </si>
  <si>
    <t>A00027</t>
  </si>
  <si>
    <t>P10259</t>
  </si>
  <si>
    <t>A00028</t>
  </si>
  <si>
    <t>P10142</t>
  </si>
  <si>
    <t>A00029</t>
  </si>
  <si>
    <t>P10208</t>
  </si>
  <si>
    <t>A00030</t>
  </si>
  <si>
    <t>P10118</t>
  </si>
  <si>
    <t>07-17-2025 12:25</t>
  </si>
  <si>
    <t>A00031</t>
  </si>
  <si>
    <t>P10027</t>
  </si>
  <si>
    <t>A00032</t>
  </si>
  <si>
    <t>P10155</t>
  </si>
  <si>
    <t>A00033</t>
  </si>
  <si>
    <t>A00034</t>
  </si>
  <si>
    <t>P10115</t>
  </si>
  <si>
    <t>A00035</t>
  </si>
  <si>
    <t>P10046</t>
  </si>
  <si>
    <t>Paediatrics</t>
  </si>
  <si>
    <t>Discharged</t>
  </si>
  <si>
    <t>A00036</t>
  </si>
  <si>
    <t>P10053</t>
  </si>
  <si>
    <t>A00037</t>
  </si>
  <si>
    <t>P10387</t>
  </si>
  <si>
    <t>A00038</t>
  </si>
  <si>
    <t>P10366</t>
  </si>
  <si>
    <t>A00039</t>
  </si>
  <si>
    <t>P10296</t>
  </si>
  <si>
    <t>2025-19-40 12:30</t>
  </si>
  <si>
    <t>A00040</t>
  </si>
  <si>
    <t>P10018</t>
  </si>
  <si>
    <t>A00041</t>
  </si>
  <si>
    <t>female</t>
  </si>
  <si>
    <t>A00042</t>
  </si>
  <si>
    <t>P10089</t>
  </si>
  <si>
    <t>A00043</t>
  </si>
  <si>
    <t>P10128</t>
  </si>
  <si>
    <t>A00044</t>
  </si>
  <si>
    <t>A00045</t>
  </si>
  <si>
    <t>P10382</t>
  </si>
  <si>
    <t>No-show</t>
  </si>
  <si>
    <t>A00046</t>
  </si>
  <si>
    <t>P10287</t>
  </si>
  <si>
    <t>Orthopaedics</t>
  </si>
  <si>
    <t>A00047</t>
  </si>
  <si>
    <t>P10335</t>
  </si>
  <si>
    <t>A00048</t>
  </si>
  <si>
    <t>P10339</t>
  </si>
  <si>
    <t>A00049</t>
  </si>
  <si>
    <t>P10056</t>
  </si>
  <si>
    <t>A00050</t>
  </si>
  <si>
    <t>P10401</t>
  </si>
  <si>
    <t>A00051</t>
  </si>
  <si>
    <t>P10309</t>
  </si>
  <si>
    <t>A00052</t>
  </si>
  <si>
    <t>P10047</t>
  </si>
  <si>
    <t>A00053</t>
  </si>
  <si>
    <t>P10433</t>
  </si>
  <si>
    <t>A00054</t>
  </si>
  <si>
    <t>P10324</t>
  </si>
  <si>
    <t>A00055</t>
  </si>
  <si>
    <t>P10139</t>
  </si>
  <si>
    <t>A00056</t>
  </si>
  <si>
    <t>P10220</t>
  </si>
  <si>
    <t>A00057</t>
  </si>
  <si>
    <t>P10410</t>
  </si>
  <si>
    <t>P10052</t>
  </si>
  <si>
    <t>A00059</t>
  </si>
  <si>
    <t>P10302</t>
  </si>
  <si>
    <t>03-26-2025 08:35</t>
  </si>
  <si>
    <t>A00060</t>
  </si>
  <si>
    <t>P10077</t>
  </si>
  <si>
    <t>A00061</t>
  </si>
  <si>
    <t>P10168</t>
  </si>
  <si>
    <t>A00062</t>
  </si>
  <si>
    <t>P10359</t>
  </si>
  <si>
    <t>A00063</t>
  </si>
  <si>
    <t>P10192</t>
  </si>
  <si>
    <t>General Medicine</t>
  </si>
  <si>
    <t>A00064</t>
  </si>
  <si>
    <t>P10257</t>
  </si>
  <si>
    <t>04-25-2025 10:25</t>
  </si>
  <si>
    <t>A00065</t>
  </si>
  <si>
    <t>P10178</t>
  </si>
  <si>
    <t>A00066</t>
  </si>
  <si>
    <t>P10009</t>
  </si>
  <si>
    <t>A00067</t>
  </si>
  <si>
    <t>P10073</t>
  </si>
  <si>
    <t>A00068</t>
  </si>
  <si>
    <t>P10123</t>
  </si>
  <si>
    <t>A00069</t>
  </si>
  <si>
    <t>P10203</t>
  </si>
  <si>
    <t>07-25-2024 07:15</t>
  </si>
  <si>
    <t>A00070</t>
  </si>
  <si>
    <t>A00071</t>
  </si>
  <si>
    <t>P10262</t>
  </si>
  <si>
    <t>A00072</t>
  </si>
  <si>
    <t>A00073</t>
  </si>
  <si>
    <t>P10177</t>
  </si>
  <si>
    <t>06-25-2024 18:35</t>
  </si>
  <si>
    <t>A00074</t>
  </si>
  <si>
    <t>P10367</t>
  </si>
  <si>
    <t>07-18-2025 09:45</t>
  </si>
  <si>
    <t>A00075</t>
  </si>
  <si>
    <t>P10084</t>
  </si>
  <si>
    <t>A00076</t>
  </si>
  <si>
    <t>P10041</t>
  </si>
  <si>
    <t>A00077</t>
  </si>
  <si>
    <t>03-26-2025 13:35</t>
  </si>
  <si>
    <t>A00078</t>
  </si>
  <si>
    <t>P10369</t>
  </si>
  <si>
    <t>09-22-2025 13:15</t>
  </si>
  <si>
    <t>A00079</t>
  </si>
  <si>
    <t>A00080</t>
  </si>
  <si>
    <t>P10191</t>
  </si>
  <si>
    <t>A00081</t>
  </si>
  <si>
    <t>P10172</t>
  </si>
  <si>
    <t>A00082</t>
  </si>
  <si>
    <t>P10293</t>
  </si>
  <si>
    <t>A00083</t>
  </si>
  <si>
    <t>P10175</t>
  </si>
  <si>
    <t>A00084</t>
  </si>
  <si>
    <t>P10062</t>
  </si>
  <si>
    <t>05-15-2025 12:35</t>
  </si>
  <si>
    <t>A00085</t>
  </si>
  <si>
    <t>P10271</t>
  </si>
  <si>
    <t>A00086</t>
  </si>
  <si>
    <t>A00087</t>
  </si>
  <si>
    <t>P10239</t>
  </si>
  <si>
    <t>A00088</t>
  </si>
  <si>
    <t>P10071</t>
  </si>
  <si>
    <t>A00089</t>
  </si>
  <si>
    <t>P10151</t>
  </si>
  <si>
    <t>A00090</t>
  </si>
  <si>
    <t>03-24-2024 15:35</t>
  </si>
  <si>
    <t>A00091</t>
  </si>
  <si>
    <t>P10029</t>
  </si>
  <si>
    <t>A00092</t>
  </si>
  <si>
    <t>P10373</t>
  </si>
  <si>
    <t>A00093</t>
  </si>
  <si>
    <t>A00094</t>
  </si>
  <si>
    <t>A00095</t>
  </si>
  <si>
    <t>P10176</t>
  </si>
  <si>
    <t>A00096</t>
  </si>
  <si>
    <t>P10104</t>
  </si>
  <si>
    <t>A00097</t>
  </si>
  <si>
    <t>A00098</t>
  </si>
  <si>
    <t>P10189</t>
  </si>
  <si>
    <t>04-22-2025 08:55</t>
  </si>
  <si>
    <t>A00099</t>
  </si>
  <si>
    <t>P10407</t>
  </si>
  <si>
    <t>A00100</t>
  </si>
  <si>
    <t>P10003</t>
  </si>
  <si>
    <t>A00101</t>
  </si>
  <si>
    <t>A00102</t>
  </si>
  <si>
    <t>P10108</t>
  </si>
  <si>
    <t>A00103</t>
  </si>
  <si>
    <t>A00104</t>
  </si>
  <si>
    <t>P10037</t>
  </si>
  <si>
    <t>A00105</t>
  </si>
  <si>
    <t>P10181</t>
  </si>
  <si>
    <t>A00106</t>
  </si>
  <si>
    <t>P10247</t>
  </si>
  <si>
    <t>A00107</t>
  </si>
  <si>
    <t>P10355</t>
  </si>
  <si>
    <t>03-26-2025 12:30</t>
  </si>
  <si>
    <t>A00108</t>
  </si>
  <si>
    <t>P10408</t>
  </si>
  <si>
    <t>A00109</t>
  </si>
  <si>
    <t>A00110</t>
  </si>
  <si>
    <t>P10395</t>
  </si>
  <si>
    <t>A00111</t>
  </si>
  <si>
    <t>P10434</t>
  </si>
  <si>
    <t>A00112</t>
  </si>
  <si>
    <t>P10109</t>
  </si>
  <si>
    <t>A00113</t>
  </si>
  <si>
    <t>P10316</t>
  </si>
  <si>
    <t>09-17-2025 13:45</t>
  </si>
  <si>
    <t>A00114</t>
  </si>
  <si>
    <t>P10085</t>
  </si>
  <si>
    <t>A00115</t>
  </si>
  <si>
    <t>P10149</t>
  </si>
  <si>
    <t>A00116</t>
  </si>
  <si>
    <t>P10447</t>
  </si>
  <si>
    <t>A00117</t>
  </si>
  <si>
    <t>P10360</t>
  </si>
  <si>
    <t>A00118</t>
  </si>
  <si>
    <t>P10212</t>
  </si>
  <si>
    <t>11-23-2025 13:35</t>
  </si>
  <si>
    <t>A00119</t>
  </si>
  <si>
    <t>P10253</t>
  </si>
  <si>
    <t>A00120</t>
  </si>
  <si>
    <t>A00121</t>
  </si>
  <si>
    <t>P10440</t>
  </si>
  <si>
    <t>06-15-2025 17:35</t>
  </si>
  <si>
    <t>A00122</t>
  </si>
  <si>
    <t>07-30-2025 07:45</t>
  </si>
  <si>
    <t>A00123</t>
  </si>
  <si>
    <t>P10448</t>
  </si>
  <si>
    <t>A00124</t>
  </si>
  <si>
    <t>P10394</t>
  </si>
  <si>
    <t>A00125</t>
  </si>
  <si>
    <t>P10274</t>
  </si>
  <si>
    <t>A00126</t>
  </si>
  <si>
    <t>P10005</t>
  </si>
  <si>
    <t>A00127</t>
  </si>
  <si>
    <t>P10439</t>
  </si>
  <si>
    <t>A00128</t>
  </si>
  <si>
    <t>P10213</t>
  </si>
  <si>
    <t>A00129</t>
  </si>
  <si>
    <t>P10318</t>
  </si>
  <si>
    <t>A00130</t>
  </si>
  <si>
    <t>P10030</t>
  </si>
  <si>
    <t>A00131</t>
  </si>
  <si>
    <t>P10358</t>
  </si>
  <si>
    <t>05-13-2024 10:20</t>
  </si>
  <si>
    <t>A00132</t>
  </si>
  <si>
    <t>P10356</t>
  </si>
  <si>
    <t>04-19-2025 11:05</t>
  </si>
  <si>
    <t>A00133</t>
  </si>
  <si>
    <t>P10006</t>
  </si>
  <si>
    <t>A00134</t>
  </si>
  <si>
    <t>P10202</t>
  </si>
  <si>
    <t>A00135</t>
  </si>
  <si>
    <t>P10102</t>
  </si>
  <si>
    <t>A00136</t>
  </si>
  <si>
    <t>P10051</t>
  </si>
  <si>
    <t>A00137</t>
  </si>
  <si>
    <t>P10158</t>
  </si>
  <si>
    <t>A00138</t>
  </si>
  <si>
    <t>A00139</t>
  </si>
  <si>
    <t>P10157</t>
  </si>
  <si>
    <t>A00140</t>
  </si>
  <si>
    <t>P10343</t>
  </si>
  <si>
    <t>A00141</t>
  </si>
  <si>
    <t>P10231</t>
  </si>
  <si>
    <t>A00142</t>
  </si>
  <si>
    <t>A00143</t>
  </si>
  <si>
    <t>P10105</t>
  </si>
  <si>
    <t>A00144</t>
  </si>
  <si>
    <t>P10385</t>
  </si>
  <si>
    <t>A00145</t>
  </si>
  <si>
    <t>A00146</t>
  </si>
  <si>
    <t>A00147</t>
  </si>
  <si>
    <t>A00148</t>
  </si>
  <si>
    <t>P10226</t>
  </si>
  <si>
    <t>A00149</t>
  </si>
  <si>
    <t>A00150</t>
  </si>
  <si>
    <t>P10025</t>
  </si>
  <si>
    <t>A00151</t>
  </si>
  <si>
    <t>P10235</t>
  </si>
  <si>
    <t>A00152</t>
  </si>
  <si>
    <t>P10076</t>
  </si>
  <si>
    <t>A00153</t>
  </si>
  <si>
    <t>P10183</t>
  </si>
  <si>
    <t>A00154</t>
  </si>
  <si>
    <t>P10435</t>
  </si>
  <si>
    <t>A00155</t>
  </si>
  <si>
    <t>P10249</t>
  </si>
  <si>
    <t>A00156</t>
  </si>
  <si>
    <t>A00157</t>
  </si>
  <si>
    <t>P10351</t>
  </si>
  <si>
    <t>10-24-2024 14:55</t>
  </si>
  <si>
    <t>A00158</t>
  </si>
  <si>
    <t>P10024</t>
  </si>
  <si>
    <t>A00159</t>
  </si>
  <si>
    <t>P10368</t>
  </si>
  <si>
    <t>A00160</t>
  </si>
  <si>
    <t>A00161</t>
  </si>
  <si>
    <t>P10331</t>
  </si>
  <si>
    <t>A00162</t>
  </si>
  <si>
    <t>A00163</t>
  </si>
  <si>
    <t>A00164</t>
  </si>
  <si>
    <t>P10445</t>
  </si>
  <si>
    <t>A00165</t>
  </si>
  <si>
    <t>A00166</t>
  </si>
  <si>
    <t>P10113</t>
  </si>
  <si>
    <t>A00167</t>
  </si>
  <si>
    <t>A00168</t>
  </si>
  <si>
    <t>P10198</t>
  </si>
  <si>
    <t>A00169</t>
  </si>
  <si>
    <t>P10365</t>
  </si>
  <si>
    <t>A00170</t>
  </si>
  <si>
    <t>A00171</t>
  </si>
  <si>
    <t>A00172</t>
  </si>
  <si>
    <t>P10099</t>
  </si>
  <si>
    <t>A00173</t>
  </si>
  <si>
    <t>P10315</t>
  </si>
  <si>
    <t>A00174</t>
  </si>
  <si>
    <t>A00175</t>
  </si>
  <si>
    <t>P10411</t>
  </si>
  <si>
    <t>09-19-2024 15:55</t>
  </si>
  <si>
    <t>A00176</t>
  </si>
  <si>
    <t>A00177</t>
  </si>
  <si>
    <t>A00178</t>
  </si>
  <si>
    <t>06-30-2025 10:10</t>
  </si>
  <si>
    <t>A00179</t>
  </si>
  <si>
    <t>A00180</t>
  </si>
  <si>
    <t>P10248</t>
  </si>
  <si>
    <t>A00181</t>
  </si>
  <si>
    <t>P10228</t>
  </si>
  <si>
    <t>A00182</t>
  </si>
  <si>
    <t>P10282</t>
  </si>
  <si>
    <t>A00183</t>
  </si>
  <si>
    <t>P10091</t>
  </si>
  <si>
    <t>A00184</t>
  </si>
  <si>
    <t>P10134</t>
  </si>
  <si>
    <t>05-22-2024 14:10</t>
  </si>
  <si>
    <t>A00186</t>
  </si>
  <si>
    <t>A00187</t>
  </si>
  <si>
    <t>A00188</t>
  </si>
  <si>
    <t>P10246</t>
  </si>
  <si>
    <t>A00189</t>
  </si>
  <si>
    <t>P10392</t>
  </si>
  <si>
    <t>12-14-2025 16:05</t>
  </si>
  <si>
    <t>A00190</t>
  </si>
  <si>
    <t>P10187</t>
  </si>
  <si>
    <t>A00191</t>
  </si>
  <si>
    <t>A00192</t>
  </si>
  <si>
    <t>A00193</t>
  </si>
  <si>
    <t>P10399</t>
  </si>
  <si>
    <t>A00194</t>
  </si>
  <si>
    <t>P10054</t>
  </si>
  <si>
    <t>A00195</t>
  </si>
  <si>
    <t>A00196</t>
  </si>
  <si>
    <t>A00197</t>
  </si>
  <si>
    <t>P10093</t>
  </si>
  <si>
    <t>02-13-2024 14:25</t>
  </si>
  <si>
    <t>A00198</t>
  </si>
  <si>
    <t>P10185</t>
  </si>
  <si>
    <t>A00199</t>
  </si>
  <si>
    <t>P10138</t>
  </si>
  <si>
    <t>A00200</t>
  </si>
  <si>
    <t>A00201</t>
  </si>
  <si>
    <t>P10166</t>
  </si>
  <si>
    <t>A00202</t>
  </si>
  <si>
    <t>P10227</t>
  </si>
  <si>
    <t>A00203</t>
  </si>
  <si>
    <t>P10079</t>
  </si>
  <si>
    <t>01-27-2024 13:40</t>
  </si>
  <si>
    <t>A00204</t>
  </si>
  <si>
    <t>P10305</t>
  </si>
  <si>
    <t>A00205</t>
  </si>
  <si>
    <t>P10004</t>
  </si>
  <si>
    <t>A00206</t>
  </si>
  <si>
    <t>P10391</t>
  </si>
  <si>
    <t>A00207</t>
  </si>
  <si>
    <t>P10137</t>
  </si>
  <si>
    <t>A00208</t>
  </si>
  <si>
    <t>P10098</t>
  </si>
  <si>
    <t>A00209</t>
  </si>
  <si>
    <t>A00210</t>
  </si>
  <si>
    <t>P10080</t>
  </si>
  <si>
    <t>A00211</t>
  </si>
  <si>
    <t>P10370</t>
  </si>
  <si>
    <t>A00212</t>
  </si>
  <si>
    <t>A00213</t>
  </si>
  <si>
    <t>P10164</t>
  </si>
  <si>
    <t>A00214</t>
  </si>
  <si>
    <t>P10106</t>
  </si>
  <si>
    <t>A00215</t>
  </si>
  <si>
    <t>A00216</t>
  </si>
  <si>
    <t>A00217</t>
  </si>
  <si>
    <t>A00218</t>
  </si>
  <si>
    <t>P10088</t>
  </si>
  <si>
    <t>02-13-2025 16:15</t>
  </si>
  <si>
    <t>A00219</t>
  </si>
  <si>
    <t>P10156</t>
  </si>
  <si>
    <t>A00220</t>
  </si>
  <si>
    <t>P10043</t>
  </si>
  <si>
    <t>A00221</t>
  </si>
  <si>
    <t>A00222</t>
  </si>
  <si>
    <t>02-25-2024 10:45</t>
  </si>
  <si>
    <t>A00223</t>
  </si>
  <si>
    <t>A00224</t>
  </si>
  <si>
    <t>P10234</t>
  </si>
  <si>
    <t>A00225</t>
  </si>
  <si>
    <t>P10201</t>
  </si>
  <si>
    <t>A00226</t>
  </si>
  <si>
    <t>P10352</t>
  </si>
  <si>
    <t>A00227</t>
  </si>
  <si>
    <t>P10398</t>
  </si>
  <si>
    <t>02-27-2025 13:20</t>
  </si>
  <si>
    <t>A00228</t>
  </si>
  <si>
    <t>P10083</t>
  </si>
  <si>
    <t>A00229</t>
  </si>
  <si>
    <t>P10313</t>
  </si>
  <si>
    <t>A00230</t>
  </si>
  <si>
    <t>A00231</t>
  </si>
  <si>
    <t>P10058</t>
  </si>
  <si>
    <t>A00232</t>
  </si>
  <si>
    <t>05-28-2024 09:55</t>
  </si>
  <si>
    <t>A00233</t>
  </si>
  <si>
    <t>P10280</t>
  </si>
  <si>
    <t>A00234</t>
  </si>
  <si>
    <t>P10383</t>
  </si>
  <si>
    <t>A00235</t>
  </si>
  <si>
    <t>A00236</t>
  </si>
  <si>
    <t>A00237</t>
  </si>
  <si>
    <t>P10291</t>
  </si>
  <si>
    <t>P10295</t>
  </si>
  <si>
    <t>A00239</t>
  </si>
  <si>
    <t>P10449</t>
  </si>
  <si>
    <t>A00240</t>
  </si>
  <si>
    <t>P10393</t>
  </si>
  <si>
    <t>A00241</t>
  </si>
  <si>
    <t>P10107</t>
  </si>
  <si>
    <t>04-15-2024 15:50</t>
  </si>
  <si>
    <t>A00242</t>
  </si>
  <si>
    <t>P10036</t>
  </si>
  <si>
    <t>A00243</t>
  </si>
  <si>
    <t>P10388</t>
  </si>
  <si>
    <t>A00244</t>
  </si>
  <si>
    <t>A00245</t>
  </si>
  <si>
    <t>P10081</t>
  </si>
  <si>
    <t>A00246</t>
  </si>
  <si>
    <t>P10035</t>
  </si>
  <si>
    <t>11-29-2024 15:05</t>
  </si>
  <si>
    <t>A00247</t>
  </si>
  <si>
    <t>09-22-2025 16:35</t>
  </si>
  <si>
    <t>A00248</t>
  </si>
  <si>
    <t>P10162</t>
  </si>
  <si>
    <t>A00249</t>
  </si>
  <si>
    <t>P10412</t>
  </si>
  <si>
    <t>A00250</t>
  </si>
  <si>
    <t>P10019</t>
  </si>
  <si>
    <t>08-30-2024 18:40</t>
  </si>
  <si>
    <t>A00251</t>
  </si>
  <si>
    <t>P10273</t>
  </si>
  <si>
    <t>A00252</t>
  </si>
  <si>
    <t>P10319</t>
  </si>
  <si>
    <t>04-29-2025 16:10</t>
  </si>
  <si>
    <t>A00253</t>
  </si>
  <si>
    <t>P10441</t>
  </si>
  <si>
    <t>A00254</t>
  </si>
  <si>
    <t>02-23-2024 09:35</t>
  </si>
  <si>
    <t>A00255</t>
  </si>
  <si>
    <t>03-18-2025 16:50</t>
  </si>
  <si>
    <t>A00256</t>
  </si>
  <si>
    <t>04-16-2024 17:35</t>
  </si>
  <si>
    <t>A00257</t>
  </si>
  <si>
    <t>A00258</t>
  </si>
  <si>
    <t>A00259</t>
  </si>
  <si>
    <t>P10294</t>
  </si>
  <si>
    <t>A00260</t>
  </si>
  <si>
    <t>P10430</t>
  </si>
  <si>
    <t>10-24-2025 08:25</t>
  </si>
  <si>
    <t>A00261</t>
  </si>
  <si>
    <t>P10405</t>
  </si>
  <si>
    <t>A00262</t>
  </si>
  <si>
    <t>P10376</t>
  </si>
  <si>
    <t>A00263</t>
  </si>
  <si>
    <t>A00264</t>
  </si>
  <si>
    <t>P10008</t>
  </si>
  <si>
    <t>A00265</t>
  </si>
  <si>
    <t>P10045</t>
  </si>
  <si>
    <t>A00266</t>
  </si>
  <si>
    <t>P10330</t>
  </si>
  <si>
    <t>A00267</t>
  </si>
  <si>
    <t>P10116</t>
  </si>
  <si>
    <t>A00268</t>
  </si>
  <si>
    <t>A00269</t>
  </si>
  <si>
    <t>P10007</t>
  </si>
  <si>
    <t>A00270</t>
  </si>
  <si>
    <t>A00271</t>
  </si>
  <si>
    <t>P10237</t>
  </si>
  <si>
    <t>05-21-2024 18:30</t>
  </si>
  <si>
    <t>A00272</t>
  </si>
  <si>
    <t>P10238</t>
  </si>
  <si>
    <t>A00273</t>
  </si>
  <si>
    <t>A00274</t>
  </si>
  <si>
    <t>P10057</t>
  </si>
  <si>
    <t>A00275</t>
  </si>
  <si>
    <t>06-16-2025 17:25</t>
  </si>
  <si>
    <t>A00276</t>
  </si>
  <si>
    <t>A00277</t>
  </si>
  <si>
    <t>P10255</t>
  </si>
  <si>
    <t>A00278</t>
  </si>
  <si>
    <t>P10012</t>
  </si>
  <si>
    <t>A00279</t>
  </si>
  <si>
    <t>P10184</t>
  </si>
  <si>
    <t>A00280</t>
  </si>
  <si>
    <t>A00281</t>
  </si>
  <si>
    <t>01-25-2025 11:40</t>
  </si>
  <si>
    <t>A00282</t>
  </si>
  <si>
    <t>P10223</t>
  </si>
  <si>
    <t>A00283</t>
  </si>
  <si>
    <t>A00284</t>
  </si>
  <si>
    <t>A00285</t>
  </si>
  <si>
    <t>P10381</t>
  </si>
  <si>
    <t>03-28-2025 16:40</t>
  </si>
  <si>
    <t>A00286</t>
  </si>
  <si>
    <t>P10060</t>
  </si>
  <si>
    <t>A00287</t>
  </si>
  <si>
    <t>A00288</t>
  </si>
  <si>
    <t>P10217</t>
  </si>
  <si>
    <t>A00289</t>
  </si>
  <si>
    <t>A00291</t>
  </si>
  <si>
    <t>P10050</t>
  </si>
  <si>
    <t>A00292</t>
  </si>
  <si>
    <t>P10279</t>
  </si>
  <si>
    <t>A00293</t>
  </si>
  <si>
    <t>P10345</t>
  </si>
  <si>
    <t>A00294</t>
  </si>
  <si>
    <t>P10174</t>
  </si>
  <si>
    <t>A00295</t>
  </si>
  <si>
    <t>P10010</t>
  </si>
  <si>
    <t>A00296</t>
  </si>
  <si>
    <t>A00297</t>
  </si>
  <si>
    <t>A00298</t>
  </si>
  <si>
    <t>P10236</t>
  </si>
  <si>
    <t>A00299</t>
  </si>
  <si>
    <t>A00300</t>
  </si>
  <si>
    <t>A00301</t>
  </si>
  <si>
    <t>P10209</t>
  </si>
  <si>
    <t>A00302</t>
  </si>
  <si>
    <t>A00303</t>
  </si>
  <si>
    <t>P10443</t>
  </si>
  <si>
    <t>A00304</t>
  </si>
  <si>
    <t>P10069</t>
  </si>
  <si>
    <t>A00305</t>
  </si>
  <si>
    <t>06-26-2024 17:45</t>
  </si>
  <si>
    <t>A00306</t>
  </si>
  <si>
    <t>P10423</t>
  </si>
  <si>
    <t>A00307</t>
  </si>
  <si>
    <t>A00308</t>
  </si>
  <si>
    <t>P10317</t>
  </si>
  <si>
    <t>A00309</t>
  </si>
  <si>
    <t>A00310</t>
  </si>
  <si>
    <t>A00311</t>
  </si>
  <si>
    <t>A00312</t>
  </si>
  <si>
    <t>P10321</t>
  </si>
  <si>
    <t>A00313</t>
  </si>
  <si>
    <t>A00314</t>
  </si>
  <si>
    <t>A00315</t>
  </si>
  <si>
    <t>A00316</t>
  </si>
  <si>
    <t>P10379</t>
  </si>
  <si>
    <t>A00317</t>
  </si>
  <si>
    <t>A00318</t>
  </si>
  <si>
    <t>A00319</t>
  </si>
  <si>
    <t>P10424</t>
  </si>
  <si>
    <t>01-21-2024 14:45</t>
  </si>
  <si>
    <t>A00320</t>
  </si>
  <si>
    <t>A00321</t>
  </si>
  <si>
    <t>P10364</t>
  </si>
  <si>
    <t>A00322</t>
  </si>
  <si>
    <t>A00323</t>
  </si>
  <si>
    <t>A00324</t>
  </si>
  <si>
    <t>03-28-2025 15:35</t>
  </si>
  <si>
    <t>A00325</t>
  </si>
  <si>
    <t>A00326</t>
  </si>
  <si>
    <t>P10205</t>
  </si>
  <si>
    <t>10-18-2025 09:45</t>
  </si>
  <si>
    <t>A00327</t>
  </si>
  <si>
    <t>P10371</t>
  </si>
  <si>
    <t>02-18-2025 10:20</t>
  </si>
  <si>
    <t>A00328</t>
  </si>
  <si>
    <t>A00329</t>
  </si>
  <si>
    <t>A00330</t>
  </si>
  <si>
    <t>A00331</t>
  </si>
  <si>
    <t>P10267</t>
  </si>
  <si>
    <t>A00332</t>
  </si>
  <si>
    <t>A00333</t>
  </si>
  <si>
    <t>A00334</t>
  </si>
  <si>
    <t>P10402</t>
  </si>
  <si>
    <t>A00335</t>
  </si>
  <si>
    <t>P10086</t>
  </si>
  <si>
    <t>A00336</t>
  </si>
  <si>
    <t>P10300</t>
  </si>
  <si>
    <t>A00337</t>
  </si>
  <si>
    <t>P10290</t>
  </si>
  <si>
    <t>A00338</t>
  </si>
  <si>
    <t>06-20-2024 07:00</t>
  </si>
  <si>
    <t>A00339</t>
  </si>
  <si>
    <t>05-31-2025 12:50</t>
  </si>
  <si>
    <t>A00340</t>
  </si>
  <si>
    <t>A00341</t>
  </si>
  <si>
    <t>P10252</t>
  </si>
  <si>
    <t>A00342</t>
  </si>
  <si>
    <t>P10033</t>
  </si>
  <si>
    <t>A00343</t>
  </si>
  <si>
    <t>P10265</t>
  </si>
  <si>
    <t>A00344</t>
  </si>
  <si>
    <t>A00345</t>
  </si>
  <si>
    <t>A00346</t>
  </si>
  <si>
    <t>P10196</t>
  </si>
  <si>
    <t>A00347</t>
  </si>
  <si>
    <t>A00349</t>
  </si>
  <si>
    <t>P10327</t>
  </si>
  <si>
    <t>A00350</t>
  </si>
  <si>
    <t>P10101</t>
  </si>
  <si>
    <t>A00351</t>
  </si>
  <si>
    <t>P10087</t>
  </si>
  <si>
    <t>A00352</t>
  </si>
  <si>
    <t>10-28-2024 09:25</t>
  </si>
  <si>
    <t>A00353</t>
  </si>
  <si>
    <t>P10112</t>
  </si>
  <si>
    <t>A00354</t>
  </si>
  <si>
    <t>P10221</t>
  </si>
  <si>
    <t>A00355</t>
  </si>
  <si>
    <t>A00356</t>
  </si>
  <si>
    <t>A00357</t>
  </si>
  <si>
    <t>P10414</t>
  </si>
  <si>
    <t>A00358</t>
  </si>
  <si>
    <t>P10197</t>
  </si>
  <si>
    <t>A00359</t>
  </si>
  <si>
    <t>A00360</t>
  </si>
  <si>
    <t>P10103</t>
  </si>
  <si>
    <t>12-27-2025 17:35</t>
  </si>
  <si>
    <t>A00361</t>
  </si>
  <si>
    <t>P10127</t>
  </si>
  <si>
    <t>A00362</t>
  </si>
  <si>
    <t>A00363</t>
  </si>
  <si>
    <t>A00364</t>
  </si>
  <si>
    <t>P10225</t>
  </si>
  <si>
    <t>06-21-2024 08:50</t>
  </si>
  <si>
    <t>A00365</t>
  </si>
  <si>
    <t>A00366</t>
  </si>
  <si>
    <t>P10165</t>
  </si>
  <si>
    <t>A00367</t>
  </si>
  <si>
    <t>A00368</t>
  </si>
  <si>
    <t>P10219</t>
  </si>
  <si>
    <t>10-21-2025 07:40</t>
  </si>
  <si>
    <t>A00370</t>
  </si>
  <si>
    <t>A00371</t>
  </si>
  <si>
    <t>P10258</t>
  </si>
  <si>
    <t>A00372</t>
  </si>
  <si>
    <t>P10240</t>
  </si>
  <si>
    <t>A00373</t>
  </si>
  <si>
    <t>A00374</t>
  </si>
  <si>
    <t>P10059</t>
  </si>
  <si>
    <t>A00375</t>
  </si>
  <si>
    <t>02-25-2025 18:05</t>
  </si>
  <si>
    <t>A00376</t>
  </si>
  <si>
    <t>P10416</t>
  </si>
  <si>
    <t>A00377</t>
  </si>
  <si>
    <t>P10298</t>
  </si>
  <si>
    <t>A00378</t>
  </si>
  <si>
    <t>P10001</t>
  </si>
  <si>
    <t>A00379</t>
  </si>
  <si>
    <t>A00380</t>
  </si>
  <si>
    <t>A00381</t>
  </si>
  <si>
    <t>A00382</t>
  </si>
  <si>
    <t>A00383</t>
  </si>
  <si>
    <t>10-30-2024 10:35</t>
  </si>
  <si>
    <t>A00384</t>
  </si>
  <si>
    <t>P10372</t>
  </si>
  <si>
    <t>A00385</t>
  </si>
  <si>
    <t>03-13-2025 17:10</t>
  </si>
  <si>
    <t>A00387</t>
  </si>
  <si>
    <t>P10195</t>
  </si>
  <si>
    <t>A00388</t>
  </si>
  <si>
    <t>A00389</t>
  </si>
  <si>
    <t>P10284</t>
  </si>
  <si>
    <t>A00390</t>
  </si>
  <si>
    <t>A00391</t>
  </si>
  <si>
    <t>A00392</t>
  </si>
  <si>
    <t>P10272</t>
  </si>
  <si>
    <t>03-20-2025 13:00</t>
  </si>
  <si>
    <t>A00393</t>
  </si>
  <si>
    <t>P10270</t>
  </si>
  <si>
    <t>A00394</t>
  </si>
  <si>
    <t>P10064</t>
  </si>
  <si>
    <t>A00395</t>
  </si>
  <si>
    <t>P10432</t>
  </si>
  <si>
    <t>A00396</t>
  </si>
  <si>
    <t>A00397</t>
  </si>
  <si>
    <t>A00398</t>
  </si>
  <si>
    <t>A00399</t>
  </si>
  <si>
    <t>A00400</t>
  </si>
  <si>
    <t>P10340</t>
  </si>
  <si>
    <t>A00401</t>
  </si>
  <si>
    <t>P10245</t>
  </si>
  <si>
    <t>A00402</t>
  </si>
  <si>
    <t>P10061</t>
  </si>
  <si>
    <t>A00403</t>
  </si>
  <si>
    <t>P10143</t>
  </si>
  <si>
    <t>03-13-2025 17:00</t>
  </si>
  <si>
    <t>A00404</t>
  </si>
  <si>
    <t>A00405</t>
  </si>
  <si>
    <t>P10038</t>
  </si>
  <si>
    <t>A00406</t>
  </si>
  <si>
    <t>P10306</t>
  </si>
  <si>
    <t>A00407</t>
  </si>
  <si>
    <t>A00408</t>
  </si>
  <si>
    <t>A00409</t>
  </si>
  <si>
    <t>A00410</t>
  </si>
  <si>
    <t>P10094</t>
  </si>
  <si>
    <t>A00411</t>
  </si>
  <si>
    <t>A00412</t>
  </si>
  <si>
    <t>A00413</t>
  </si>
  <si>
    <t>P10450</t>
  </si>
  <si>
    <t>03-13-2025 13:10</t>
  </si>
  <si>
    <t>A00414</t>
  </si>
  <si>
    <t>P10092</t>
  </si>
  <si>
    <t>A00415</t>
  </si>
  <si>
    <t>A00416</t>
  </si>
  <si>
    <t>A00417</t>
  </si>
  <si>
    <t>A00418</t>
  </si>
  <si>
    <t>P10072</t>
  </si>
  <si>
    <t>A00419</t>
  </si>
  <si>
    <t>P10426</t>
  </si>
  <si>
    <t>A00420</t>
  </si>
  <si>
    <t>A00421</t>
  </si>
  <si>
    <t>A00422</t>
  </si>
  <si>
    <t>A00423</t>
  </si>
  <si>
    <t>11-28-2025 17:10</t>
  </si>
  <si>
    <t>A00424</t>
  </si>
  <si>
    <t>A00425</t>
  </si>
  <si>
    <t>10-20-2024 13:30</t>
  </si>
  <si>
    <t>A00426</t>
  </si>
  <si>
    <t>P10328</t>
  </si>
  <si>
    <t>A00427</t>
  </si>
  <si>
    <t>P10396</t>
  </si>
  <si>
    <t>A00428</t>
  </si>
  <si>
    <t>P10425</t>
  </si>
  <si>
    <t>12-30-2025 14:30</t>
  </si>
  <si>
    <t>A00429</t>
  </si>
  <si>
    <t>A00430</t>
  </si>
  <si>
    <t>P10193</t>
  </si>
  <si>
    <t>A00431</t>
  </si>
  <si>
    <t>P10090</t>
  </si>
  <si>
    <t>12-26-2024 15:30</t>
  </si>
  <si>
    <t>A00432</t>
  </si>
  <si>
    <t>P10297</t>
  </si>
  <si>
    <t>A00433</t>
  </si>
  <si>
    <t>A00434</t>
  </si>
  <si>
    <t>P10329</t>
  </si>
  <si>
    <t>A00435</t>
  </si>
  <si>
    <t>A00436</t>
  </si>
  <si>
    <t>A00437</t>
  </si>
  <si>
    <t>A00438</t>
  </si>
  <si>
    <t>A00439</t>
  </si>
  <si>
    <t>A00440</t>
  </si>
  <si>
    <t>A00441</t>
  </si>
  <si>
    <t>P10336</t>
  </si>
  <si>
    <t>A00442</t>
  </si>
  <si>
    <t>A00443</t>
  </si>
  <si>
    <t>A00444</t>
  </si>
  <si>
    <t>A00445</t>
  </si>
  <si>
    <t>A00446</t>
  </si>
  <si>
    <t>A00447</t>
  </si>
  <si>
    <t>P10362</t>
  </si>
  <si>
    <t>A00448</t>
  </si>
  <si>
    <t>A00449</t>
  </si>
  <si>
    <t>A00450</t>
  </si>
  <si>
    <t>09-29-2024 10:05</t>
  </si>
  <si>
    <t>A00451</t>
  </si>
  <si>
    <t>A00452</t>
  </si>
  <si>
    <t>P10348</t>
  </si>
  <si>
    <t>A00453</t>
  </si>
  <si>
    <t>12-28-2025 12:40</t>
  </si>
  <si>
    <t>A00454</t>
  </si>
  <si>
    <t>A00455</t>
  </si>
  <si>
    <t>A00456</t>
  </si>
  <si>
    <t>A00457</t>
  </si>
  <si>
    <t>01-30-2025 13:30</t>
  </si>
  <si>
    <t>A00458</t>
  </si>
  <si>
    <t>P10160</t>
  </si>
  <si>
    <t>A00459</t>
  </si>
  <si>
    <t>A00460</t>
  </si>
  <si>
    <t>A00461</t>
  </si>
  <si>
    <t>A00462</t>
  </si>
  <si>
    <t>A00463</t>
  </si>
  <si>
    <t>A00464</t>
  </si>
  <si>
    <t>P10241</t>
  </si>
  <si>
    <t>A00465</t>
  </si>
  <si>
    <t>P10389</t>
  </si>
  <si>
    <t>A00466</t>
  </si>
  <si>
    <t>P10068</t>
  </si>
  <si>
    <t>A00467</t>
  </si>
  <si>
    <t>A00468</t>
  </si>
  <si>
    <t>P10114</t>
  </si>
  <si>
    <t>04-30-2024 14:15</t>
  </si>
  <si>
    <t>A00469</t>
  </si>
  <si>
    <t>P10133</t>
  </si>
  <si>
    <t>08-19-2025 14:20</t>
  </si>
  <si>
    <t>A00470</t>
  </si>
  <si>
    <t>P10021</t>
  </si>
  <si>
    <t>09-19-2025 08:40</t>
  </si>
  <si>
    <t>A00471</t>
  </si>
  <si>
    <t>A00472</t>
  </si>
  <si>
    <t>P10039</t>
  </si>
  <si>
    <t>A00473</t>
  </si>
  <si>
    <t>12-23-2025 18:25</t>
  </si>
  <si>
    <t>A00474</t>
  </si>
  <si>
    <t>A00475</t>
  </si>
  <si>
    <t>A00476</t>
  </si>
  <si>
    <t>A00477</t>
  </si>
  <si>
    <t>A00478</t>
  </si>
  <si>
    <t>P10132</t>
  </si>
  <si>
    <t>A00479</t>
  </si>
  <si>
    <t>A00480</t>
  </si>
  <si>
    <t>A00481</t>
  </si>
  <si>
    <t>A00482</t>
  </si>
  <si>
    <t>P10233</t>
  </si>
  <si>
    <t>A00483</t>
  </si>
  <si>
    <t>A00484</t>
  </si>
  <si>
    <t>P10067</t>
  </si>
  <si>
    <t>A00485</t>
  </si>
  <si>
    <t>A00486</t>
  </si>
  <si>
    <t>A00487</t>
  </si>
  <si>
    <t>P10341</t>
  </si>
  <si>
    <t>A00488</t>
  </si>
  <si>
    <t>A00489</t>
  </si>
  <si>
    <t>A00490</t>
  </si>
  <si>
    <t>P10222</t>
  </si>
  <si>
    <t>A00491</t>
  </si>
  <si>
    <t>11-15-2025 14:35</t>
  </si>
  <si>
    <t>A00492</t>
  </si>
  <si>
    <t>P10148</t>
  </si>
  <si>
    <t>A00493</t>
  </si>
  <si>
    <t>A00494</t>
  </si>
  <si>
    <t>A00495</t>
  </si>
  <si>
    <t>A00496</t>
  </si>
  <si>
    <t>P10140</t>
  </si>
  <si>
    <t>A00497</t>
  </si>
  <si>
    <t>A00498</t>
  </si>
  <si>
    <t>P10210</t>
  </si>
  <si>
    <t>A00499</t>
  </si>
  <si>
    <t>A00500</t>
  </si>
  <si>
    <t>A00501</t>
  </si>
  <si>
    <t>05-18-2024 09:40</t>
  </si>
  <si>
    <t>A00502</t>
  </si>
  <si>
    <t>A00503</t>
  </si>
  <si>
    <t>A00504</t>
  </si>
  <si>
    <t>P10242</t>
  </si>
  <si>
    <t>A00505</t>
  </si>
  <si>
    <t>A00506</t>
  </si>
  <si>
    <t>05-29-2025 07:45</t>
  </si>
  <si>
    <t>A00507</t>
  </si>
  <si>
    <t>P10214</t>
  </si>
  <si>
    <t>A00508</t>
  </si>
  <si>
    <t>A00509</t>
  </si>
  <si>
    <t>A00510</t>
  </si>
  <si>
    <t>P10357</t>
  </si>
  <si>
    <t>08-19-2024 10:20</t>
  </si>
  <si>
    <t>A00511</t>
  </si>
  <si>
    <t>11-29-2025 11:15</t>
  </si>
  <si>
    <t>A00512</t>
  </si>
  <si>
    <t>A00513</t>
  </si>
  <si>
    <t>P10390</t>
  </si>
  <si>
    <t>A00514</t>
  </si>
  <si>
    <t>A00515</t>
  </si>
  <si>
    <t>A00516</t>
  </si>
  <si>
    <t>P10188</t>
  </si>
  <si>
    <t>A00517</t>
  </si>
  <si>
    <t>11-14-2024 13:50</t>
  </si>
  <si>
    <t>A00518</t>
  </si>
  <si>
    <t>P10190</t>
  </si>
  <si>
    <t>A00519</t>
  </si>
  <si>
    <t>A00520</t>
  </si>
  <si>
    <t>A00521</t>
  </si>
  <si>
    <t>P10326</t>
  </si>
  <si>
    <t>A00522</t>
  </si>
  <si>
    <t>A00523</t>
  </si>
  <si>
    <t>A00524</t>
  </si>
  <si>
    <t>P10206</t>
  </si>
  <si>
    <t>A00525</t>
  </si>
  <si>
    <t>A00526</t>
  </si>
  <si>
    <t>07-17-2025 13:25</t>
  </si>
  <si>
    <t>A00527</t>
  </si>
  <si>
    <t>A00528</t>
  </si>
  <si>
    <t>P10307</t>
  </si>
  <si>
    <t>A00529</t>
  </si>
  <si>
    <t>P10428</t>
  </si>
  <si>
    <t>A00530</t>
  </si>
  <si>
    <t>A00531</t>
  </si>
  <si>
    <t>A00532</t>
  </si>
  <si>
    <t>05-31-2024 15:20</t>
  </si>
  <si>
    <t>A00533</t>
  </si>
  <si>
    <t>P10260</t>
  </si>
  <si>
    <t>A00534</t>
  </si>
  <si>
    <t>A00535</t>
  </si>
  <si>
    <t>A00536</t>
  </si>
  <si>
    <t>P10299</t>
  </si>
  <si>
    <t>A00537</t>
  </si>
  <si>
    <t>A00538</t>
  </si>
  <si>
    <t>A00539</t>
  </si>
  <si>
    <t>P10350</t>
  </si>
  <si>
    <t>A00540</t>
  </si>
  <si>
    <t>P10074</t>
  </si>
  <si>
    <t>A00541</t>
  </si>
  <si>
    <t>12-22-2025 10:15</t>
  </si>
  <si>
    <t>A00542</t>
  </si>
  <si>
    <t>02-17-2024 17:30</t>
  </si>
  <si>
    <t>A00543</t>
  </si>
  <si>
    <t>A00544</t>
  </si>
  <si>
    <t>A00545</t>
  </si>
  <si>
    <t>A00546</t>
  </si>
  <si>
    <t>A00547</t>
  </si>
  <si>
    <t>A00548</t>
  </si>
  <si>
    <t>P10224</t>
  </si>
  <si>
    <t>A00549</t>
  </si>
  <si>
    <t>A00550</t>
  </si>
  <si>
    <t>P10289</t>
  </si>
  <si>
    <t>A00551</t>
  </si>
  <si>
    <t>P10254</t>
  </si>
  <si>
    <t>A00552</t>
  </si>
  <si>
    <t>06-21-2025 09:10</t>
  </si>
  <si>
    <t>A00553</t>
  </si>
  <si>
    <t>A00554</t>
  </si>
  <si>
    <t>P10167</t>
  </si>
  <si>
    <t>04-18-2025 17:45</t>
  </si>
  <si>
    <t>A00555</t>
  </si>
  <si>
    <t>A00556</t>
  </si>
  <si>
    <t>A00557</t>
  </si>
  <si>
    <t>A00558</t>
  </si>
  <si>
    <t>P10153</t>
  </si>
  <si>
    <t>A00559</t>
  </si>
  <si>
    <t>A00560</t>
  </si>
  <si>
    <t>A00561</t>
  </si>
  <si>
    <t>A00562</t>
  </si>
  <si>
    <t>A00563</t>
  </si>
  <si>
    <t>A00564</t>
  </si>
  <si>
    <t>P10325</t>
  </si>
  <si>
    <t>A00565</t>
  </si>
  <si>
    <t>P10095</t>
  </si>
  <si>
    <t>A00566</t>
  </si>
  <si>
    <t>A00567</t>
  </si>
  <si>
    <t>A00568</t>
  </si>
  <si>
    <t>01-31-2025 18:20</t>
  </si>
  <si>
    <t>A00569</t>
  </si>
  <si>
    <t>A00570</t>
  </si>
  <si>
    <t>A00571</t>
  </si>
  <si>
    <t>A00572</t>
  </si>
  <si>
    <t>A00573</t>
  </si>
  <si>
    <t>06-21-2024 07:40</t>
  </si>
  <si>
    <t>A00574</t>
  </si>
  <si>
    <t>A00575</t>
  </si>
  <si>
    <t>P10342</t>
  </si>
  <si>
    <t>A00576</t>
  </si>
  <si>
    <t>P10229</t>
  </si>
  <si>
    <t>06-18-2025 13:40</t>
  </si>
  <si>
    <t>A00577</t>
  </si>
  <si>
    <t>A00578</t>
  </si>
  <si>
    <t>A00579</t>
  </si>
  <si>
    <t>A00580</t>
  </si>
  <si>
    <t>P10354</t>
  </si>
  <si>
    <t>A00581</t>
  </si>
  <si>
    <t>A00582</t>
  </si>
  <si>
    <t>P10378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</si>
  <si>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</si>
  <si>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</si>
  <si>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</si>
  <si>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</si>
  <si>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</si>
  <si>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</si>
  <si>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</si>
  <si>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</si>
  <si>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</si>
  <si>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</si>
  <si>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P10404</t>
  </si>
  <si>
    <t>A00593</t>
  </si>
  <si>
    <t>A00594</t>
  </si>
  <si>
    <t>04-26-2025 13:30</t>
  </si>
  <si>
    <t>A00595</t>
  </si>
  <si>
    <t>P10124</t>
  </si>
  <si>
    <t>A00596</t>
  </si>
  <si>
    <t>A00597</t>
  </si>
  <si>
    <t>A00598</t>
  </si>
  <si>
    <t>A00599</t>
  </si>
  <si>
    <t>A00600</t>
  </si>
  <si>
    <t>P10384</t>
  </si>
  <si>
    <t>A00601</t>
  </si>
  <si>
    <t>A00602</t>
  </si>
  <si>
    <t>P10322</t>
  </si>
  <si>
    <t>A00603</t>
  </si>
  <si>
    <t>A00604</t>
  </si>
  <si>
    <t>A00605</t>
  </si>
  <si>
    <t>P10375</t>
  </si>
  <si>
    <t>A00606</t>
  </si>
  <si>
    <t>A00607</t>
  </si>
  <si>
    <t>01-19-2025 15:00</t>
  </si>
  <si>
    <t>A00608</t>
  </si>
  <si>
    <t>A00609</t>
  </si>
  <si>
    <t>A00610</t>
  </si>
  <si>
    <t>A00611</t>
  </si>
  <si>
    <t>P10308</t>
  </si>
  <si>
    <t>A00612</t>
  </si>
  <si>
    <t>A00614</t>
  </si>
  <si>
    <t>A00615</t>
  </si>
  <si>
    <t>P10022</t>
  </si>
  <si>
    <t>A00616</t>
  </si>
  <si>
    <t>A00617</t>
  </si>
  <si>
    <t>A00618</t>
  </si>
  <si>
    <t>P10256</t>
  </si>
  <si>
    <t>A00619</t>
  </si>
  <si>
    <t>A00620</t>
  </si>
  <si>
    <t>A00621</t>
  </si>
  <si>
    <t>P10179</t>
  </si>
  <si>
    <t>A00622</t>
  </si>
  <si>
    <t>A00623</t>
  </si>
  <si>
    <t>A00624</t>
  </si>
  <si>
    <t>A00625</t>
  </si>
  <si>
    <t>A00626</t>
  </si>
  <si>
    <t>P10286</t>
  </si>
  <si>
    <t>A00627</t>
  </si>
  <si>
    <t>A00628</t>
  </si>
  <si>
    <t>A00629</t>
  </si>
  <si>
    <t>A00630</t>
  </si>
  <si>
    <t>08-26-2025 18:40</t>
  </si>
  <si>
    <t>A00631</t>
  </si>
  <si>
    <t>A00632</t>
  </si>
  <si>
    <t>P10125</t>
  </si>
  <si>
    <t>A00633</t>
  </si>
  <si>
    <t>P10136</t>
  </si>
  <si>
    <t>A00634</t>
  </si>
  <si>
    <t>P10020</t>
  </si>
  <si>
    <t>A00635</t>
  </si>
  <si>
    <t>A00636</t>
  </si>
  <si>
    <t>08-13-2024 11:05</t>
  </si>
  <si>
    <t>A00637</t>
  </si>
  <si>
    <t>P10310</t>
  </si>
  <si>
    <t>A00638</t>
  </si>
  <si>
    <t>A00639</t>
  </si>
  <si>
    <t>A00640</t>
  </si>
  <si>
    <t>P10446</t>
  </si>
  <si>
    <t>A00641</t>
  </si>
  <si>
    <t>A00642</t>
  </si>
  <si>
    <t>P10363</t>
  </si>
  <si>
    <t>A00643</t>
  </si>
  <si>
    <t>10-24-2025 15:25</t>
  </si>
  <si>
    <t>A00644</t>
  </si>
  <si>
    <t>P10406</t>
  </si>
  <si>
    <t>A00645</t>
  </si>
  <si>
    <t>P10334</t>
  </si>
  <si>
    <t>A00646</t>
  </si>
  <si>
    <t>A00647</t>
  </si>
  <si>
    <t>P10338</t>
  </si>
  <si>
    <t>A00648</t>
  </si>
  <si>
    <t>A00649</t>
  </si>
  <si>
    <t>07-25-2025 15:55</t>
  </si>
  <si>
    <t>A00650</t>
  </si>
  <si>
    <t>A00651</t>
  </si>
  <si>
    <t>P10015</t>
  </si>
  <si>
    <t>A00652</t>
  </si>
  <si>
    <t>A00653</t>
  </si>
  <si>
    <t>11-13-2025 16:05</t>
  </si>
  <si>
    <t>A00654</t>
  </si>
  <si>
    <t>A00655</t>
  </si>
  <si>
    <t>A00656</t>
  </si>
  <si>
    <t>10-21-2025 17:50</t>
  </si>
  <si>
    <t>A00657</t>
  </si>
  <si>
    <t>P10444</t>
  </si>
  <si>
    <t>11-30-2024 18:55</t>
  </si>
  <si>
    <t>A00658</t>
  </si>
  <si>
    <t>A00659</t>
  </si>
  <si>
    <t>P10145</t>
  </si>
  <si>
    <t>A00660</t>
  </si>
  <si>
    <t>P10420</t>
  </si>
  <si>
    <t>A00661</t>
  </si>
  <si>
    <t>04-28-2024 10:30</t>
  </si>
  <si>
    <t>A00662</t>
  </si>
  <si>
    <t>A00663</t>
  </si>
  <si>
    <t>A00664</t>
  </si>
  <si>
    <t>A00665</t>
  </si>
  <si>
    <t>A00666</t>
  </si>
  <si>
    <t>A00667</t>
  </si>
  <si>
    <t>A00668</t>
  </si>
  <si>
    <t>12-30-2025 15:45</t>
  </si>
  <si>
    <t>A00669</t>
  </si>
  <si>
    <t>P10171</t>
  </si>
  <si>
    <t>A00670</t>
  </si>
  <si>
    <t>A00671</t>
  </si>
  <si>
    <t>A00672</t>
  </si>
  <si>
    <t>A00673</t>
  </si>
  <si>
    <t>A00674</t>
  </si>
  <si>
    <t>A00675</t>
  </si>
  <si>
    <t>02-17-2025 07:05</t>
  </si>
  <si>
    <t>A00676</t>
  </si>
  <si>
    <t>A00677</t>
  </si>
  <si>
    <t>A00678</t>
  </si>
  <si>
    <t>A00679</t>
  </si>
  <si>
    <t>A00680</t>
  </si>
  <si>
    <t>P10230</t>
  </si>
  <si>
    <t>A00681</t>
  </si>
  <si>
    <t>A00682</t>
  </si>
  <si>
    <t>P10207</t>
  </si>
  <si>
    <t>A00683</t>
  </si>
  <si>
    <t>A00684</t>
  </si>
  <si>
    <t>A00685</t>
  </si>
  <si>
    <t>A00686</t>
  </si>
  <si>
    <t>A00687</t>
  </si>
  <si>
    <t>01-21-2025 12:50</t>
  </si>
  <si>
    <t>A00688</t>
  </si>
  <si>
    <t>A00689</t>
  </si>
  <si>
    <t>P10320</t>
  </si>
  <si>
    <t>P10152</t>
  </si>
  <si>
    <t>09-25-2025 17:20</t>
  </si>
  <si>
    <t>A00691</t>
  </si>
  <si>
    <t>A00692</t>
  </si>
  <si>
    <t>A00693</t>
  </si>
  <si>
    <t>A00694</t>
  </si>
  <si>
    <t>A00695</t>
  </si>
  <si>
    <t>P10281</t>
  </si>
  <si>
    <t>A00696</t>
  </si>
  <si>
    <t>P10159</t>
  </si>
  <si>
    <t>A00697</t>
  </si>
  <si>
    <t>A00698</t>
  </si>
  <si>
    <t>A00699</t>
  </si>
  <si>
    <t>P10026</t>
  </si>
  <si>
    <t>A00700</t>
  </si>
  <si>
    <t>P10146</t>
  </si>
  <si>
    <t>A00702</t>
  </si>
  <si>
    <t>A00703</t>
  </si>
  <si>
    <t>A00704</t>
  </si>
  <si>
    <t>A00705</t>
  </si>
  <si>
    <t>A00706</t>
  </si>
  <si>
    <t>A00707</t>
  </si>
  <si>
    <t>P10028</t>
  </si>
  <si>
    <t>A00708</t>
  </si>
  <si>
    <t>A00709</t>
  </si>
  <si>
    <t>A00710</t>
  </si>
  <si>
    <t>A00711</t>
  </si>
  <si>
    <t>A00712</t>
  </si>
  <si>
    <t>A00713</t>
  </si>
  <si>
    <t>A00714</t>
  </si>
  <si>
    <t>P10337</t>
  </si>
  <si>
    <t>A00715</t>
  </si>
  <si>
    <t>A00716</t>
  </si>
  <si>
    <t>P10066</t>
  </si>
  <si>
    <t>A00717</t>
  </si>
  <si>
    <t>P10100</t>
  </si>
  <si>
    <t>A00718</t>
  </si>
  <si>
    <t>A00719</t>
  </si>
  <si>
    <t>A00720</t>
  </si>
  <si>
    <t>A00721</t>
  </si>
  <si>
    <t>A00722</t>
  </si>
  <si>
    <t>A00723</t>
  </si>
  <si>
    <t>A00724</t>
  </si>
  <si>
    <t>P10397</t>
  </si>
  <si>
    <t>A00725</t>
  </si>
  <si>
    <t>A00726</t>
  </si>
  <si>
    <t>A00727</t>
  </si>
  <si>
    <t>A00728</t>
  </si>
  <si>
    <t>P10403</t>
  </si>
  <si>
    <t>A00729</t>
  </si>
  <si>
    <t>A00730</t>
  </si>
  <si>
    <t>A00731</t>
  </si>
  <si>
    <t>A00732</t>
  </si>
  <si>
    <t>A00733</t>
  </si>
  <si>
    <t>08-14-2025 15:15</t>
  </si>
  <si>
    <t>A00734</t>
  </si>
  <si>
    <t>A00735</t>
  </si>
  <si>
    <t>05-13-2024 09:00</t>
  </si>
  <si>
    <t>A00736</t>
  </si>
  <si>
    <t>A00737</t>
  </si>
  <si>
    <t>A00738</t>
  </si>
  <si>
    <t>A00739</t>
  </si>
  <si>
    <t>A00740</t>
  </si>
  <si>
    <t>07-25-2025 17:30</t>
  </si>
  <si>
    <t>A00742</t>
  </si>
  <si>
    <t>A00743</t>
  </si>
  <si>
    <t>11-23-2024 11:10</t>
  </si>
  <si>
    <t>A00744</t>
  </si>
  <si>
    <t>A00745</t>
  </si>
  <si>
    <t>A00746</t>
  </si>
  <si>
    <t>A00747</t>
  </si>
  <si>
    <t>P10421</t>
  </si>
  <si>
    <t>A00748</t>
  </si>
  <si>
    <t>A00749</t>
  </si>
  <si>
    <t>A00750</t>
  </si>
  <si>
    <t>A00751</t>
  </si>
  <si>
    <t>04-26-2024 16:35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</si>
  <si>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</si>
  <si>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</si>
  <si>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</si>
  <si>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</si>
  <si>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</si>
  <si>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</si>
  <si>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</si>
  <si>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</si>
  <si>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P10011</t>
  </si>
  <si>
    <t>11-24-2024 15:40</t>
  </si>
  <si>
    <t>A00760</t>
  </si>
  <si>
    <t>A00761</t>
  </si>
  <si>
    <t>A00762</t>
  </si>
  <si>
    <t>A00763</t>
  </si>
  <si>
    <t>A00764</t>
  </si>
  <si>
    <t>P10349</t>
  </si>
  <si>
    <t>A00765</t>
  </si>
  <si>
    <t>A00766</t>
  </si>
  <si>
    <t>04-21-2024 13:50</t>
  </si>
  <si>
    <t>A00767</t>
  </si>
  <si>
    <t>A00768</t>
  </si>
  <si>
    <t>A00769</t>
  </si>
  <si>
    <t>01-30-2025 15:00</t>
  </si>
  <si>
    <t>A00770</t>
  </si>
  <si>
    <t>A00771</t>
  </si>
  <si>
    <t>A00772</t>
  </si>
  <si>
    <t>A00773</t>
  </si>
  <si>
    <t>A00774</t>
  </si>
  <si>
    <t>A00775</t>
  </si>
  <si>
    <t>P10070</t>
  </si>
  <si>
    <t>A00776</t>
  </si>
  <si>
    <t>P10200</t>
  </si>
  <si>
    <t>A00777</t>
  </si>
  <si>
    <t>P10023</t>
  </si>
  <si>
    <t>A00778</t>
  </si>
  <si>
    <t>P10261</t>
  </si>
  <si>
    <t>A00779</t>
  </si>
  <si>
    <t>01-18-2024 14:30</t>
  </si>
  <si>
    <t>A00780</t>
  </si>
  <si>
    <t>A00781</t>
  </si>
  <si>
    <t>A00782</t>
  </si>
  <si>
    <t>A00783</t>
  </si>
  <si>
    <t>A00784</t>
  </si>
  <si>
    <t>A00785</t>
  </si>
  <si>
    <t>A00786</t>
  </si>
  <si>
    <t>05-30-2025 09:40</t>
  </si>
  <si>
    <t>A00787</t>
  </si>
  <si>
    <t>A00788</t>
  </si>
  <si>
    <t>A00789</t>
  </si>
  <si>
    <t>A00790</t>
  </si>
  <si>
    <t>A00791</t>
  </si>
  <si>
    <t>P10277</t>
  </si>
  <si>
    <t>A00792</t>
  </si>
  <si>
    <t>A00793</t>
  </si>
  <si>
    <t>A00794</t>
  </si>
  <si>
    <t>A00795</t>
  </si>
  <si>
    <t>A00796</t>
  </si>
  <si>
    <t>11-13-2025 08:00</t>
  </si>
  <si>
    <t>A00797</t>
  </si>
  <si>
    <t>03-14-2024 15:20</t>
  </si>
  <si>
    <t>A00798</t>
  </si>
  <si>
    <t>A00799</t>
  </si>
  <si>
    <t>A00800</t>
  </si>
  <si>
    <t>P10169</t>
  </si>
  <si>
    <t>A00801</t>
  </si>
  <si>
    <t>A00802</t>
  </si>
  <si>
    <t>A00803</t>
  </si>
  <si>
    <t>P10180</t>
  </si>
  <si>
    <t>A00804</t>
  </si>
  <si>
    <t>A00805</t>
  </si>
  <si>
    <t>A00806</t>
  </si>
  <si>
    <t>A00807</t>
  </si>
  <si>
    <t>A00808</t>
  </si>
  <si>
    <t>A00809</t>
  </si>
  <si>
    <t>A00810</t>
  </si>
  <si>
    <t>P10292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</si>
  <si>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</si>
  <si>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</si>
  <si>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</si>
  <si>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</si>
  <si>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</si>
  <si>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</si>
  <si>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</si>
  <si>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</si>
  <si>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07-16-2025 14:05</t>
  </si>
  <si>
    <t>A00819</t>
  </si>
  <si>
    <t>A00820</t>
  </si>
  <si>
    <t>A00821</t>
  </si>
  <si>
    <t>A00822</t>
  </si>
  <si>
    <t>A00823</t>
  </si>
  <si>
    <t>P10044</t>
  </si>
  <si>
    <t>A00824</t>
  </si>
  <si>
    <t>A00825</t>
  </si>
  <si>
    <t>A00826</t>
  </si>
  <si>
    <t>A00827</t>
  </si>
  <si>
    <t>A00828</t>
  </si>
  <si>
    <t>A00829</t>
  </si>
  <si>
    <t>A00830</t>
  </si>
  <si>
    <t>P10040</t>
  </si>
  <si>
    <t>A00831</t>
  </si>
  <si>
    <t>A00832</t>
  </si>
  <si>
    <t>A00833</t>
  </si>
  <si>
    <t>A00834</t>
  </si>
  <si>
    <t>A00835</t>
  </si>
  <si>
    <t>11-17-2024 16:20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</si>
  <si>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</si>
  <si>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</si>
  <si>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</si>
  <si>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</si>
  <si>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</si>
  <si>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</si>
  <si>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</si>
  <si>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</si>
  <si>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</si>
  <si>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03-24-2025 13:10</t>
  </si>
  <si>
    <t>A00846</t>
  </si>
  <si>
    <t>A00847</t>
  </si>
  <si>
    <t>A00848</t>
  </si>
  <si>
    <t>A00849</t>
  </si>
  <si>
    <t>A00850</t>
  </si>
  <si>
    <t>A00851</t>
  </si>
  <si>
    <t>P10131</t>
  </si>
  <si>
    <t>A00852</t>
  </si>
  <si>
    <t>A00853</t>
  </si>
  <si>
    <t>A00854</t>
  </si>
  <si>
    <t>08-16-2024 17:40</t>
  </si>
  <si>
    <t>A00855</t>
  </si>
  <si>
    <t>A00856</t>
  </si>
  <si>
    <t>A00857</t>
  </si>
  <si>
    <t>01-18-2024 11:55</t>
  </si>
  <si>
    <t>A00858</t>
  </si>
  <si>
    <t>A00859</t>
  </si>
  <si>
    <t>A00860</t>
  </si>
  <si>
    <t>P10312</t>
  </si>
  <si>
    <t>A00861</t>
  </si>
  <si>
    <t>A00862</t>
  </si>
  <si>
    <t>A00863</t>
  </si>
  <si>
    <t>A00864</t>
  </si>
  <si>
    <t>A00865</t>
  </si>
  <si>
    <t>A00866</t>
  </si>
  <si>
    <t>A00867</t>
  </si>
  <si>
    <t>P10204</t>
  </si>
  <si>
    <t>A00868</t>
  </si>
  <si>
    <t>P10304</t>
  </si>
  <si>
    <t>A00869</t>
  </si>
  <si>
    <t>A00870</t>
  </si>
  <si>
    <t>A00871</t>
  </si>
  <si>
    <t>A00872</t>
  </si>
  <si>
    <t>A00873</t>
  </si>
  <si>
    <t>A00874</t>
  </si>
  <si>
    <t>11-24-2024 15:25</t>
  </si>
  <si>
    <t>A00875</t>
  </si>
  <si>
    <t>A00876</t>
  </si>
  <si>
    <t>A00877</t>
  </si>
  <si>
    <t>A00878</t>
  </si>
  <si>
    <t>A00879</t>
  </si>
  <si>
    <t>A00880</t>
  </si>
  <si>
    <t>A00881</t>
  </si>
  <si>
    <t>07-28-2025 12:35</t>
  </si>
  <si>
    <t>A00882</t>
  </si>
  <si>
    <t>A00883</t>
  </si>
  <si>
    <t>A00884</t>
  </si>
  <si>
    <t>07-31-2024 10:25</t>
  </si>
  <si>
    <t>A00885</t>
  </si>
  <si>
    <t>A00886</t>
  </si>
  <si>
    <t>A00887</t>
  </si>
  <si>
    <t>P10333</t>
  </si>
  <si>
    <t>A00888</t>
  </si>
  <si>
    <t>P10278</t>
  </si>
  <si>
    <t>A00889</t>
  </si>
  <si>
    <t>12-14-2025 14:25</t>
  </si>
  <si>
    <t>A00890</t>
  </si>
  <si>
    <t>A00891</t>
  </si>
  <si>
    <t>06-26-2024 09:40</t>
  </si>
  <si>
    <t>A00892</t>
  </si>
  <si>
    <t>07-27-2025 08:05</t>
  </si>
  <si>
    <t>A00893</t>
  </si>
  <si>
    <t>A00894</t>
  </si>
  <si>
    <t>06-23-2024 10:05</t>
  </si>
  <si>
    <t>A00895</t>
  </si>
  <si>
    <t>A00896</t>
  </si>
  <si>
    <t>A00897</t>
  </si>
  <si>
    <t>A00898</t>
  </si>
  <si>
    <t>A00899</t>
  </si>
  <si>
    <t>A00900</t>
  </si>
  <si>
    <t>01-16-2024 09:25</t>
  </si>
  <si>
    <t>A00901</t>
  </si>
  <si>
    <t>A00902</t>
  </si>
  <si>
    <t>A00903</t>
  </si>
  <si>
    <t>P10016</t>
  </si>
  <si>
    <t>A00904</t>
  </si>
  <si>
    <t>A00905</t>
  </si>
  <si>
    <t>P10031</t>
  </si>
  <si>
    <t>A00906</t>
  </si>
  <si>
    <t>A00907</t>
  </si>
  <si>
    <t>A00908</t>
  </si>
  <si>
    <t>11-21-2024 08:50</t>
  </si>
  <si>
    <t>A00909</t>
  </si>
  <si>
    <t>A00910</t>
  </si>
  <si>
    <t>A00911</t>
  </si>
  <si>
    <t>A00912</t>
  </si>
  <si>
    <t>A00913</t>
  </si>
  <si>
    <t>03-15-2025 13:25</t>
  </si>
  <si>
    <t>A00914</t>
  </si>
  <si>
    <t>P10120</t>
  </si>
  <si>
    <t>A00915</t>
  </si>
  <si>
    <t>A00916</t>
  </si>
  <si>
    <t>A00917</t>
  </si>
  <si>
    <t>A00918</t>
  </si>
  <si>
    <t>A00919</t>
  </si>
  <si>
    <t>A00920</t>
  </si>
  <si>
    <t>09-29-2025 16:00</t>
  </si>
  <si>
    <t>A00921</t>
  </si>
  <si>
    <t>A00922</t>
  </si>
  <si>
    <t>A00923</t>
  </si>
  <si>
    <t>A00924</t>
  </si>
  <si>
    <t>05-27-2025 07:00</t>
  </si>
  <si>
    <t>A00925</t>
  </si>
  <si>
    <t>A00926</t>
  </si>
  <si>
    <t>07-21-2024 12:00</t>
  </si>
  <si>
    <t>A00927</t>
  </si>
  <si>
    <t>A00928</t>
  </si>
  <si>
    <t>A00929</t>
  </si>
  <si>
    <t>05-24-2025 15:05</t>
  </si>
  <si>
    <t>A00930</t>
  </si>
  <si>
    <t>A00931</t>
  </si>
  <si>
    <t>10-30-2024 08:20</t>
  </si>
  <si>
    <t>A00932</t>
  </si>
  <si>
    <t>A00933</t>
  </si>
  <si>
    <t>A00934</t>
  </si>
  <si>
    <t>A00935</t>
  </si>
  <si>
    <t>A00936</t>
  </si>
  <si>
    <t>P10283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</si>
  <si>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</si>
  <si>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</si>
  <si>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</si>
  <si>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</si>
  <si>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</si>
  <si>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</si>
  <si>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</si>
  <si>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</si>
  <si>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</si>
  <si>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</si>
  <si>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</si>
  <si>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</si>
  <si>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</si>
  <si>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P10301</t>
  </si>
  <si>
    <t>A00950</t>
  </si>
  <si>
    <t>A00951</t>
  </si>
  <si>
    <t>A00952</t>
  </si>
  <si>
    <t>A00953</t>
  </si>
  <si>
    <t>A00954</t>
  </si>
  <si>
    <t>A00955</t>
  </si>
  <si>
    <t>P10075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</si>
  <si>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</si>
  <si>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</si>
  <si>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</si>
  <si>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</si>
  <si>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</si>
  <si>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</si>
  <si>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</si>
  <si>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</si>
  <si>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</si>
  <si>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</si>
  <si>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</si>
  <si>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P10078</t>
  </si>
  <si>
    <t>A00967</t>
  </si>
  <si>
    <t>A00968</t>
  </si>
  <si>
    <t>A00969</t>
  </si>
  <si>
    <t>A00970</t>
  </si>
  <si>
    <t>A00971</t>
  </si>
  <si>
    <t>01-31-2024 17:00</t>
  </si>
  <si>
    <t>A00972</t>
  </si>
  <si>
    <t>A00973</t>
  </si>
  <si>
    <t>A00974</t>
  </si>
  <si>
    <t>A00975</t>
  </si>
  <si>
    <t>A00976</t>
  </si>
  <si>
    <t>A00977</t>
  </si>
  <si>
    <t>A00978</t>
  </si>
  <si>
    <t>03-20-2025 07:20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</si>
  <si>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</si>
  <si>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</si>
  <si>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</si>
  <si>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</si>
  <si>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</si>
  <si>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</si>
  <si>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</si>
  <si>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</si>
  <si>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</si>
  <si>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</si>
  <si>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</si>
  <si>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</si>
  <si>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</si>
  <si>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P10347</t>
  </si>
  <si>
    <t>A00992</t>
  </si>
  <si>
    <t>02-21-2025 09:30</t>
  </si>
  <si>
    <t>A00993</t>
  </si>
  <si>
    <t>A00994</t>
  </si>
  <si>
    <t>A00995</t>
  </si>
  <si>
    <t>A00996</t>
  </si>
  <si>
    <t>A00997</t>
  </si>
  <si>
    <t>A00998</t>
  </si>
  <si>
    <t>A00999</t>
  </si>
  <si>
    <t>P10049</t>
  </si>
  <si>
    <t>A01000</t>
  </si>
  <si>
    <t>A01001</t>
  </si>
  <si>
    <t>A01002</t>
  </si>
  <si>
    <t>A01003</t>
  </si>
  <si>
    <t>A01004</t>
  </si>
  <si>
    <t>P10431</t>
  </si>
  <si>
    <t>A01005</t>
  </si>
  <si>
    <t>A01006</t>
  </si>
  <si>
    <t>A01007</t>
  </si>
  <si>
    <t>A01008</t>
  </si>
  <si>
    <t>A01009</t>
  </si>
  <si>
    <t>A01010</t>
  </si>
  <si>
    <t>A01011</t>
  </si>
  <si>
    <t>10-20-2025 15:50</t>
  </si>
  <si>
    <t>A01012</t>
  </si>
  <si>
    <t>A01013</t>
  </si>
  <si>
    <t>P10163</t>
  </si>
  <si>
    <t>A01014</t>
  </si>
  <si>
    <t>P10438</t>
  </si>
  <si>
    <t>A01015</t>
  </si>
  <si>
    <t>P10218</t>
  </si>
  <si>
    <t>A01016</t>
  </si>
  <si>
    <t>P10170</t>
  </si>
  <si>
    <t>A01017</t>
  </si>
  <si>
    <t>A01018</t>
  </si>
  <si>
    <t>11-25-2024 14:50</t>
  </si>
  <si>
    <t>A01019</t>
  </si>
  <si>
    <t>06-27-2025 16:10</t>
  </si>
  <si>
    <t>A01020</t>
  </si>
  <si>
    <t>A01021</t>
  </si>
  <si>
    <t>10-20-2025 12:55</t>
  </si>
  <si>
    <t>A01022</t>
  </si>
  <si>
    <t>A01023</t>
  </si>
  <si>
    <t>A01024</t>
  </si>
  <si>
    <t>A01025</t>
  </si>
  <si>
    <t>A01026</t>
  </si>
  <si>
    <t>A01027</t>
  </si>
  <si>
    <t>05-27-2024 13:40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</si>
  <si>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</si>
  <si>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</si>
  <si>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</si>
  <si>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</si>
  <si>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</si>
  <si>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</si>
  <si>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</si>
  <si>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</si>
  <si>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P10013</t>
  </si>
  <si>
    <t>A01036</t>
  </si>
  <si>
    <t>A01037</t>
  </si>
  <si>
    <t>A01038</t>
  </si>
  <si>
    <t>01-28-2024 16:10</t>
  </si>
  <si>
    <t>A01039</t>
  </si>
  <si>
    <t>A01040</t>
  </si>
  <si>
    <t>A01041</t>
  </si>
  <si>
    <t>P10400</t>
  </si>
  <si>
    <t>07-21-2024 09:25</t>
  </si>
  <si>
    <t>A01042</t>
  </si>
  <si>
    <t>P10268</t>
  </si>
  <si>
    <t>A01044</t>
  </si>
  <si>
    <t>A01045</t>
  </si>
  <si>
    <t>P10048</t>
  </si>
  <si>
    <t>A01046</t>
  </si>
  <si>
    <t>A01047</t>
  </si>
  <si>
    <t>A01048</t>
  </si>
  <si>
    <t>A01049</t>
  </si>
  <si>
    <t>A01050</t>
  </si>
  <si>
    <t>12-16-2025 18:55</t>
  </si>
  <si>
    <t>08-17-2024 12:20</t>
  </si>
  <si>
    <t>A01052</t>
  </si>
  <si>
    <t>A01053</t>
  </si>
  <si>
    <t>A01054</t>
  </si>
  <si>
    <t>05-27-2024 18:45</t>
  </si>
  <si>
    <t>A01055</t>
  </si>
  <si>
    <t>A01056</t>
  </si>
  <si>
    <t>04-26-2024 13:55</t>
  </si>
  <si>
    <t>A01057</t>
  </si>
  <si>
    <t>A01058</t>
  </si>
  <si>
    <t>A01059</t>
  </si>
  <si>
    <t>A01060</t>
  </si>
  <si>
    <t>A01061</t>
  </si>
  <si>
    <t>03-17-2024 16:15</t>
  </si>
  <si>
    <t>A01062</t>
  </si>
  <si>
    <t>A01063</t>
  </si>
  <si>
    <t>A01064</t>
  </si>
  <si>
    <t>A01065</t>
  </si>
  <si>
    <t>A01066</t>
  </si>
  <si>
    <t>A01067</t>
  </si>
  <si>
    <t>P10000</t>
  </si>
  <si>
    <t>A01068</t>
  </si>
  <si>
    <t>A01069</t>
  </si>
  <si>
    <t>04-14-2024 16:20</t>
  </si>
  <si>
    <t>A01070</t>
  </si>
  <si>
    <t>A01071</t>
  </si>
  <si>
    <t>A01072</t>
  </si>
  <si>
    <t>P10034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</si>
  <si>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</si>
  <si>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</si>
  <si>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</si>
  <si>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</si>
  <si>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</si>
  <si>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</si>
  <si>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</si>
  <si>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</si>
  <si>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</si>
  <si>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</si>
  <si>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</si>
  <si>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P10042</t>
  </si>
  <si>
    <t>A01084</t>
  </si>
  <si>
    <t>A01085</t>
  </si>
  <si>
    <t>A01086</t>
  </si>
  <si>
    <t>11-17-2024 13:45</t>
  </si>
  <si>
    <t>A01087</t>
  </si>
  <si>
    <t>A01088</t>
  </si>
  <si>
    <t>A01089</t>
  </si>
  <si>
    <t>A01090</t>
  </si>
  <si>
    <t>A01091</t>
  </si>
  <si>
    <t>A01092</t>
  </si>
  <si>
    <t>02-23-2024 08:15</t>
  </si>
  <si>
    <t>A01093</t>
  </si>
  <si>
    <t>A01094</t>
  </si>
  <si>
    <t>A01095</t>
  </si>
  <si>
    <t>A01096</t>
  </si>
  <si>
    <t>A01097</t>
  </si>
  <si>
    <t>A01098</t>
  </si>
  <si>
    <t>P10422</t>
  </si>
  <si>
    <t>A01099</t>
  </si>
  <si>
    <t>A01100</t>
  </si>
  <si>
    <t>A01101</t>
  </si>
  <si>
    <t>A01102</t>
  </si>
  <si>
    <t>A01103</t>
  </si>
  <si>
    <t>A01104</t>
  </si>
  <si>
    <t>A01105</t>
  </si>
  <si>
    <t>12-28-2025 15:30</t>
  </si>
  <si>
    <t>A01106</t>
  </si>
  <si>
    <t>P10415</t>
  </si>
  <si>
    <t>A01107</t>
  </si>
  <si>
    <t>A01108</t>
  </si>
  <si>
    <t>A01109</t>
  </si>
  <si>
    <t>A01110</t>
  </si>
  <si>
    <t>A01111</t>
  </si>
  <si>
    <t>P10119</t>
  </si>
  <si>
    <t>A01112</t>
  </si>
  <si>
    <t>A01113</t>
  </si>
  <si>
    <t>A01114</t>
  </si>
  <si>
    <t>A01115</t>
  </si>
  <si>
    <t>A01116</t>
  </si>
  <si>
    <t>P10427</t>
  </si>
  <si>
    <t>A01117</t>
  </si>
  <si>
    <t>A01118</t>
  </si>
  <si>
    <t>05-25-2025 17:15</t>
  </si>
  <si>
    <t>A01119</t>
  </si>
  <si>
    <t>A01120</t>
  </si>
  <si>
    <t>A01121</t>
  </si>
  <si>
    <t>P10311</t>
  </si>
  <si>
    <t>A01122</t>
  </si>
  <si>
    <t>A01123</t>
  </si>
  <si>
    <t>A01124</t>
  </si>
  <si>
    <t>A01125</t>
  </si>
  <si>
    <t>A01126</t>
  </si>
  <si>
    <t>P10244</t>
  </si>
  <si>
    <t>A01127</t>
  </si>
  <si>
    <t>P10216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</si>
  <si>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</si>
  <si>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</si>
  <si>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</si>
  <si>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</si>
  <si>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</si>
  <si>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</si>
  <si>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</si>
  <si>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</si>
  <si>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</si>
  <si>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</si>
  <si>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</si>
  <si>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</si>
  <si>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</si>
  <si>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03-27-2025 15:15</t>
  </si>
  <si>
    <t>A01141</t>
  </si>
  <si>
    <t>P10111</t>
  </si>
  <si>
    <t>A01142</t>
  </si>
  <si>
    <t>A01143</t>
  </si>
  <si>
    <t>02-15-2025 18:15</t>
  </si>
  <si>
    <t>A01144</t>
  </si>
  <si>
    <t>P10065</t>
  </si>
  <si>
    <t>A01145</t>
  </si>
  <si>
    <t>P10314</t>
  </si>
  <si>
    <t>A01146</t>
  </si>
  <si>
    <t>A01147</t>
  </si>
  <si>
    <t>P10436</t>
  </si>
  <si>
    <t>A01148</t>
  </si>
  <si>
    <t>A01149</t>
  </si>
  <si>
    <t>A01150</t>
  </si>
  <si>
    <t>A01151</t>
  </si>
  <si>
    <t>A01152</t>
  </si>
  <si>
    <t>A01153</t>
  </si>
  <si>
    <t>A01154</t>
  </si>
  <si>
    <t>10-24-2024 11:10</t>
  </si>
  <si>
    <t>A01155</t>
  </si>
  <si>
    <t>A01156</t>
  </si>
  <si>
    <t>A01157</t>
  </si>
  <si>
    <t>08-27-2024 10:40</t>
  </si>
  <si>
    <t>A01158</t>
  </si>
  <si>
    <t>A01159</t>
  </si>
  <si>
    <t>07-29-2025 09:30</t>
  </si>
  <si>
    <t>A01160</t>
  </si>
  <si>
    <t>A01161</t>
  </si>
  <si>
    <t>A01162</t>
  </si>
  <si>
    <t>06-20-2025 11:55</t>
  </si>
  <si>
    <t>A01163</t>
  </si>
  <si>
    <t>A01164</t>
  </si>
  <si>
    <t>P10063</t>
  </si>
  <si>
    <t>04-27-2025 18:40</t>
  </si>
  <si>
    <t>A01165</t>
  </si>
  <si>
    <t>A01166</t>
  </si>
  <si>
    <t>A01167</t>
  </si>
  <si>
    <t>A01168</t>
  </si>
  <si>
    <t>A01169</t>
  </si>
  <si>
    <t>A01170</t>
  </si>
  <si>
    <t>A01171</t>
  </si>
  <si>
    <t>P10409</t>
  </si>
  <si>
    <t>A01172</t>
  </si>
  <si>
    <t>A01173</t>
  </si>
  <si>
    <t>A01174</t>
  </si>
  <si>
    <t>A01175</t>
  </si>
  <si>
    <t>03-31-2024 15:30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</si>
  <si>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</si>
  <si>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</si>
  <si>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</si>
  <si>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</si>
  <si>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</si>
  <si>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</si>
  <si>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</si>
  <si>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</si>
  <si>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</si>
  <si>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</si>
  <si>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</si>
  <si>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</si>
  <si>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</si>
  <si>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</si>
  <si>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11-26-2024 18:15</t>
  </si>
  <si>
    <t>A01190</t>
  </si>
  <si>
    <t>A01191</t>
  </si>
  <si>
    <t>A01192</t>
  </si>
  <si>
    <t>P10243</t>
  </si>
  <si>
    <t>A01193</t>
  </si>
  <si>
    <t>A01194</t>
  </si>
  <si>
    <t>A01195</t>
  </si>
  <si>
    <t>A01196</t>
  </si>
  <si>
    <t>A01197</t>
  </si>
  <si>
    <t>A01198</t>
  </si>
  <si>
    <t>P10344</t>
  </si>
  <si>
    <t>A01199</t>
  </si>
  <si>
    <t>07-28-2025 16:00</t>
  </si>
  <si>
    <t>A01200</t>
  </si>
  <si>
    <t>A01201</t>
  </si>
  <si>
    <t>03-18-2025 15:35</t>
  </si>
  <si>
    <t>A01202</t>
  </si>
  <si>
    <t>02-18-2024 08:05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</si>
  <si>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</si>
  <si>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</si>
  <si>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</si>
  <si>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</si>
  <si>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</si>
  <si>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</si>
  <si>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</si>
  <si>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</si>
  <si>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</si>
  <si>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</si>
  <si>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P10266</t>
  </si>
  <si>
    <t>A01213</t>
  </si>
  <si>
    <t>P10154</t>
  </si>
  <si>
    <t>A01214</t>
  </si>
  <si>
    <t>A01215</t>
  </si>
  <si>
    <t>A01216</t>
  </si>
  <si>
    <t>02-15-2024 10:50</t>
  </si>
  <si>
    <t>A01217</t>
  </si>
  <si>
    <t>12-27-2025 14:50</t>
  </si>
  <si>
    <t>A01218</t>
  </si>
  <si>
    <t>A01219</t>
  </si>
  <si>
    <t>A01220</t>
  </si>
  <si>
    <t>09-16-2024 13:45</t>
  </si>
  <si>
    <t>A01221</t>
  </si>
  <si>
    <t>A01222</t>
  </si>
  <si>
    <t>A01223</t>
  </si>
  <si>
    <t>A01224</t>
  </si>
  <si>
    <t>A01225</t>
  </si>
  <si>
    <t>A01226</t>
  </si>
  <si>
    <t>09-21-2024 17:30</t>
  </si>
  <si>
    <t>A01227</t>
  </si>
  <si>
    <t>A01228</t>
  </si>
  <si>
    <t>A01229</t>
  </si>
  <si>
    <t>09-21-2024 18:15</t>
  </si>
  <si>
    <t>A01230</t>
  </si>
  <si>
    <t>A01231</t>
  </si>
  <si>
    <t>A01232</t>
  </si>
  <si>
    <t>A01233</t>
  </si>
  <si>
    <t>A01234</t>
  </si>
  <si>
    <t>P10141</t>
  </si>
  <si>
    <t>A01235</t>
  </si>
  <si>
    <t>A01236</t>
  </si>
  <si>
    <t>A01237</t>
  </si>
  <si>
    <t>A01238</t>
  </si>
  <si>
    <t>A01239</t>
  </si>
  <si>
    <t>04-15-2025 11:55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</si>
  <si>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</si>
  <si>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</si>
  <si>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</si>
  <si>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</si>
  <si>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</si>
  <si>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</si>
  <si>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</si>
  <si>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</si>
  <si>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</si>
  <si>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P10150</t>
  </si>
  <si>
    <t>A01249</t>
  </si>
  <si>
    <t>P10182</t>
  </si>
  <si>
    <t>A01250</t>
  </si>
  <si>
    <t>A01251</t>
  </si>
  <si>
    <t>A01252</t>
  </si>
  <si>
    <t>A01253</t>
  </si>
  <si>
    <t>A01254</t>
  </si>
  <si>
    <t>06-19-2025 08:30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</si>
  <si>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</si>
  <si>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</si>
  <si>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</si>
  <si>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</si>
  <si>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</si>
  <si>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</si>
  <si>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</si>
  <si>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</si>
  <si>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</si>
  <si>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</si>
  <si>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</si>
  <si>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</si>
  <si>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P10161</t>
  </si>
  <si>
    <t>A01267</t>
  </si>
  <si>
    <t>07-29-2025 17:05</t>
  </si>
  <si>
    <t>A01268</t>
  </si>
  <si>
    <t>A01269</t>
  </si>
  <si>
    <t>A01270</t>
  </si>
  <si>
    <t>08-27-2024 08:55</t>
  </si>
  <si>
    <t>A01271</t>
  </si>
  <si>
    <t>03-27-2025 11:40</t>
  </si>
  <si>
    <t>A01272</t>
  </si>
  <si>
    <t>P10417</t>
  </si>
  <si>
    <t>A01273</t>
  </si>
  <si>
    <t>12-31-2024 12:45</t>
  </si>
  <si>
    <t>A01274</t>
  </si>
  <si>
    <t>A01275</t>
  </si>
  <si>
    <t>A01276</t>
  </si>
  <si>
    <t>03-26-2025 07:30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</si>
  <si>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</si>
  <si>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</si>
  <si>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</si>
  <si>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</si>
  <si>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</si>
  <si>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</si>
  <si>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</si>
  <si>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</si>
  <si>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</si>
  <si>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</si>
  <si>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08-20-2024 18:35</t>
  </si>
  <si>
    <t>A01287</t>
  </si>
  <si>
    <t>A01288</t>
  </si>
  <si>
    <t>P10429</t>
  </si>
  <si>
    <t>A01289</t>
  </si>
  <si>
    <t>A01290</t>
  </si>
  <si>
    <t>A01291</t>
  </si>
  <si>
    <t>A01292</t>
  </si>
  <si>
    <t>P10346</t>
  </si>
  <si>
    <t>A01293</t>
  </si>
  <si>
    <t>A01294</t>
  </si>
  <si>
    <t>A01295</t>
  </si>
  <si>
    <t>A01296</t>
  </si>
  <si>
    <t>A01297</t>
  </si>
  <si>
    <t>P10374</t>
  </si>
  <si>
    <t>08-13-2024 12:55</t>
  </si>
  <si>
    <t>A01298</t>
  </si>
  <si>
    <t>08-29-2025 15:15</t>
  </si>
  <si>
    <t>A01299</t>
  </si>
  <si>
    <t>A01300</t>
  </si>
  <si>
    <t>A01301</t>
  </si>
  <si>
    <t>A01302</t>
  </si>
  <si>
    <t>10-31-2025 11:20</t>
  </si>
  <si>
    <t>A01303</t>
  </si>
  <si>
    <t>A01304</t>
  </si>
  <si>
    <t>P10269</t>
  </si>
  <si>
    <t>A01305</t>
  </si>
  <si>
    <t>A01306</t>
  </si>
  <si>
    <t>A01307</t>
  </si>
  <si>
    <t>08-22-2025 10:55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</si>
  <si>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</si>
  <si>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</si>
  <si>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</si>
  <si>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</si>
  <si>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</si>
  <si>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</si>
  <si>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</si>
  <si>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</si>
  <si>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</si>
  <si>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</si>
  <si>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P10263</t>
  </si>
  <si>
    <t>A01318</t>
  </si>
  <si>
    <t>09-25-2024 09:40</t>
  </si>
  <si>
    <t>A01319</t>
  </si>
  <si>
    <t>A01320</t>
  </si>
  <si>
    <t>P10017</t>
  </si>
  <si>
    <t>A01321</t>
  </si>
  <si>
    <t>A01322</t>
  </si>
  <si>
    <t>A01323</t>
  </si>
  <si>
    <t>A01324</t>
  </si>
  <si>
    <t>09-18-2025 07:40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</si>
  <si>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</si>
  <si>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</si>
  <si>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</si>
  <si>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</si>
  <si>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</si>
  <si>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</si>
  <si>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</si>
  <si>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</si>
  <si>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</si>
  <si>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</si>
  <si>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</si>
  <si>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</si>
  <si>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</si>
  <si>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</si>
  <si>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09-17-2024 12:15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</si>
  <si>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</si>
  <si>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</si>
  <si>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</si>
  <si>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</si>
  <si>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</si>
  <si>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</si>
  <si>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</si>
  <si>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</si>
  <si>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</si>
  <si>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</si>
  <si>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</si>
  <si>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</si>
  <si>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</si>
  <si>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</si>
  <si>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</si>
  <si>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</si>
  <si>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</si>
  <si>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</si>
  <si>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</si>
  <si>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</si>
  <si>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</si>
  <si>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</si>
  <si>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</si>
  <si>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11-23-2025 11:50</t>
  </si>
  <si>
    <t>A01362</t>
  </si>
  <si>
    <t>A01363</t>
  </si>
  <si>
    <t>A01365</t>
  </si>
  <si>
    <t>A01366</t>
  </si>
  <si>
    <t>A01367</t>
  </si>
  <si>
    <t>A01368</t>
  </si>
  <si>
    <t>02-19-2024 09:30</t>
  </si>
  <si>
    <t>A01369</t>
  </si>
  <si>
    <t>P10130</t>
  </si>
  <si>
    <t>A01370</t>
  </si>
  <si>
    <t>A01371</t>
  </si>
  <si>
    <t>A01372</t>
  </si>
  <si>
    <t>A01373</t>
  </si>
  <si>
    <t>A01374</t>
  </si>
  <si>
    <t>A01375</t>
  </si>
  <si>
    <t>08-23-2025 11:35</t>
  </si>
  <si>
    <t>A01376</t>
  </si>
  <si>
    <t>A01377</t>
  </si>
  <si>
    <t>A01378</t>
  </si>
  <si>
    <t>A01379</t>
  </si>
  <si>
    <t>A01380</t>
  </si>
  <si>
    <t>A01381</t>
  </si>
  <si>
    <t>01-16-2025 07:15</t>
  </si>
  <si>
    <t>A01383</t>
  </si>
  <si>
    <t>A01384</t>
  </si>
  <si>
    <t>A01385</t>
  </si>
  <si>
    <t>A01386</t>
  </si>
  <si>
    <t>A01387</t>
  </si>
  <si>
    <t>07-31-2024 18:10</t>
  </si>
  <si>
    <t>A01388</t>
  </si>
  <si>
    <t>A01389</t>
  </si>
  <si>
    <t>A01390</t>
  </si>
  <si>
    <t>09-27-2024 12:00</t>
  </si>
  <si>
    <t>A01391</t>
  </si>
  <si>
    <t>A01392</t>
  </si>
  <si>
    <t>A01393</t>
  </si>
  <si>
    <t>A01394</t>
  </si>
  <si>
    <t>A01395</t>
  </si>
  <si>
    <t>A01396</t>
  </si>
  <si>
    <t>P10251</t>
  </si>
  <si>
    <t>05-31-2024 16:15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</si>
  <si>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</si>
  <si>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</si>
  <si>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</si>
  <si>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</si>
  <si>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</si>
  <si>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</si>
  <si>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</si>
  <si>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</si>
  <si>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06-21-2025 17:30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</si>
  <si>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</si>
  <si>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</si>
  <si>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</si>
  <si>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</si>
  <si>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</si>
  <si>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</si>
  <si>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</si>
  <si>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</si>
  <si>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P10361</t>
  </si>
  <si>
    <t>06-29-2025 09:40</t>
  </si>
  <si>
    <t>A01413</t>
  </si>
  <si>
    <t>A01414</t>
  </si>
  <si>
    <t>A01415</t>
  </si>
  <si>
    <t>10-28-2024 11:45</t>
  </si>
  <si>
    <t>A01416</t>
  </si>
  <si>
    <t>A01417</t>
  </si>
  <si>
    <t>06-21-2025 10:30</t>
  </si>
  <si>
    <t>A01418</t>
  </si>
  <si>
    <t>A01419</t>
  </si>
  <si>
    <t>A01420</t>
  </si>
  <si>
    <t>A01421</t>
  </si>
  <si>
    <t>12-24-2024 12:55</t>
  </si>
  <si>
    <t>A01422</t>
  </si>
  <si>
    <t>A01423</t>
  </si>
  <si>
    <t>A01424</t>
  </si>
  <si>
    <t>A01425</t>
  </si>
  <si>
    <t>A01426</t>
  </si>
  <si>
    <t>A01427</t>
  </si>
  <si>
    <t>02-27-2025 07:45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</si>
  <si>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</si>
  <si>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</si>
  <si>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</si>
  <si>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</si>
  <si>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</si>
  <si>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</si>
  <si>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</si>
  <si>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</si>
  <si>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</si>
  <si>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</si>
  <si>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</si>
  <si>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</si>
  <si>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03-25-2024 13:35</t>
  </si>
  <si>
    <t>A01440</t>
  </si>
  <si>
    <t>A01441</t>
  </si>
  <si>
    <t>A01442</t>
  </si>
  <si>
    <t>A01443</t>
  </si>
  <si>
    <t>06-22-2025 18:10</t>
  </si>
  <si>
    <t>A01444</t>
  </si>
  <si>
    <t>A01445</t>
  </si>
  <si>
    <t>A01446</t>
  </si>
  <si>
    <t>A01447</t>
  </si>
  <si>
    <t>A01448</t>
  </si>
  <si>
    <t>A01449</t>
  </si>
  <si>
    <t>09-26-2024 16:55</t>
  </si>
  <si>
    <t>A01450</t>
  </si>
  <si>
    <t>02-20-2024 07:25</t>
  </si>
  <si>
    <t>A01451</t>
  </si>
  <si>
    <t>A01452</t>
  </si>
  <si>
    <t>A01453</t>
  </si>
  <si>
    <t>07-28-2024 09:00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</si>
  <si>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</si>
  <si>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</si>
  <si>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</si>
  <si>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</si>
  <si>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</si>
  <si>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</si>
  <si>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</si>
  <si>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</si>
  <si>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</si>
  <si>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</si>
  <si>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</si>
  <si>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</si>
  <si>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</si>
  <si>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</si>
  <si>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</si>
  <si>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08-23-2024 18:15</t>
  </si>
  <si>
    <t>A01469</t>
  </si>
  <si>
    <t>11-30-2025 11:30</t>
  </si>
  <si>
    <t>A01470</t>
  </si>
  <si>
    <t>A01471</t>
  </si>
  <si>
    <t>10-24-2025 09:05</t>
  </si>
  <si>
    <t>A01472</t>
  </si>
  <si>
    <t>A01473</t>
  </si>
  <si>
    <t>A01474</t>
  </si>
  <si>
    <t>A01475</t>
  </si>
  <si>
    <t>08-13-2024 13:00</t>
  </si>
  <si>
    <t>A01476</t>
  </si>
  <si>
    <t>A01477</t>
  </si>
  <si>
    <t>04-24-2024 16:10</t>
  </si>
  <si>
    <t>A01478</t>
  </si>
  <si>
    <t>06-21-2025 13:50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</si>
  <si>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</si>
  <si>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</si>
  <si>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</si>
  <si>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</si>
  <si>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</si>
  <si>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</si>
  <si>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</si>
  <si>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</si>
  <si>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</si>
  <si>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</si>
  <si>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</si>
  <si>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</si>
  <si>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</si>
  <si>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06-23-2024 16:00</t>
  </si>
  <si>
    <t>A01492</t>
  </si>
  <si>
    <t>A01493</t>
  </si>
  <si>
    <t>05-30-2025 15:40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</si>
  <si>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</si>
  <si>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</si>
  <si>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</si>
  <si>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</si>
  <si>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</si>
  <si>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</si>
  <si>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</si>
  <si>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</si>
  <si>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08-15-2025 12:05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</si>
  <si>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</si>
  <si>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</si>
  <si>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</si>
  <si>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</si>
  <si>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</si>
  <si>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</si>
  <si>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</si>
  <si>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</si>
  <si>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</si>
  <si>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</si>
  <si>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</si>
  <si>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</si>
  <si>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</si>
  <si>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</si>
  <si>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</si>
  <si>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</si>
  <si>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</si>
  <si>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</si>
  <si>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</si>
  <si>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</si>
  <si>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</si>
  <si>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</si>
  <si>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12-19-2025 14:35</t>
  </si>
  <si>
    <t>A01524</t>
  </si>
  <si>
    <t>A01525</t>
  </si>
  <si>
    <t>A01526</t>
  </si>
  <si>
    <t>A01527</t>
  </si>
  <si>
    <t>09-27-2024 16:30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</si>
  <si>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</si>
  <si>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</si>
  <si>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</si>
  <si>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</si>
  <si>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</si>
  <si>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</si>
  <si>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</si>
  <si>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</si>
  <si>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</si>
  <si>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P10173</t>
  </si>
  <si>
    <t>A01537</t>
  </si>
  <si>
    <t>A01538</t>
  </si>
  <si>
    <t>10-20-2024 08:30</t>
  </si>
  <si>
    <t>A01539</t>
  </si>
  <si>
    <t>A01540</t>
  </si>
  <si>
    <t>A01541</t>
  </si>
  <si>
    <t>A01542</t>
  </si>
  <si>
    <t>A01543</t>
  </si>
  <si>
    <t>10-14-2025 13:25</t>
  </si>
  <si>
    <t>A01544</t>
  </si>
  <si>
    <t>A01545</t>
  </si>
  <si>
    <t>A01546</t>
  </si>
  <si>
    <t>05-27-2025 14:10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</si>
  <si>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</si>
  <si>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</si>
  <si>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</si>
  <si>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</si>
  <si>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</si>
  <si>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</si>
  <si>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</si>
  <si>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</si>
  <si>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</si>
  <si>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</si>
  <si>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</si>
  <si>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</si>
  <si>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</si>
  <si>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</si>
  <si>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</si>
  <si>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</si>
  <si>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</si>
  <si>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</si>
  <si>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</si>
  <si>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</si>
  <si>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</si>
  <si>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</si>
  <si>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</si>
  <si>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</si>
  <si>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</si>
  <si>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</si>
  <si>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</si>
  <si>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04-23-2025 09:15</t>
  </si>
  <si>
    <t>A01574</t>
  </si>
  <si>
    <t>06-18-2025 14:45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</si>
  <si>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</si>
  <si>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</si>
  <si>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</si>
  <si>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</si>
  <si>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</si>
  <si>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</si>
  <si>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</si>
  <si>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</si>
  <si>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</si>
  <si>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</si>
  <si>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</si>
  <si>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</si>
  <si>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</si>
  <si>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</si>
  <si>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</si>
  <si>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</si>
  <si>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</si>
  <si>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</si>
  <si>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</si>
  <si>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</si>
  <si>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03-20-2024 08:35</t>
  </si>
  <si>
    <t>A01595</t>
  </si>
  <si>
    <t>02-21-2025 11:35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</si>
  <si>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</si>
  <si>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</si>
  <si>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</si>
  <si>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</si>
  <si>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</si>
  <si>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</si>
  <si>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</si>
  <si>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</si>
  <si>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</si>
  <si>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</si>
  <si>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02-19-2025 12:15</t>
  </si>
  <si>
    <t>A01606</t>
  </si>
  <si>
    <t>A01607</t>
  </si>
  <si>
    <t>A01608</t>
  </si>
  <si>
    <t>02-28-2025 16:55</t>
  </si>
  <si>
    <t>A01609</t>
  </si>
  <si>
    <t>A01610</t>
  </si>
  <si>
    <t>A01611</t>
  </si>
  <si>
    <t>A01612</t>
  </si>
  <si>
    <t>A01613</t>
  </si>
  <si>
    <t>P10186</t>
  </si>
  <si>
    <t>A01614</t>
  </si>
  <si>
    <t>A01615</t>
  </si>
  <si>
    <t>A01616</t>
  </si>
  <si>
    <t>A01617</t>
  </si>
  <si>
    <t>A01618</t>
  </si>
  <si>
    <t>P10380</t>
  </si>
  <si>
    <t>08-21-2024 13:35</t>
  </si>
  <si>
    <t>A01619</t>
  </si>
  <si>
    <t>A01620</t>
  </si>
  <si>
    <t>A01621</t>
  </si>
  <si>
    <t>A01622</t>
  </si>
  <si>
    <t>P10303</t>
  </si>
  <si>
    <t>A01623</t>
  </si>
  <si>
    <t>03-28-2024 16:30</t>
  </si>
  <si>
    <t>A01624</t>
  </si>
  <si>
    <t>A01625</t>
  </si>
  <si>
    <t>12-27-2024 14:35</t>
  </si>
  <si>
    <t>A01626</t>
  </si>
  <si>
    <t>A01627</t>
  </si>
  <si>
    <t>A01628</t>
  </si>
  <si>
    <t>A01629</t>
  </si>
  <si>
    <t>A01630</t>
  </si>
  <si>
    <t>A01631</t>
  </si>
  <si>
    <t>03-27-2024 13:25</t>
  </si>
  <si>
    <t>A01632</t>
  </si>
  <si>
    <t>A01633</t>
  </si>
  <si>
    <t>P10413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</si>
  <si>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</si>
  <si>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</si>
  <si>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</si>
  <si>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</si>
  <si>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</si>
  <si>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</si>
  <si>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</si>
  <si>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</si>
  <si>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</si>
  <si>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</si>
  <si>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</si>
  <si>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03-30-2025 12:35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</si>
  <si>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</si>
  <si>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</si>
  <si>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</si>
  <si>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</si>
  <si>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</si>
  <si>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</si>
  <si>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</si>
  <si>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</si>
  <si>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</si>
  <si>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</si>
  <si>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</si>
  <si>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</si>
  <si>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</si>
  <si>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</si>
  <si>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</si>
  <si>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</si>
  <si>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03-20-2025 14:05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</si>
  <si>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</si>
  <si>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</si>
  <si>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</si>
  <si>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</si>
  <si>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</si>
  <si>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</si>
  <si>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</si>
  <si>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</si>
  <si>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</si>
  <si>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09-19-2025 10:00</t>
  </si>
  <si>
    <t>A01670</t>
  </si>
  <si>
    <t>09-17-2024 16:45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</si>
  <si>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</si>
  <si>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</si>
  <si>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</si>
  <si>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</si>
  <si>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</si>
  <si>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</si>
  <si>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</si>
  <si>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</si>
  <si>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</si>
  <si>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02-22-2025 17:30</t>
  </si>
  <si>
    <t>A01680</t>
  </si>
  <si>
    <t>A01681</t>
  </si>
  <si>
    <t>A01682</t>
  </si>
  <si>
    <t>A01683</t>
  </si>
  <si>
    <t>A01684</t>
  </si>
  <si>
    <t>03-30-2025 15:50</t>
  </si>
  <si>
    <t>A01685</t>
  </si>
  <si>
    <t>A01686</t>
  </si>
  <si>
    <t>A01687</t>
  </si>
  <si>
    <t>A01688</t>
  </si>
  <si>
    <t>08-19-2025 18:35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</si>
  <si>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</si>
  <si>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</si>
  <si>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</si>
  <si>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</si>
  <si>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</si>
  <si>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</si>
  <si>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</si>
  <si>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</si>
  <si>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</si>
  <si>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01-19-2024 09:55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</si>
  <si>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</si>
  <si>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</si>
  <si>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</si>
  <si>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</si>
  <si>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</si>
  <si>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</si>
  <si>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</si>
  <si>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</si>
  <si>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</si>
  <si>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</si>
  <si>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</si>
  <si>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</si>
  <si>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</si>
  <si>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</si>
  <si>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</si>
  <si>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</si>
  <si>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02-25-2024 12:50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</si>
  <si>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</si>
  <si>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</si>
  <si>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</si>
  <si>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</si>
  <si>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</si>
  <si>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</si>
  <si>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</si>
  <si>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</si>
  <si>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</si>
  <si>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</si>
  <si>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04-27-2024 16:40</t>
  </si>
  <si>
    <t>A01724</t>
  </si>
  <si>
    <t>A01725</t>
  </si>
  <si>
    <t>A01726</t>
  </si>
  <si>
    <t>A01727</t>
  </si>
  <si>
    <t>A01728</t>
  </si>
  <si>
    <t>A01729</t>
  </si>
  <si>
    <t>A01730</t>
  </si>
  <si>
    <t>12-19-2024 11:30</t>
  </si>
  <si>
    <t>A01731</t>
  </si>
  <si>
    <t>07-20-2025 14:50</t>
  </si>
  <si>
    <t>A01732</t>
  </si>
  <si>
    <t>A01733</t>
  </si>
  <si>
    <t>A01734</t>
  </si>
  <si>
    <t>A01735</t>
  </si>
  <si>
    <t>A01736</t>
  </si>
  <si>
    <t>P10147</t>
  </si>
  <si>
    <t>A01737</t>
  </si>
  <si>
    <t>A01738</t>
  </si>
  <si>
    <t>A01739</t>
  </si>
  <si>
    <t>A01740</t>
  </si>
  <si>
    <t>A01741</t>
  </si>
  <si>
    <t>A01742</t>
  </si>
  <si>
    <t>A01743</t>
  </si>
  <si>
    <t>04-22-2025 10:50</t>
  </si>
  <si>
    <t>A01744</t>
  </si>
  <si>
    <t>A01745</t>
  </si>
  <si>
    <t>A01746</t>
  </si>
  <si>
    <t>12-26-2024 10:20</t>
  </si>
  <si>
    <t>A01747</t>
  </si>
  <si>
    <t>A01748</t>
  </si>
  <si>
    <t>A01749</t>
  </si>
  <si>
    <t>01-29-2025 15:35</t>
  </si>
  <si>
    <t>A01750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</si>
  <si>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</si>
  <si>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</si>
  <si>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</si>
  <si>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</si>
  <si>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</si>
  <si>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</si>
  <si>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</si>
  <si>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</si>
  <si>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A01761</t>
  </si>
  <si>
    <t>08-20-2024 10:05</t>
  </si>
  <si>
    <t>A01762</t>
  </si>
  <si>
    <t>03-16-2024 16:55</t>
  </si>
  <si>
    <t>A01763</t>
  </si>
  <si>
    <t>A01764</t>
  </si>
  <si>
    <t>A01765</t>
  </si>
  <si>
    <t>06-15-2024 18:20</t>
  </si>
  <si>
    <t>A01766</t>
  </si>
  <si>
    <t>A01767</t>
  </si>
  <si>
    <t>A01768</t>
  </si>
  <si>
    <t>A01769</t>
  </si>
  <si>
    <t>A01770</t>
  </si>
  <si>
    <t>A01771</t>
  </si>
  <si>
    <t>A01772</t>
  </si>
  <si>
    <t>P10121</t>
  </si>
  <si>
    <t>A01773</t>
  </si>
  <si>
    <t>03-19-2024 17:55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</si>
  <si>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</si>
  <si>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</si>
  <si>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</si>
  <si>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</si>
  <si>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</si>
  <si>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</si>
  <si>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</si>
  <si>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</si>
  <si>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11-25-2024 18:35</t>
  </si>
  <si>
    <t>A01782</t>
  </si>
  <si>
    <t>A01783</t>
  </si>
  <si>
    <t>A01784</t>
  </si>
  <si>
    <t>A01785</t>
  </si>
  <si>
    <t>06-18-2024 12:40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</si>
  <si>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</si>
  <si>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</si>
  <si>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</si>
  <si>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</si>
  <si>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</si>
  <si>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</si>
  <si>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</si>
  <si>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</si>
  <si>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05-25-2024 11:30</t>
  </si>
  <si>
    <t>A01794</t>
  </si>
  <si>
    <t>07-24-2025 17:05</t>
  </si>
  <si>
    <t>A01795</t>
  </si>
  <si>
    <t>A01796</t>
  </si>
  <si>
    <t>A01797</t>
  </si>
  <si>
    <t>A01798</t>
  </si>
  <si>
    <t>A01799</t>
  </si>
  <si>
    <t>A01800</t>
  </si>
  <si>
    <t>A00613</t>
  </si>
  <si>
    <t>Issue ID</t>
  </si>
  <si>
    <t>Column</t>
  </si>
  <si>
    <t>Issue Type</t>
  </si>
  <si>
    <t>Number of Records</t>
  </si>
  <si>
    <t>Severity</t>
  </si>
  <si>
    <t>Proposed Action</t>
  </si>
  <si>
    <t>Validation Result</t>
  </si>
  <si>
    <t>Missing record</t>
  </si>
  <si>
    <t>Column1</t>
  </si>
  <si>
    <t>Hospital</t>
  </si>
  <si>
    <t>Age</t>
  </si>
  <si>
    <t>Gender</t>
  </si>
  <si>
    <t>Discharge_Time</t>
  </si>
  <si>
    <t>Status</t>
  </si>
  <si>
    <t>Referral</t>
  </si>
  <si>
    <t>Postcode</t>
  </si>
  <si>
    <t>Arrival</t>
  </si>
  <si>
    <t>Cost</t>
  </si>
  <si>
    <t>Follow_up</t>
  </si>
  <si>
    <t>Satisfaction</t>
  </si>
  <si>
    <t>Percentage</t>
  </si>
  <si>
    <t>ID_Count</t>
  </si>
  <si>
    <t>Appoinment_id</t>
  </si>
  <si>
    <t>Repeated</t>
  </si>
  <si>
    <t>DQ01</t>
  </si>
  <si>
    <t>High</t>
  </si>
  <si>
    <t>Medium</t>
  </si>
  <si>
    <t>Investigate before removing</t>
  </si>
  <si>
    <t>All Columns</t>
  </si>
  <si>
    <t>DQ02</t>
  </si>
  <si>
    <t>Duplicates with conflicting records</t>
  </si>
  <si>
    <t xml:space="preserve">investigate whether records are duplicates or separate </t>
  </si>
  <si>
    <t>Repeated ID's identified; differences between records confirmed</t>
  </si>
  <si>
    <t>Same_Patient?</t>
  </si>
  <si>
    <t>Same_Appointment_Details?</t>
  </si>
  <si>
    <t>Recommended_Action</t>
  </si>
  <si>
    <t>YES</t>
  </si>
  <si>
    <t>Remove</t>
  </si>
  <si>
    <t>NO</t>
  </si>
  <si>
    <t>Keep</t>
  </si>
  <si>
    <t>Age_Check</t>
  </si>
  <si>
    <t>DQ03</t>
  </si>
  <si>
    <t>Invalid or missing</t>
  </si>
  <si>
    <t>Investigate</t>
  </si>
  <si>
    <t>604 invalid; 609 missing or unknown</t>
  </si>
  <si>
    <t>Age_cleaned</t>
  </si>
  <si>
    <t>DQ04</t>
  </si>
  <si>
    <t>Wait_Time</t>
  </si>
  <si>
    <t xml:space="preserve">Invalid </t>
  </si>
  <si>
    <t>Wait_time_check</t>
  </si>
  <si>
    <t>DQ05</t>
  </si>
  <si>
    <t>Consultation</t>
  </si>
  <si>
    <t>Invalid</t>
  </si>
  <si>
    <t>3 negative , 4 unknown</t>
  </si>
  <si>
    <t>7 negative and 9 NA</t>
  </si>
  <si>
    <t>DQ06</t>
  </si>
  <si>
    <t>Appoinment_time</t>
  </si>
  <si>
    <t xml:space="preserve">Investigate </t>
  </si>
  <si>
    <t>2 not recorded , 21 missing</t>
  </si>
  <si>
    <t>DQ07</t>
  </si>
  <si>
    <t>Arrival_time</t>
  </si>
  <si>
    <t>Missing</t>
  </si>
  <si>
    <t>111 missing values</t>
  </si>
  <si>
    <t>DQ08</t>
  </si>
  <si>
    <t>Discharge_time</t>
  </si>
  <si>
    <t>216 missing values</t>
  </si>
  <si>
    <t>DQ09</t>
  </si>
  <si>
    <t>Comparison</t>
  </si>
  <si>
    <t>Arrival after appoinment time</t>
  </si>
  <si>
    <t>81 arrival after time and also 131 missing</t>
  </si>
  <si>
    <t>DQ10</t>
  </si>
  <si>
    <t>Discharge before arrival</t>
  </si>
  <si>
    <t>D_Compare</t>
  </si>
  <si>
    <t>low</t>
  </si>
  <si>
    <t>No correction needed</t>
  </si>
  <si>
    <t>Passed</t>
  </si>
  <si>
    <t>DQ11</t>
  </si>
  <si>
    <t>Patient_Satisfaction</t>
  </si>
  <si>
    <t>277 NA , 312 missing and 311 "0"</t>
  </si>
  <si>
    <t>D</t>
  </si>
  <si>
    <t>Cleaning Log</t>
  </si>
  <si>
    <t>Removed negative values</t>
  </si>
  <si>
    <t>Removed not recorded</t>
  </si>
  <si>
    <t xml:space="preserve">Replaced NA as blank </t>
  </si>
  <si>
    <t>DQ12</t>
  </si>
  <si>
    <t>Duplicates</t>
  </si>
  <si>
    <t>Remove duplicates</t>
  </si>
  <si>
    <t>Remove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</si>
</sst>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22" fontId="0" fillId="0" borderId="0" xfId="0" applyNumberFormat="1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3" fillId="33" borderId="12" xfId="0" applyFont="1" applyFill="1" applyBorder="1"/>
    <xf numFmtId="0" fontId="0" fillId="34" borderId="12" xfId="0" applyFill="1" applyBorder="1"/>
    <xf numFmtId="0" fontId="0" fillId="0" borderId="12" xfId="0" applyBorder="1"/>
    <xf numFmtId="2" fontId="13" fillId="33" borderId="10" xfId="0" applyNumberFormat="1" applyFont="1" applyFill="1" applyBorder="1"/>
    <xf numFmtId="2" fontId="13" fillId="33" borderId="11" xfId="0" applyNumberFormat="1" applyFont="1" applyFill="1" applyBorder="1"/>
    <xf numFmtId="49" fontId="13" fillId="33" borderId="11" xfId="0" applyNumberFormat="1" applyFont="1" applyFill="1" applyBorder="1"/>
    <xf numFmtId="14" fontId="13" fillId="33" borderId="11" xfId="0" applyNumberFormat="1" applyFont="1" applyFill="1" applyBorder="1"/>
    <xf numFmtId="1" fontId="13" fillId="33" borderId="11" xfId="0" applyNumberFormat="1" applyFont="1" applyFill="1" applyBorder="1"/>
    <xf numFmtId="0" fontId="13" fillId="33" borderId="11" xfId="0" applyFont="1" applyFill="1" applyBorder="1"/>
    <xf numFmtId="2" fontId="0" fillId="34" borderId="10" xfId="0" applyNumberFormat="1" applyFill="1" applyBorder="1"/>
    <xf numFmtId="2" fontId="0" fillId="34" borderId="11" xfId="0" applyNumberFormat="1" applyFill="1" applyBorder="1"/>
    <xf numFmtId="49" fontId="0" fillId="34" borderId="11" xfId="0" applyNumberFormat="1" applyFill="1" applyBorder="1"/>
    <xf numFmtId="14" fontId="0" fillId="34" borderId="11" xfId="0" applyNumberFormat="1" applyFill="1" applyBorder="1"/>
    <xf numFmtId="1" fontId="0" fillId="34" borderId="11" xfId="0" applyNumberFormat="1" applyFill="1" applyBorder="1"/>
    <xf numFmtId="0" fontId="0" fillId="34" borderId="11" xfId="0" applyFill="1" applyBorder="1"/>
    <xf numFmtId="2" fontId="0" fillId="0" borderId="10" xfId="0" applyNumberFormat="1" applyBorder="1"/>
    <xf numFmtId="2" fontId="0" fillId="0" borderId="11" xfId="0" applyNumberFormat="1" applyBorder="1"/>
    <xf numFmtId="49" fontId="0" fillId="0" borderId="11" xfId="0" applyNumberFormat="1" applyBorder="1"/>
    <xf numFmtId="14" fontId="0" fillId="0" borderId="11" xfId="0" applyNumberFormat="1" applyBorder="1"/>
    <xf numFmtId="1" fontId="0" fillId="0" borderId="11" xfId="0" applyNumberForma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2" formatCode="0.00"/>
    </dxf>
    <dxf>
      <numFmt numFmtId="30" formatCode="@"/>
    </dxf>
    <dxf>
      <numFmt numFmtId="1" formatCode="0"/>
    </dxf>
    <dxf>
      <numFmt numFmtId="0" formatCode="General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D1BD2E-E573-474E-A285-D0BE7AFAAD10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patient_id" tableColumnId="2"/>
      <queryTableField id="3" name="hospital" tableColumnId="3"/>
      <queryTableField id="4" name="department" tableColumnId="4"/>
      <queryTableField id="5" name="appointment_datetime" tableColumnId="5"/>
      <queryTableField id="6" name="arrival_datetime" tableColumnId="6"/>
      <queryTableField id="7" name="discharge_datetime" tableColumnId="7"/>
      <queryTableField id="8" name="age" tableColumnId="8"/>
      <queryTableField id="9" name="gender" tableColumnId="9"/>
      <queryTableField id="10" name="appointment_status" tableColumnId="10"/>
      <queryTableField id="11" name="waiting_time_minutes" tableColumnId="11"/>
      <queryTableField id="12" name="consultation_duration_minutes" tableColumnId="12"/>
      <queryTableField id="13" name="referral_source" tableColumnId="13"/>
      <queryTableField id="14" name="postcode_area" tableColumnId="14"/>
      <queryTableField id="15" name="patient_satisfaction" tableColumnId="15"/>
      <queryTableField id="16" name="follow_up_required" tableColumnId="16"/>
      <queryTableField id="17" name="cost_gbp" tableColumnId="17"/>
      <queryTableField id="18" name="data_source" tableColumnId="18"/>
      <queryTableField id="19" name="ID_Coun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CFF0AE-45C5-499A-8983-A630A295692A}" name="Raw_Data_" displayName="Raw_Data_" ref="A1:S79" tableType="queryTable" totalsRowShown="0">
  <autoFilter ref="A1:S79" xr:uid="{9ACFF0AE-45C5-499A-8983-A630A295692A}"/>
  <sortState xmlns:xlrd2="http://schemas.microsoft.com/office/spreadsheetml/2017/richdata2" ref="A2:S79">
    <sortCondition ref="A1:A79"/>
  </sortState>
  <tableColumns count="19">
    <tableColumn id="1" xr3:uid="{45B3E223-5B88-4177-897F-AF93B0C7D39E}" uniqueName="1" name="Column1" queryTableFieldId="1" dataDxfId="12"/>
    <tableColumn id="2" xr3:uid="{06752954-D89A-4D2C-82D4-034178BAFB50}" uniqueName="2" name="patient_id" queryTableFieldId="2" dataDxfId="11"/>
    <tableColumn id="3" xr3:uid="{515DC4AA-5949-48B8-A185-D25958AB3211}" uniqueName="3" name="hospital" queryTableFieldId="3" dataDxfId="10"/>
    <tableColumn id="4" xr3:uid="{7BC1A06C-0035-45AE-802F-855F1DA8F75C}" uniqueName="4" name="department" queryTableFieldId="4" dataDxfId="9"/>
    <tableColumn id="5" xr3:uid="{AB14C0CC-3B86-43C5-923A-2C0A639F3BB7}" uniqueName="5" name="appointment_datetime" queryTableFieldId="5"/>
    <tableColumn id="6" xr3:uid="{90B54FB6-CA3F-4A6E-BE0A-07D544C67264}" uniqueName="6" name="arrival_datetime" queryTableFieldId="6" dataDxfId="8"/>
    <tableColumn id="7" xr3:uid="{453647C9-AAFC-4A6A-999B-BB307F1E03F0}" uniqueName="7" name="discharge_datetime" queryTableFieldId="7" dataDxfId="7"/>
    <tableColumn id="8" xr3:uid="{99F3BB44-7114-42F9-8C24-A2B89B0B1A54}" uniqueName="8" name="age" queryTableFieldId="8"/>
    <tableColumn id="9" xr3:uid="{C79F2872-9160-4720-AE1A-C6D2F1F39F36}" uniqueName="9" name="gender" queryTableFieldId="9" dataDxfId="6"/>
    <tableColumn id="10" xr3:uid="{7C30C59C-1850-4426-AA13-E64AB8815762}" uniqueName="10" name="appointment_status" queryTableFieldId="10" dataDxfId="5"/>
    <tableColumn id="11" xr3:uid="{6D171086-EFE5-4BCE-992D-062E8D4AB5F1}" uniqueName="11" name="waiting_time_minutes" queryTableFieldId="11"/>
    <tableColumn id="12" xr3:uid="{A5EA40C2-D4A8-421B-9407-E174EE5CAD64}" uniqueName="12" name="consultation_duration_minutes" queryTableFieldId="12"/>
    <tableColumn id="13" xr3:uid="{2B50BC75-DE08-4067-9C91-34951551FE1F}" uniqueName="13" name="referral_source" queryTableFieldId="13" dataDxfId="4"/>
    <tableColumn id="14" xr3:uid="{B9E6147A-791B-4DF8-81F2-E4470D4B2FA2}" uniqueName="14" name="postcode_area" queryTableFieldId="14" dataDxfId="3"/>
    <tableColumn id="15" xr3:uid="{6FEBFB7F-58D3-40CB-ABA9-9F736C37202B}" uniqueName="15" name="patient_satisfaction" queryTableFieldId="15"/>
    <tableColumn id="16" xr3:uid="{C8AEF625-35CD-4ECE-90F2-601C041CD13E}" uniqueName="16" name="follow_up_required" queryTableFieldId="16" dataDxfId="2"/>
    <tableColumn id="17" xr3:uid="{36869D07-59B8-4700-9489-D5EF3BE8306C}" uniqueName="17" name="cost_gbp" queryTableFieldId="17"/>
    <tableColumn id="18" xr3:uid="{2AC3A254-97D6-42A7-B7A0-9D36A38C2B51}" uniqueName="18" name="data_source" queryTableFieldId="18" dataDxfId="1"/>
    <tableColumn id="19" xr3:uid="{9C559AB7-6F1C-4BBA-9192-E15CB05B6235}" uniqueName="19" name="ID_Count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067FA-25A4-46AA-AB72-38C4FFE03EDC}" name="Raw_Data" displayName="Raw_Data" ref="A1:X1802" totalsRowShown="0">
  <tableColumns count="24">
    <tableColumn id="1" xr3:uid="{C32A26E0-829C-4271-A9E6-01493E4C3C8C}" name="Appoinment_id" dataDxfId="30"/>
    <tableColumn id="2" xr3:uid="{DBBF896B-9A7D-4AEE-9F72-BDA15752508F}" name="patient_id" dataDxfId="29"/>
    <tableColumn id="3" xr3:uid="{57EC9F26-80AA-47A5-967C-92A1713231CF}" name="Hospital" dataDxfId="28"/>
    <tableColumn id="4" xr3:uid="{24FDBDE1-3668-4188-8F8E-6BC0D7F11E37}" name="department" dataDxfId="27"/>
    <tableColumn id="5" xr3:uid="{6C807669-5A9B-499E-859E-9F414373787F}" name="appointment_datetime" dataDxfId="26"/>
    <tableColumn id="6" xr3:uid="{AB924E2A-DD44-40A7-A88D-54E9FD999D18}" name="arrival_datetime" dataDxfId="25"/>
    <tableColumn id="7" xr3:uid="{3F7996CA-71EA-40DF-9A23-9CEC0F57C066}" name="discharge_datetime" dataDxfId="24"/>
    <tableColumn id="8" xr3:uid="{8AA1F221-3158-4F09-81B2-354647D14192}" name="Age" dataDxfId="23"/>
    <tableColumn id="9" xr3:uid="{920BD45D-02F3-41A8-AB9C-F713D8F44583}" name="gender" dataDxfId="22"/>
    <tableColumn id="10" xr3:uid="{EDEC7B02-80AD-4562-816E-70A62993DAB4}" name="appointment_status" dataDxfId="21"/>
    <tableColumn id="11" xr3:uid="{2D317239-9D15-4EC0-814C-4BF88B15F6DB}" name="waiting_time_minutes" dataDxfId="20"/>
    <tableColumn id="12" xr3:uid="{128484F8-07C2-4631-9BF4-D49421BFEEF3}" name="consultation_duration_minutes" dataDxfId="19"/>
    <tableColumn id="13" xr3:uid="{1E4EE0E9-3002-4DF3-8AB6-BE97BDEDF48D}" name="referral_source" dataDxfId="18"/>
    <tableColumn id="14" xr3:uid="{94151420-8EF3-47BF-8BD0-3153503D1EF9}" name="postcode_area" dataDxfId="17"/>
    <tableColumn id="15" xr3:uid="{8D3656B8-26CD-42BF-A8A2-DE6981344B3F}" name="patient_satisfaction" dataDxfId="16"/>
    <tableColumn id="16" xr3:uid="{A8E98C73-D9A0-42DA-9124-4CD69597546C}" name="follow_up_required" dataDxfId="15"/>
    <tableColumn id="17" xr3:uid="{CAB3A531-7E37-4623-A481-3B35F9537CEA}" name="cost_gbp" dataDxfId="14"/>
    <tableColumn id="18" xr3:uid="{D8A58EDF-42F3-44AF-9A38-3A04D0194D65}" name="data_source" dataDxfId="13"/>
    <tableColumn id="19" xr3:uid="{7223D1D3-22F0-499A-8EA4-DEEDFADBEE51}" name="ID_Count"/>
    <tableColumn id="20" xr3:uid="{5D256641-0DD7-42EF-9A85-3FE78222AD7C}" name="Age_Check">
      <calculatedColumnFormula>IF(OR(H2="",LOWER(TRIM(H2&amp;""))="missing",LOWER(TRIM(H2&amp;""))="unknown"),"Missing/Unknown",IFERROR(IF(OR(VALUE(H2)&lt;0,VALUE(H2)&gt;110),"Invalid","Valid"),"Check Format"))</calculatedColumnFormula>
    </tableColumn>
    <tableColumn id="21" xr3:uid="{BEA9D4BE-BD67-4BB6-B884-786F523C8215}" name="Age_cleaned">
      <calculatedColumnFormula>IF(Raw_Data[[#This Row],[Age_Check]]="Valid",H2,"")</calculatedColumnFormula>
    </tableColumn>
    <tableColumn id="22" xr3:uid="{6049F661-3102-4B2D-91AA-B05D7FDFAAAC}" name="Wait_time_check">
      <calculatedColumnFormula>IF(OR(K2="",UPPER(TRIM(K2&amp;""))="NA",LOWER(TRIM(K2&amp;""))="N/A",LOWER(TRIM(K2&amp;""))="unknown",LOWER(TRIM(K2&amp;""))="missing"),"Missing/Unknown",IFERROR(IF(VALUE(K2)&lt;0,"Invalid","Valid"),"Check Format"))</calculatedColumnFormula>
    </tableColumn>
    <tableColumn id="26" xr3:uid="{0376D2E6-2A42-4D5A-A7CA-2D3AC7C335B5}" name="Comparison">
      <calculatedColumnFormula>IF(OR(E2="",F2=""),"Missing Date/Time",IFERROR(IF(F2&gt;E2,"Arrival After Appointment","OK"),"Check Format"))</calculatedColumnFormula>
    </tableColumn>
    <tableColumn id="27" xr3:uid="{C9EF56F3-08F7-4B92-B31E-7A2C24AB110B}" name="D_Compare">
      <calculatedColumnFormula>IF(OR(F2="",G2=""),"Missing Date/Time",IFERROR(IF(G2&lt;F2,"Discharge Before Arrival","OK"),"Check Format"))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369108-D539-4C68-8FB7-5B2A506E465C}" name="Table1" displayName="Table1" ref="A1:H13" totalsRowShown="0">
  <autoFilter ref="A1:H13" xr:uid="{EF369108-D539-4C68-8FB7-5B2A506E465C}"/>
  <tableColumns count="8">
    <tableColumn id="1" xr3:uid="{E0AC4491-4E19-4093-AA20-4EC3B75C3DC2}" name="Issue ID"/>
    <tableColumn id="2" xr3:uid="{3CE2A2A1-8C3E-4FFF-956E-E9280B74F7CE}" name="Column"/>
    <tableColumn id="3" xr3:uid="{C904AA5D-8249-4653-868A-5BF8EB853793}" name="Issue Type"/>
    <tableColumn id="4" xr3:uid="{2C3876BA-BF0C-44FC-B514-8C66985D59D0}" name="Number of Records"/>
    <tableColumn id="5" xr3:uid="{651B0E0D-A689-4A3F-9442-56D69E0EF5D1}" name="Severity"/>
    <tableColumn id="6" xr3:uid="{A5FA7DBF-1FCF-44EE-8071-D13812C3F9E5}" name="Proposed Action"/>
    <tableColumn id="7" xr3:uid="{8F04B8B9-7A5C-4544-9028-9DFA3BB6D8E7}" name="Validation Result"/>
    <tableColumn id="8" xr3:uid="{55334DE6-7322-43D0-BC94-C48AC4D148FC}" name="Cleaning Lo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DE8D21-6A01-47C5-9629-23611E7AC45C}" name="Table2" displayName="Table2" ref="I17:K28" totalsRowShown="0">
  <autoFilter ref="I17:K28" xr:uid="{83DE8D21-6A01-47C5-9629-23611E7AC45C}"/>
  <tableColumns count="3">
    <tableColumn id="1" xr3:uid="{9F5A8FB1-0B70-460B-B6C8-8198DE6E4D45}" name="Column"/>
    <tableColumn id="2" xr3:uid="{E5B94904-559F-4A75-9936-01EEAB79EF94}" name="Missing record"/>
    <tableColumn id="3" xr3:uid="{063DD42B-F0D5-44CA-B59E-A18AB828E169}" name="Percentage" dataDxfId="0">
      <calculatedColumnFormula>(J18/1823)*100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86E7-5E6C-44E8-85D1-D5137C98F161}">
  <dimension ref="A1:S79"/>
  <sheetViews>
    <sheetView topLeftCell="D1" workbookViewId="0"/>
  </sheetViews>
  <sheetFormatPr defaultRowHeight="15" x14ac:dyDescent="0.25"/>
  <cols>
    <col min="1" max="1" width="11.42578125" bestFit="1" customWidth="1"/>
    <col min="2" max="2" width="12.28515625" bestFit="1" customWidth="1"/>
    <col min="3" max="3" width="21.42578125" bestFit="1" customWidth="1"/>
    <col min="4" max="4" width="20.42578125" bestFit="1" customWidth="1"/>
    <col min="5" max="5" width="24.28515625" bestFit="1" customWidth="1"/>
    <col min="6" max="6" width="18" bestFit="1" customWidth="1"/>
    <col min="7" max="7" width="21.28515625" bestFit="1" customWidth="1"/>
    <col min="9" max="9" width="15.140625" bestFit="1" customWidth="1"/>
    <col min="10" max="10" width="21.5703125" bestFit="1" customWidth="1"/>
    <col min="11" max="11" width="23.28515625" bestFit="1" customWidth="1"/>
    <col min="12" max="12" width="32" bestFit="1" customWidth="1"/>
    <col min="13" max="13" width="17.140625" bestFit="1" customWidth="1"/>
    <col min="14" max="14" width="16.5703125" bestFit="1" customWidth="1"/>
    <col min="15" max="15" width="21.42578125" bestFit="1" customWidth="1"/>
    <col min="16" max="16" width="20.85546875" bestFit="1" customWidth="1"/>
    <col min="17" max="17" width="11.28515625" bestFit="1" customWidth="1"/>
    <col min="18" max="18" width="14.140625" bestFit="1" customWidth="1"/>
    <col min="19" max="19" width="11.7109375" bestFit="1" customWidth="1"/>
  </cols>
  <sheetData>
    <row r="1" spans="1:19" x14ac:dyDescent="0.25">
      <c r="A1" t="s">
        <v>2568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2581</v>
      </c>
    </row>
    <row r="2" spans="1:19" x14ac:dyDescent="0.25">
      <c r="A2" t="s">
        <v>179</v>
      </c>
      <c r="B2" t="s">
        <v>180</v>
      </c>
      <c r="C2" t="s">
        <v>46</v>
      </c>
      <c r="D2" t="s">
        <v>115</v>
      </c>
      <c r="E2">
        <v>45352.465277777781</v>
      </c>
      <c r="F2" s="1">
        <v>45294.457638888889</v>
      </c>
      <c r="G2" s="1">
        <v>45294.548611111109</v>
      </c>
      <c r="I2" t="s">
        <v>21</v>
      </c>
      <c r="J2" t="s">
        <v>171</v>
      </c>
      <c r="K2">
        <v>65</v>
      </c>
      <c r="L2">
        <v>55</v>
      </c>
      <c r="M2" t="s">
        <v>68</v>
      </c>
      <c r="N2" t="s">
        <v>103</v>
      </c>
      <c r="O2" t="s">
        <v>96</v>
      </c>
      <c r="P2" t="s">
        <v>84</v>
      </c>
      <c r="Q2">
        <v>16.399999999999999</v>
      </c>
      <c r="R2" t="s">
        <v>58</v>
      </c>
      <c r="S2">
        <v>2</v>
      </c>
    </row>
    <row r="3" spans="1:19" x14ac:dyDescent="0.25">
      <c r="A3" t="s">
        <v>179</v>
      </c>
      <c r="B3" t="s">
        <v>180</v>
      </c>
      <c r="C3" t="s">
        <v>46</v>
      </c>
      <c r="D3" t="s">
        <v>115</v>
      </c>
      <c r="E3">
        <v>45352.465277777781</v>
      </c>
      <c r="F3" s="1">
        <v>45294.457638888889</v>
      </c>
      <c r="G3" s="1">
        <v>45294.548611111109</v>
      </c>
      <c r="I3" t="s">
        <v>21</v>
      </c>
      <c r="J3" t="s">
        <v>171</v>
      </c>
      <c r="K3">
        <v>65</v>
      </c>
      <c r="L3">
        <v>55</v>
      </c>
      <c r="M3" t="s">
        <v>68</v>
      </c>
      <c r="N3" t="s">
        <v>103</v>
      </c>
      <c r="O3" t="s">
        <v>96</v>
      </c>
      <c r="P3" t="s">
        <v>84</v>
      </c>
      <c r="Q3">
        <v>16.399999999999999</v>
      </c>
      <c r="R3" t="s">
        <v>58</v>
      </c>
      <c r="S3">
        <v>2</v>
      </c>
    </row>
    <row r="4" spans="1:19" x14ac:dyDescent="0.25">
      <c r="A4" t="s">
        <v>195</v>
      </c>
      <c r="B4" t="s">
        <v>196</v>
      </c>
      <c r="D4" t="s">
        <v>23</v>
      </c>
      <c r="E4">
        <v>45719.461805555555</v>
      </c>
      <c r="F4" s="1">
        <v>45719.441666666666</v>
      </c>
      <c r="G4" s="1">
        <v>45719.552083333336</v>
      </c>
      <c r="H4">
        <v>13</v>
      </c>
      <c r="I4" t="s">
        <v>163</v>
      </c>
      <c r="J4" t="s">
        <v>31</v>
      </c>
      <c r="K4">
        <v>91</v>
      </c>
      <c r="L4">
        <v>39</v>
      </c>
      <c r="N4" t="s">
        <v>33</v>
      </c>
      <c r="P4" t="s">
        <v>42</v>
      </c>
      <c r="Q4">
        <v>210.76</v>
      </c>
      <c r="R4" t="s">
        <v>75</v>
      </c>
      <c r="S4">
        <v>2</v>
      </c>
    </row>
    <row r="5" spans="1:19" x14ac:dyDescent="0.25">
      <c r="A5" t="s">
        <v>195</v>
      </c>
      <c r="B5" t="s">
        <v>197</v>
      </c>
      <c r="C5" t="s">
        <v>94</v>
      </c>
      <c r="D5" t="s">
        <v>30</v>
      </c>
      <c r="E5">
        <v>45835.635416666664</v>
      </c>
      <c r="F5" s="1">
        <v>45835.631944444445</v>
      </c>
      <c r="G5" s="1">
        <v>45835.740277777775</v>
      </c>
      <c r="H5">
        <v>9</v>
      </c>
      <c r="I5" t="s">
        <v>83</v>
      </c>
      <c r="J5" t="s">
        <v>150</v>
      </c>
      <c r="K5">
        <v>124</v>
      </c>
      <c r="L5">
        <v>27</v>
      </c>
      <c r="M5" t="s">
        <v>32</v>
      </c>
      <c r="O5" t="s">
        <v>96</v>
      </c>
      <c r="P5" t="s">
        <v>34</v>
      </c>
      <c r="Q5">
        <v>84.7</v>
      </c>
      <c r="R5" t="s">
        <v>26</v>
      </c>
      <c r="S5">
        <v>2</v>
      </c>
    </row>
    <row r="6" spans="1:19" x14ac:dyDescent="0.25">
      <c r="A6" t="s">
        <v>323</v>
      </c>
      <c r="B6" t="s">
        <v>324</v>
      </c>
      <c r="C6" t="s">
        <v>114</v>
      </c>
      <c r="D6" t="s">
        <v>23</v>
      </c>
      <c r="E6" t="s">
        <v>325</v>
      </c>
      <c r="F6" s="1">
        <v>45823.722222222219</v>
      </c>
      <c r="G6" s="1"/>
      <c r="H6" t="s">
        <v>49</v>
      </c>
      <c r="I6" t="s">
        <v>56</v>
      </c>
      <c r="J6" t="s">
        <v>67</v>
      </c>
      <c r="K6">
        <v>109</v>
      </c>
      <c r="L6">
        <v>47</v>
      </c>
      <c r="M6" t="s">
        <v>23</v>
      </c>
      <c r="N6" t="s">
        <v>91</v>
      </c>
      <c r="O6">
        <v>3</v>
      </c>
      <c r="P6" t="s">
        <v>84</v>
      </c>
      <c r="Q6">
        <v>132.19999999999999</v>
      </c>
      <c r="R6" t="s">
        <v>43</v>
      </c>
      <c r="S6">
        <v>2</v>
      </c>
    </row>
    <row r="7" spans="1:19" x14ac:dyDescent="0.25">
      <c r="A7" t="s">
        <v>323</v>
      </c>
      <c r="B7" t="s">
        <v>324</v>
      </c>
      <c r="C7" t="s">
        <v>114</v>
      </c>
      <c r="D7" t="s">
        <v>23</v>
      </c>
      <c r="E7" t="s">
        <v>325</v>
      </c>
      <c r="F7" s="1">
        <v>45823.722222222219</v>
      </c>
      <c r="G7" s="1"/>
      <c r="H7" t="s">
        <v>49</v>
      </c>
      <c r="I7" t="s">
        <v>56</v>
      </c>
      <c r="J7" t="s">
        <v>67</v>
      </c>
      <c r="K7">
        <v>109</v>
      </c>
      <c r="L7">
        <v>47</v>
      </c>
      <c r="M7" t="s">
        <v>23</v>
      </c>
      <c r="N7" t="s">
        <v>91</v>
      </c>
      <c r="O7">
        <v>3</v>
      </c>
      <c r="P7" t="s">
        <v>84</v>
      </c>
      <c r="Q7">
        <v>132.19999999999999</v>
      </c>
      <c r="R7" t="s">
        <v>43</v>
      </c>
      <c r="S7">
        <v>2</v>
      </c>
    </row>
    <row r="8" spans="1:19" x14ac:dyDescent="0.25">
      <c r="A8" t="s">
        <v>396</v>
      </c>
      <c r="B8" t="s">
        <v>397</v>
      </c>
      <c r="C8" t="s">
        <v>19</v>
      </c>
      <c r="D8" t="s">
        <v>72</v>
      </c>
      <c r="E8">
        <v>45568.697916666664</v>
      </c>
      <c r="F8" s="1">
        <v>45568.680555555555</v>
      </c>
      <c r="G8" s="1"/>
      <c r="H8">
        <v>77</v>
      </c>
      <c r="I8" t="s">
        <v>90</v>
      </c>
      <c r="J8" t="s">
        <v>171</v>
      </c>
      <c r="K8">
        <v>54</v>
      </c>
      <c r="L8">
        <v>28</v>
      </c>
      <c r="M8" t="s">
        <v>50</v>
      </c>
      <c r="N8" t="s">
        <v>91</v>
      </c>
      <c r="O8">
        <v>3</v>
      </c>
      <c r="P8" t="s">
        <v>25</v>
      </c>
      <c r="Q8">
        <v>194.13</v>
      </c>
      <c r="R8" t="s">
        <v>43</v>
      </c>
      <c r="S8">
        <v>2</v>
      </c>
    </row>
    <row r="9" spans="1:19" x14ac:dyDescent="0.25">
      <c r="A9" t="s">
        <v>396</v>
      </c>
      <c r="B9" t="s">
        <v>397</v>
      </c>
      <c r="C9" t="s">
        <v>19</v>
      </c>
      <c r="D9" t="s">
        <v>72</v>
      </c>
      <c r="E9">
        <v>45568.697916666664</v>
      </c>
      <c r="F9" s="1">
        <v>45568.680555555555</v>
      </c>
      <c r="G9" s="1"/>
      <c r="H9">
        <v>77</v>
      </c>
      <c r="I9" t="s">
        <v>90</v>
      </c>
      <c r="J9" t="s">
        <v>171</v>
      </c>
      <c r="K9">
        <v>54</v>
      </c>
      <c r="L9">
        <v>28</v>
      </c>
      <c r="M9" t="s">
        <v>50</v>
      </c>
      <c r="N9" t="s">
        <v>91</v>
      </c>
      <c r="O9">
        <v>3</v>
      </c>
      <c r="P9" t="s">
        <v>25</v>
      </c>
      <c r="Q9">
        <v>194.13</v>
      </c>
      <c r="R9" t="s">
        <v>43</v>
      </c>
      <c r="S9">
        <v>2</v>
      </c>
    </row>
    <row r="10" spans="1:19" x14ac:dyDescent="0.25">
      <c r="A10" t="s">
        <v>436</v>
      </c>
      <c r="B10" t="s">
        <v>437</v>
      </c>
      <c r="C10" t="s">
        <v>94</v>
      </c>
      <c r="D10" t="s">
        <v>99</v>
      </c>
      <c r="F10" s="1">
        <v>45332.717361111114</v>
      </c>
      <c r="G10" s="1">
        <v>45332.790972222225</v>
      </c>
      <c r="H10">
        <v>145</v>
      </c>
      <c r="I10" t="s">
        <v>90</v>
      </c>
      <c r="J10" t="s">
        <v>62</v>
      </c>
      <c r="K10">
        <v>44</v>
      </c>
      <c r="L10">
        <v>50</v>
      </c>
      <c r="N10" t="s">
        <v>24</v>
      </c>
      <c r="Q10">
        <v>98.85</v>
      </c>
      <c r="R10" t="s">
        <v>58</v>
      </c>
      <c r="S10">
        <v>2</v>
      </c>
    </row>
    <row r="11" spans="1:19" x14ac:dyDescent="0.25">
      <c r="A11" t="s">
        <v>436</v>
      </c>
      <c r="B11" t="s">
        <v>383</v>
      </c>
      <c r="C11" t="s">
        <v>94</v>
      </c>
      <c r="D11" t="s">
        <v>66</v>
      </c>
      <c r="E11" t="s">
        <v>438</v>
      </c>
      <c r="F11" s="1">
        <v>45434.57708333333</v>
      </c>
      <c r="G11" s="1">
        <v>45434.658333333333</v>
      </c>
      <c r="H11">
        <v>84</v>
      </c>
      <c r="I11" t="s">
        <v>163</v>
      </c>
      <c r="J11" t="s">
        <v>40</v>
      </c>
      <c r="K11">
        <v>87</v>
      </c>
      <c r="L11">
        <v>11</v>
      </c>
      <c r="M11" t="s">
        <v>41</v>
      </c>
      <c r="N11" t="s">
        <v>100</v>
      </c>
      <c r="O11">
        <v>0</v>
      </c>
      <c r="P11" t="s">
        <v>80</v>
      </c>
      <c r="Q11">
        <v>187.38</v>
      </c>
      <c r="R11" t="s">
        <v>58</v>
      </c>
      <c r="S11">
        <v>2</v>
      </c>
    </row>
    <row r="12" spans="1:19" x14ac:dyDescent="0.25">
      <c r="A12" t="s">
        <v>448</v>
      </c>
      <c r="B12" t="s">
        <v>305</v>
      </c>
      <c r="C12" t="s">
        <v>114</v>
      </c>
      <c r="D12" t="s">
        <v>174</v>
      </c>
      <c r="E12">
        <v>45967.371527777781</v>
      </c>
      <c r="F12" s="1">
        <v>45967.354166666664</v>
      </c>
      <c r="G12" s="1">
        <v>45967.427777777775</v>
      </c>
      <c r="H12" t="s">
        <v>49</v>
      </c>
      <c r="I12" t="s">
        <v>21</v>
      </c>
      <c r="J12" t="s">
        <v>40</v>
      </c>
      <c r="K12">
        <v>42</v>
      </c>
      <c r="L12">
        <v>39</v>
      </c>
      <c r="M12" t="s">
        <v>68</v>
      </c>
      <c r="N12" t="s">
        <v>57</v>
      </c>
      <c r="O12">
        <v>1</v>
      </c>
      <c r="P12" t="s">
        <v>84</v>
      </c>
      <c r="Q12">
        <v>111.32</v>
      </c>
      <c r="R12" t="s">
        <v>58</v>
      </c>
      <c r="S12">
        <v>2</v>
      </c>
    </row>
    <row r="13" spans="1:19" x14ac:dyDescent="0.25">
      <c r="A13" t="s">
        <v>448</v>
      </c>
      <c r="B13" t="s">
        <v>305</v>
      </c>
      <c r="C13" t="s">
        <v>114</v>
      </c>
      <c r="D13" t="s">
        <v>174</v>
      </c>
      <c r="E13">
        <v>45967.371527777781</v>
      </c>
      <c r="F13" s="1">
        <v>45967.354166666664</v>
      </c>
      <c r="G13" s="1">
        <v>45967.427777777775</v>
      </c>
      <c r="H13" t="s">
        <v>49</v>
      </c>
      <c r="I13" t="s">
        <v>21</v>
      </c>
      <c r="J13" t="s">
        <v>40</v>
      </c>
      <c r="K13">
        <v>42</v>
      </c>
      <c r="L13">
        <v>39</v>
      </c>
      <c r="M13" t="s">
        <v>68</v>
      </c>
      <c r="N13" t="s">
        <v>57</v>
      </c>
      <c r="O13">
        <v>1</v>
      </c>
      <c r="P13" t="s">
        <v>84</v>
      </c>
      <c r="Q13">
        <v>111.32</v>
      </c>
      <c r="R13" t="s">
        <v>58</v>
      </c>
      <c r="S13">
        <v>2</v>
      </c>
    </row>
    <row r="14" spans="1:19" x14ac:dyDescent="0.25">
      <c r="A14" t="s">
        <v>529</v>
      </c>
      <c r="B14" t="s">
        <v>530</v>
      </c>
      <c r="C14" t="s">
        <v>46</v>
      </c>
      <c r="D14" t="s">
        <v>30</v>
      </c>
      <c r="E14">
        <v>45623.295138888891</v>
      </c>
      <c r="F14" s="1">
        <v>45623.290972222225</v>
      </c>
      <c r="G14" s="1">
        <v>45623.379166666666</v>
      </c>
      <c r="H14">
        <v>-4</v>
      </c>
      <c r="I14" t="s">
        <v>83</v>
      </c>
      <c r="J14" t="s">
        <v>150</v>
      </c>
      <c r="K14">
        <v>79</v>
      </c>
      <c r="L14">
        <v>42</v>
      </c>
      <c r="M14" t="s">
        <v>87</v>
      </c>
      <c r="N14" t="s">
        <v>69</v>
      </c>
      <c r="O14" t="s">
        <v>96</v>
      </c>
      <c r="P14" t="s">
        <v>84</v>
      </c>
      <c r="Q14">
        <v>120.24</v>
      </c>
      <c r="R14" t="s">
        <v>26</v>
      </c>
      <c r="S14">
        <v>2</v>
      </c>
    </row>
    <row r="15" spans="1:19" x14ac:dyDescent="0.25">
      <c r="A15" t="s">
        <v>529</v>
      </c>
      <c r="B15" t="s">
        <v>531</v>
      </c>
      <c r="C15" t="s">
        <v>29</v>
      </c>
      <c r="D15" t="s">
        <v>115</v>
      </c>
      <c r="E15">
        <v>45349.638888888891</v>
      </c>
      <c r="F15" s="1">
        <v>45349.619444444441</v>
      </c>
      <c r="G15" s="1">
        <v>45349.693055555559</v>
      </c>
      <c r="I15" t="s">
        <v>21</v>
      </c>
      <c r="J15" t="s">
        <v>150</v>
      </c>
      <c r="K15">
        <v>69</v>
      </c>
      <c r="L15">
        <v>9</v>
      </c>
      <c r="M15" t="s">
        <v>41</v>
      </c>
      <c r="N15" t="s">
        <v>57</v>
      </c>
      <c r="O15">
        <v>6</v>
      </c>
      <c r="P15" t="s">
        <v>34</v>
      </c>
      <c r="Q15">
        <v>218.92</v>
      </c>
      <c r="R15" t="s">
        <v>26</v>
      </c>
      <c r="S15">
        <v>2</v>
      </c>
    </row>
    <row r="16" spans="1:19" x14ac:dyDescent="0.25">
      <c r="A16" t="s">
        <v>605</v>
      </c>
      <c r="B16" t="s">
        <v>165</v>
      </c>
      <c r="C16" t="s">
        <v>94</v>
      </c>
      <c r="D16" t="s">
        <v>99</v>
      </c>
      <c r="E16">
        <v>45965.40625</v>
      </c>
      <c r="F16" s="1">
        <v>45758.404166666667</v>
      </c>
      <c r="G16" s="1"/>
      <c r="H16">
        <v>73</v>
      </c>
      <c r="I16" t="s">
        <v>83</v>
      </c>
      <c r="J16" t="s">
        <v>171</v>
      </c>
      <c r="K16">
        <v>101</v>
      </c>
      <c r="L16">
        <v>15</v>
      </c>
      <c r="M16" t="s">
        <v>63</v>
      </c>
      <c r="N16" t="s">
        <v>91</v>
      </c>
      <c r="O16">
        <v>6</v>
      </c>
      <c r="P16" t="s">
        <v>42</v>
      </c>
      <c r="R16" t="s">
        <v>75</v>
      </c>
      <c r="S16">
        <v>2</v>
      </c>
    </row>
    <row r="17" spans="1:19" x14ac:dyDescent="0.25">
      <c r="A17" t="s">
        <v>605</v>
      </c>
      <c r="B17" t="s">
        <v>165</v>
      </c>
      <c r="C17" t="s">
        <v>94</v>
      </c>
      <c r="D17" t="s">
        <v>99</v>
      </c>
      <c r="E17">
        <v>45965.40625</v>
      </c>
      <c r="F17" s="1">
        <v>45758.404166666667</v>
      </c>
      <c r="G17" s="1"/>
      <c r="H17">
        <v>73</v>
      </c>
      <c r="I17" t="s">
        <v>83</v>
      </c>
      <c r="J17" t="s">
        <v>171</v>
      </c>
      <c r="K17">
        <v>101</v>
      </c>
      <c r="L17">
        <v>15</v>
      </c>
      <c r="M17" t="s">
        <v>63</v>
      </c>
      <c r="N17" t="s">
        <v>91</v>
      </c>
      <c r="O17">
        <v>6</v>
      </c>
      <c r="P17" t="s">
        <v>42</v>
      </c>
      <c r="R17" t="s">
        <v>75</v>
      </c>
      <c r="S17">
        <v>2</v>
      </c>
    </row>
    <row r="18" spans="1:19" x14ac:dyDescent="0.25">
      <c r="A18" t="s">
        <v>627</v>
      </c>
      <c r="B18" t="s">
        <v>36</v>
      </c>
      <c r="C18" t="s">
        <v>114</v>
      </c>
      <c r="D18" t="s">
        <v>115</v>
      </c>
      <c r="E18">
        <v>45611.732638888891</v>
      </c>
      <c r="F18" s="1">
        <v>45611.731249999997</v>
      </c>
      <c r="G18" s="1">
        <v>45611.805555555555</v>
      </c>
      <c r="I18" t="s">
        <v>95</v>
      </c>
      <c r="J18" t="s">
        <v>40</v>
      </c>
      <c r="K18">
        <v>71</v>
      </c>
      <c r="L18">
        <v>34</v>
      </c>
      <c r="M18" t="s">
        <v>87</v>
      </c>
      <c r="N18" t="s">
        <v>51</v>
      </c>
      <c r="O18">
        <v>0</v>
      </c>
      <c r="P18" t="s">
        <v>34</v>
      </c>
      <c r="Q18">
        <v>184.4</v>
      </c>
      <c r="R18" t="s">
        <v>58</v>
      </c>
      <c r="S18">
        <v>2</v>
      </c>
    </row>
    <row r="19" spans="1:19" x14ac:dyDescent="0.25">
      <c r="A19" t="s">
        <v>627</v>
      </c>
      <c r="B19" t="s">
        <v>355</v>
      </c>
      <c r="C19" t="s">
        <v>114</v>
      </c>
      <c r="D19" t="s">
        <v>30</v>
      </c>
      <c r="E19">
        <v>45396.756944444445</v>
      </c>
      <c r="F19" s="1">
        <v>45396.738888888889</v>
      </c>
      <c r="G19" s="1">
        <v>45396.856944444444</v>
      </c>
      <c r="H19" t="s">
        <v>49</v>
      </c>
      <c r="J19" t="s">
        <v>62</v>
      </c>
      <c r="K19">
        <v>68</v>
      </c>
      <c r="L19">
        <v>76</v>
      </c>
      <c r="M19" t="s">
        <v>63</v>
      </c>
      <c r="N19" t="s">
        <v>57</v>
      </c>
      <c r="O19" t="s">
        <v>96</v>
      </c>
      <c r="P19" t="s">
        <v>34</v>
      </c>
      <c r="Q19">
        <v>93.98</v>
      </c>
      <c r="R19" t="s">
        <v>58</v>
      </c>
      <c r="S19">
        <v>2</v>
      </c>
    </row>
    <row r="20" spans="1:19" x14ac:dyDescent="0.25">
      <c r="A20" t="s">
        <v>717</v>
      </c>
      <c r="B20" t="s">
        <v>442</v>
      </c>
      <c r="D20" t="s">
        <v>61</v>
      </c>
      <c r="E20">
        <v>45908.409722222219</v>
      </c>
      <c r="F20" s="1">
        <v>45878.406944444447</v>
      </c>
      <c r="G20" s="1">
        <v>45878.476388888892</v>
      </c>
      <c r="K20">
        <v>33</v>
      </c>
      <c r="L20">
        <v>63</v>
      </c>
      <c r="N20" t="s">
        <v>33</v>
      </c>
      <c r="O20">
        <v>6</v>
      </c>
      <c r="P20" t="s">
        <v>34</v>
      </c>
      <c r="Q20">
        <v>160.83000000000001</v>
      </c>
      <c r="R20" t="s">
        <v>43</v>
      </c>
      <c r="S20">
        <v>2</v>
      </c>
    </row>
    <row r="21" spans="1:19" x14ac:dyDescent="0.25">
      <c r="A21" t="s">
        <v>717</v>
      </c>
      <c r="B21" t="s">
        <v>117</v>
      </c>
      <c r="C21" t="s">
        <v>46</v>
      </c>
      <c r="D21" t="s">
        <v>23</v>
      </c>
      <c r="E21">
        <v>45300.65625</v>
      </c>
      <c r="F21" s="1">
        <v>45300.652083333334</v>
      </c>
      <c r="G21" s="1">
        <v>45300.696527777778</v>
      </c>
      <c r="H21">
        <v>81</v>
      </c>
      <c r="I21" t="s">
        <v>39</v>
      </c>
      <c r="J21" t="s">
        <v>171</v>
      </c>
      <c r="K21">
        <v>35</v>
      </c>
      <c r="L21">
        <v>23</v>
      </c>
      <c r="M21" t="s">
        <v>50</v>
      </c>
      <c r="N21" t="s">
        <v>51</v>
      </c>
      <c r="O21" t="s">
        <v>96</v>
      </c>
      <c r="P21" t="s">
        <v>52</v>
      </c>
      <c r="Q21">
        <v>119.37</v>
      </c>
      <c r="R21" t="s">
        <v>26</v>
      </c>
      <c r="S21">
        <v>2</v>
      </c>
    </row>
    <row r="22" spans="1:19" x14ac:dyDescent="0.25">
      <c r="A22" t="s">
        <v>751</v>
      </c>
      <c r="B22" t="s">
        <v>752</v>
      </c>
      <c r="C22" t="s">
        <v>37</v>
      </c>
      <c r="D22" t="s">
        <v>61</v>
      </c>
      <c r="E22">
        <v>45305.416666666664</v>
      </c>
      <c r="F22" s="1">
        <v>45305.415972222225</v>
      </c>
      <c r="G22" s="1">
        <v>45305.463888888888</v>
      </c>
      <c r="H22">
        <v>37</v>
      </c>
      <c r="I22" t="s">
        <v>95</v>
      </c>
      <c r="J22" t="s">
        <v>62</v>
      </c>
      <c r="K22">
        <v>60</v>
      </c>
      <c r="L22">
        <v>8</v>
      </c>
      <c r="N22" t="s">
        <v>24</v>
      </c>
      <c r="O22" t="s">
        <v>96</v>
      </c>
      <c r="P22" t="s">
        <v>34</v>
      </c>
      <c r="Q22">
        <v>224.7</v>
      </c>
      <c r="R22" t="s">
        <v>58</v>
      </c>
      <c r="S22">
        <v>2</v>
      </c>
    </row>
    <row r="23" spans="1:19" x14ac:dyDescent="0.25">
      <c r="A23" t="s">
        <v>751</v>
      </c>
      <c r="B23" t="s">
        <v>45</v>
      </c>
      <c r="C23" t="s">
        <v>29</v>
      </c>
      <c r="D23" t="s">
        <v>47</v>
      </c>
      <c r="E23" t="s">
        <v>753</v>
      </c>
      <c r="F23" s="1">
        <v>45951.31527777778</v>
      </c>
      <c r="G23" s="1">
        <v>45951.350694444445</v>
      </c>
      <c r="H23" t="s">
        <v>49</v>
      </c>
      <c r="I23" t="s">
        <v>73</v>
      </c>
      <c r="J23" t="s">
        <v>31</v>
      </c>
      <c r="K23">
        <v>40</v>
      </c>
      <c r="L23">
        <v>5</v>
      </c>
      <c r="N23" t="s">
        <v>33</v>
      </c>
      <c r="O23">
        <v>0</v>
      </c>
      <c r="P23" t="s">
        <v>42</v>
      </c>
      <c r="R23" t="s">
        <v>58</v>
      </c>
      <c r="S23">
        <v>2</v>
      </c>
    </row>
    <row r="24" spans="1:19" x14ac:dyDescent="0.25">
      <c r="A24" t="s">
        <v>774</v>
      </c>
      <c r="B24" t="s">
        <v>170</v>
      </c>
      <c r="C24" t="s">
        <v>46</v>
      </c>
      <c r="D24" t="s">
        <v>55</v>
      </c>
      <c r="E24" t="s">
        <v>775</v>
      </c>
      <c r="F24" s="1">
        <v>45595.43472222222</v>
      </c>
      <c r="G24" s="1">
        <v>45595.560416666667</v>
      </c>
      <c r="J24" t="s">
        <v>79</v>
      </c>
      <c r="K24">
        <v>142</v>
      </c>
      <c r="L24">
        <v>30</v>
      </c>
      <c r="M24" t="s">
        <v>32</v>
      </c>
      <c r="N24" t="s">
        <v>24</v>
      </c>
      <c r="O24" t="s">
        <v>96</v>
      </c>
      <c r="P24" t="s">
        <v>84</v>
      </c>
      <c r="R24" t="s">
        <v>75</v>
      </c>
      <c r="S24">
        <v>2</v>
      </c>
    </row>
    <row r="25" spans="1:19" x14ac:dyDescent="0.25">
      <c r="A25" t="s">
        <v>774</v>
      </c>
      <c r="B25" t="s">
        <v>170</v>
      </c>
      <c r="C25" t="s">
        <v>46</v>
      </c>
      <c r="D25" t="s">
        <v>55</v>
      </c>
      <c r="E25" t="s">
        <v>775</v>
      </c>
      <c r="F25" s="1">
        <v>45595.43472222222</v>
      </c>
      <c r="G25" s="1">
        <v>45595.560416666667</v>
      </c>
      <c r="J25" t="s">
        <v>79</v>
      </c>
      <c r="K25">
        <v>142</v>
      </c>
      <c r="L25">
        <v>30</v>
      </c>
      <c r="M25" t="s">
        <v>32</v>
      </c>
      <c r="N25" t="s">
        <v>24</v>
      </c>
      <c r="O25" t="s">
        <v>96</v>
      </c>
      <c r="P25" t="s">
        <v>84</v>
      </c>
      <c r="R25" t="s">
        <v>75</v>
      </c>
      <c r="S25">
        <v>2</v>
      </c>
    </row>
    <row r="26" spans="1:19" x14ac:dyDescent="0.25">
      <c r="A26" t="s">
        <v>778</v>
      </c>
      <c r="B26" t="s">
        <v>143</v>
      </c>
      <c r="D26" t="s">
        <v>30</v>
      </c>
      <c r="E26">
        <v>45853.545138888891</v>
      </c>
      <c r="F26" s="1">
        <v>45853.532638888886</v>
      </c>
      <c r="G26" s="1">
        <v>45853.643750000003</v>
      </c>
      <c r="I26" t="s">
        <v>95</v>
      </c>
      <c r="J26" t="s">
        <v>171</v>
      </c>
      <c r="K26">
        <v>99</v>
      </c>
      <c r="L26">
        <v>43</v>
      </c>
      <c r="M26" t="s">
        <v>50</v>
      </c>
      <c r="N26" t="s">
        <v>24</v>
      </c>
      <c r="P26" t="s">
        <v>42</v>
      </c>
      <c r="Q26">
        <v>53.56</v>
      </c>
      <c r="R26" t="s">
        <v>58</v>
      </c>
      <c r="S26">
        <v>2</v>
      </c>
    </row>
    <row r="27" spans="1:19" x14ac:dyDescent="0.25">
      <c r="A27" t="s">
        <v>778</v>
      </c>
      <c r="B27" t="s">
        <v>435</v>
      </c>
      <c r="C27" t="s">
        <v>46</v>
      </c>
      <c r="D27" t="s">
        <v>66</v>
      </c>
      <c r="E27" t="s">
        <v>779</v>
      </c>
      <c r="F27" s="1">
        <v>45729.70416666667</v>
      </c>
      <c r="G27" s="1">
        <v>45729.802777777775</v>
      </c>
      <c r="H27">
        <v>55</v>
      </c>
      <c r="I27" t="s">
        <v>163</v>
      </c>
      <c r="J27" t="s">
        <v>67</v>
      </c>
      <c r="K27">
        <v>115</v>
      </c>
      <c r="L27">
        <v>11</v>
      </c>
      <c r="M27" t="s">
        <v>50</v>
      </c>
      <c r="N27" t="s">
        <v>74</v>
      </c>
      <c r="O27">
        <v>0</v>
      </c>
      <c r="P27" t="s">
        <v>84</v>
      </c>
      <c r="Q27">
        <v>169.21</v>
      </c>
      <c r="R27" t="s">
        <v>26</v>
      </c>
      <c r="S27">
        <v>2</v>
      </c>
    </row>
    <row r="28" spans="1:19" x14ac:dyDescent="0.25">
      <c r="A28" t="s">
        <v>968</v>
      </c>
      <c r="B28" t="s">
        <v>226</v>
      </c>
      <c r="C28" t="s">
        <v>37</v>
      </c>
      <c r="D28" t="s">
        <v>99</v>
      </c>
      <c r="E28" t="s">
        <v>969</v>
      </c>
      <c r="F28" s="1">
        <v>45990.459027777775</v>
      </c>
      <c r="G28" s="1">
        <v>45990.554166666669</v>
      </c>
      <c r="H28" t="s">
        <v>49</v>
      </c>
      <c r="I28" t="s">
        <v>95</v>
      </c>
      <c r="J28" t="s">
        <v>150</v>
      </c>
      <c r="K28">
        <v>64</v>
      </c>
      <c r="L28">
        <v>59</v>
      </c>
      <c r="M28" t="s">
        <v>32</v>
      </c>
      <c r="N28" t="s">
        <v>69</v>
      </c>
      <c r="P28" t="s">
        <v>52</v>
      </c>
      <c r="Q28">
        <v>305.49</v>
      </c>
      <c r="R28" t="s">
        <v>26</v>
      </c>
      <c r="S28">
        <v>2</v>
      </c>
    </row>
    <row r="29" spans="1:19" x14ac:dyDescent="0.25">
      <c r="A29" t="s">
        <v>968</v>
      </c>
      <c r="B29" t="s">
        <v>226</v>
      </c>
      <c r="C29" t="s">
        <v>37</v>
      </c>
      <c r="D29" t="s">
        <v>99</v>
      </c>
      <c r="E29" t="s">
        <v>969</v>
      </c>
      <c r="F29" s="1">
        <v>45990.459027777775</v>
      </c>
      <c r="G29" s="1">
        <v>45990.554166666669</v>
      </c>
      <c r="H29" t="s">
        <v>49</v>
      </c>
      <c r="I29" t="s">
        <v>95</v>
      </c>
      <c r="J29" t="s">
        <v>150</v>
      </c>
      <c r="K29">
        <v>64</v>
      </c>
      <c r="L29">
        <v>59</v>
      </c>
      <c r="M29" t="s">
        <v>32</v>
      </c>
      <c r="N29" t="s">
        <v>69</v>
      </c>
      <c r="P29" t="s">
        <v>52</v>
      </c>
      <c r="Q29">
        <v>305.49</v>
      </c>
      <c r="R29" t="s">
        <v>26</v>
      </c>
      <c r="S29">
        <v>2</v>
      </c>
    </row>
    <row r="30" spans="1:19" x14ac:dyDescent="0.25">
      <c r="A30" t="s">
        <v>1110</v>
      </c>
      <c r="B30" t="s">
        <v>369</v>
      </c>
      <c r="D30" t="s">
        <v>20</v>
      </c>
      <c r="F30" s="1">
        <v>45815.297222222223</v>
      </c>
      <c r="G30" s="1">
        <v>45815.368750000001</v>
      </c>
      <c r="H30">
        <v>145</v>
      </c>
      <c r="I30" t="s">
        <v>95</v>
      </c>
      <c r="J30" t="s">
        <v>67</v>
      </c>
      <c r="K30">
        <v>62</v>
      </c>
      <c r="L30">
        <v>29</v>
      </c>
      <c r="M30" t="s">
        <v>32</v>
      </c>
      <c r="N30" t="s">
        <v>51</v>
      </c>
      <c r="Q30">
        <v>198.71</v>
      </c>
      <c r="R30" t="s">
        <v>43</v>
      </c>
      <c r="S30">
        <v>2</v>
      </c>
    </row>
    <row r="31" spans="1:19" x14ac:dyDescent="0.25">
      <c r="A31" t="s">
        <v>1110</v>
      </c>
      <c r="B31" t="s">
        <v>467</v>
      </c>
      <c r="C31" t="s">
        <v>114</v>
      </c>
      <c r="D31" t="s">
        <v>61</v>
      </c>
      <c r="E31">
        <v>45323.666666666664</v>
      </c>
      <c r="F31" s="1">
        <v>45323.645833333336</v>
      </c>
      <c r="G31" s="1">
        <v>45323.724305555559</v>
      </c>
      <c r="H31">
        <v>47</v>
      </c>
      <c r="I31" t="s">
        <v>73</v>
      </c>
      <c r="J31" t="s">
        <v>67</v>
      </c>
      <c r="K31">
        <v>65</v>
      </c>
      <c r="L31">
        <v>18</v>
      </c>
      <c r="N31" t="s">
        <v>91</v>
      </c>
      <c r="O31">
        <v>0</v>
      </c>
      <c r="P31" t="s">
        <v>42</v>
      </c>
      <c r="R31" t="s">
        <v>58</v>
      </c>
      <c r="S31">
        <v>2</v>
      </c>
    </row>
    <row r="32" spans="1:19" x14ac:dyDescent="0.25">
      <c r="A32" t="s">
        <v>1205</v>
      </c>
      <c r="B32" t="s">
        <v>1206</v>
      </c>
      <c r="C32" t="s">
        <v>37</v>
      </c>
      <c r="D32" t="s">
        <v>174</v>
      </c>
      <c r="E32">
        <v>45506.423611111109</v>
      </c>
      <c r="F32" s="1">
        <v>45506.42291666667</v>
      </c>
      <c r="G32" s="1"/>
      <c r="I32" t="s">
        <v>90</v>
      </c>
      <c r="J32" t="s">
        <v>22</v>
      </c>
      <c r="K32">
        <v>84</v>
      </c>
      <c r="L32">
        <v>53</v>
      </c>
      <c r="N32" t="s">
        <v>69</v>
      </c>
      <c r="O32">
        <v>0</v>
      </c>
      <c r="P32" t="s">
        <v>84</v>
      </c>
      <c r="R32" t="s">
        <v>75</v>
      </c>
      <c r="S32">
        <v>2</v>
      </c>
    </row>
    <row r="33" spans="1:19" x14ac:dyDescent="0.25">
      <c r="A33" t="s">
        <v>1205</v>
      </c>
      <c r="B33" t="s">
        <v>1206</v>
      </c>
      <c r="C33" t="s">
        <v>37</v>
      </c>
      <c r="D33" t="s">
        <v>174</v>
      </c>
      <c r="E33">
        <v>45506.423611111109</v>
      </c>
      <c r="F33" s="1">
        <v>45506.42291666667</v>
      </c>
      <c r="G33" s="1"/>
      <c r="I33" t="s">
        <v>90</v>
      </c>
      <c r="J33" t="s">
        <v>22</v>
      </c>
      <c r="K33">
        <v>84</v>
      </c>
      <c r="L33">
        <v>53</v>
      </c>
      <c r="N33" t="s">
        <v>69</v>
      </c>
      <c r="O33">
        <v>0</v>
      </c>
      <c r="P33" t="s">
        <v>84</v>
      </c>
      <c r="R33" t="s">
        <v>75</v>
      </c>
      <c r="S33">
        <v>2</v>
      </c>
    </row>
    <row r="34" spans="1:19" x14ac:dyDescent="0.25">
      <c r="A34" t="s">
        <v>1217</v>
      </c>
      <c r="B34" t="s">
        <v>1218</v>
      </c>
      <c r="C34" t="s">
        <v>86</v>
      </c>
      <c r="D34" t="s">
        <v>99</v>
      </c>
      <c r="E34">
        <v>45833.361111111109</v>
      </c>
      <c r="F34" s="1">
        <v>45833.347222222219</v>
      </c>
      <c r="G34" s="1">
        <v>45833.440972222219</v>
      </c>
      <c r="H34">
        <v>63</v>
      </c>
      <c r="I34" t="s">
        <v>110</v>
      </c>
      <c r="K34">
        <v>87</v>
      </c>
      <c r="L34">
        <v>28</v>
      </c>
      <c r="M34" t="s">
        <v>50</v>
      </c>
      <c r="N34" t="s">
        <v>57</v>
      </c>
      <c r="O34" t="s">
        <v>96</v>
      </c>
      <c r="P34" t="s">
        <v>25</v>
      </c>
      <c r="Q34">
        <v>123.84</v>
      </c>
      <c r="R34" t="s">
        <v>43</v>
      </c>
      <c r="S34">
        <v>2</v>
      </c>
    </row>
    <row r="35" spans="1:19" x14ac:dyDescent="0.25">
      <c r="A35" t="s">
        <v>1217</v>
      </c>
      <c r="B35" t="s">
        <v>1219</v>
      </c>
      <c r="C35" t="s">
        <v>94</v>
      </c>
      <c r="D35" t="s">
        <v>115</v>
      </c>
      <c r="E35" t="s">
        <v>1220</v>
      </c>
      <c r="F35" s="1"/>
      <c r="G35" s="1">
        <v>45925.752083333333</v>
      </c>
      <c r="I35" t="s">
        <v>110</v>
      </c>
      <c r="J35" t="s">
        <v>171</v>
      </c>
      <c r="K35">
        <v>0</v>
      </c>
      <c r="L35">
        <v>43</v>
      </c>
      <c r="N35" t="s">
        <v>24</v>
      </c>
      <c r="P35" t="s">
        <v>25</v>
      </c>
      <c r="Q35">
        <v>45.86</v>
      </c>
      <c r="R35" t="s">
        <v>58</v>
      </c>
      <c r="S35">
        <v>2</v>
      </c>
    </row>
    <row r="36" spans="1:19" x14ac:dyDescent="0.25">
      <c r="A36" t="s">
        <v>1233</v>
      </c>
      <c r="B36" t="s">
        <v>1219</v>
      </c>
      <c r="C36" t="s">
        <v>37</v>
      </c>
      <c r="D36" t="s">
        <v>38</v>
      </c>
      <c r="E36">
        <v>45859.319444444445</v>
      </c>
      <c r="F36" s="1">
        <v>45859.304861111108</v>
      </c>
      <c r="G36" s="1">
        <v>45859.377083333333</v>
      </c>
      <c r="H36">
        <v>67</v>
      </c>
      <c r="I36" t="s">
        <v>163</v>
      </c>
      <c r="J36" t="s">
        <v>79</v>
      </c>
      <c r="K36">
        <v>57</v>
      </c>
      <c r="L36">
        <v>26</v>
      </c>
      <c r="M36" t="s">
        <v>87</v>
      </c>
      <c r="N36" t="s">
        <v>24</v>
      </c>
      <c r="O36">
        <v>6</v>
      </c>
      <c r="P36" t="s">
        <v>42</v>
      </c>
      <c r="Q36">
        <v>157.41999999999999</v>
      </c>
      <c r="R36" t="s">
        <v>58</v>
      </c>
      <c r="S36">
        <v>2</v>
      </c>
    </row>
    <row r="37" spans="1:19" x14ac:dyDescent="0.25">
      <c r="A37" t="s">
        <v>1233</v>
      </c>
      <c r="B37" t="s">
        <v>1234</v>
      </c>
      <c r="C37" t="s">
        <v>94</v>
      </c>
      <c r="D37" t="s">
        <v>149</v>
      </c>
      <c r="E37">
        <v>45912.319444444445</v>
      </c>
      <c r="F37" s="1">
        <v>45912.304166666669</v>
      </c>
      <c r="G37" s="1">
        <v>45912.390277777777</v>
      </c>
      <c r="H37">
        <v>74</v>
      </c>
      <c r="I37" t="s">
        <v>163</v>
      </c>
      <c r="J37" t="s">
        <v>150</v>
      </c>
      <c r="K37">
        <v>86</v>
      </c>
      <c r="L37">
        <v>16</v>
      </c>
      <c r="O37" t="s">
        <v>96</v>
      </c>
      <c r="P37" t="s">
        <v>52</v>
      </c>
      <c r="Q37">
        <v>92.35</v>
      </c>
      <c r="R37" t="s">
        <v>26</v>
      </c>
      <c r="S37">
        <v>2</v>
      </c>
    </row>
    <row r="38" spans="1:19" x14ac:dyDescent="0.25">
      <c r="A38" t="s">
        <v>1281</v>
      </c>
      <c r="B38" t="s">
        <v>531</v>
      </c>
      <c r="C38" t="s">
        <v>29</v>
      </c>
      <c r="D38" t="s">
        <v>55</v>
      </c>
      <c r="E38" t="s">
        <v>1282</v>
      </c>
      <c r="F38" s="1">
        <v>45863.726388888892</v>
      </c>
      <c r="G38" s="1">
        <v>45863.755555555559</v>
      </c>
      <c r="H38">
        <v>48</v>
      </c>
      <c r="K38">
        <v>29</v>
      </c>
      <c r="L38">
        <v>9</v>
      </c>
      <c r="M38" t="s">
        <v>50</v>
      </c>
      <c r="N38" t="s">
        <v>91</v>
      </c>
      <c r="O38">
        <v>3</v>
      </c>
      <c r="Q38">
        <v>126.28</v>
      </c>
      <c r="R38" t="s">
        <v>58</v>
      </c>
      <c r="S38">
        <v>2</v>
      </c>
    </row>
    <row r="39" spans="1:19" x14ac:dyDescent="0.25">
      <c r="A39" t="s">
        <v>1281</v>
      </c>
      <c r="B39" t="s">
        <v>45</v>
      </c>
      <c r="D39" t="s">
        <v>106</v>
      </c>
      <c r="E39">
        <v>45902.506944444445</v>
      </c>
      <c r="F39" s="1">
        <v>45902.501388888886</v>
      </c>
      <c r="G39" s="1">
        <v>45902.592361111114</v>
      </c>
      <c r="I39" t="s">
        <v>110</v>
      </c>
      <c r="J39" t="s">
        <v>79</v>
      </c>
      <c r="K39">
        <v>74</v>
      </c>
      <c r="L39">
        <v>49</v>
      </c>
      <c r="M39" t="s">
        <v>41</v>
      </c>
      <c r="N39" t="s">
        <v>57</v>
      </c>
      <c r="O39">
        <v>2</v>
      </c>
      <c r="R39" t="s">
        <v>58</v>
      </c>
      <c r="S39">
        <v>2</v>
      </c>
    </row>
    <row r="40" spans="1:19" x14ac:dyDescent="0.25">
      <c r="A40" t="s">
        <v>1409</v>
      </c>
      <c r="B40" t="s">
        <v>741</v>
      </c>
      <c r="C40" t="s">
        <v>46</v>
      </c>
      <c r="D40" t="s">
        <v>149</v>
      </c>
      <c r="E40" t="s">
        <v>1410</v>
      </c>
      <c r="F40" s="1">
        <v>45740.534722222219</v>
      </c>
      <c r="G40" s="1">
        <v>45740.574305555558</v>
      </c>
      <c r="H40">
        <v>10</v>
      </c>
      <c r="I40" t="s">
        <v>73</v>
      </c>
      <c r="J40" t="s">
        <v>79</v>
      </c>
      <c r="K40">
        <v>30</v>
      </c>
      <c r="L40">
        <v>7</v>
      </c>
      <c r="M40" t="s">
        <v>63</v>
      </c>
      <c r="N40" t="s">
        <v>51</v>
      </c>
      <c r="O40">
        <v>2</v>
      </c>
      <c r="P40" t="s">
        <v>80</v>
      </c>
      <c r="Q40">
        <v>169.31</v>
      </c>
      <c r="R40" t="s">
        <v>43</v>
      </c>
      <c r="S40">
        <v>2</v>
      </c>
    </row>
    <row r="41" spans="1:19" x14ac:dyDescent="0.25">
      <c r="A41" t="s">
        <v>1409</v>
      </c>
      <c r="B41" t="s">
        <v>1160</v>
      </c>
      <c r="C41" t="s">
        <v>94</v>
      </c>
      <c r="D41" t="s">
        <v>174</v>
      </c>
      <c r="E41">
        <v>45887.75</v>
      </c>
      <c r="F41" s="1">
        <v>45887.730555555558</v>
      </c>
      <c r="G41" s="1">
        <v>45887.826388888891</v>
      </c>
      <c r="H41">
        <v>-4</v>
      </c>
      <c r="I41" t="s">
        <v>90</v>
      </c>
      <c r="J41" t="s">
        <v>62</v>
      </c>
      <c r="K41">
        <v>83</v>
      </c>
      <c r="L41">
        <v>27</v>
      </c>
      <c r="M41" t="s">
        <v>32</v>
      </c>
      <c r="N41" t="s">
        <v>100</v>
      </c>
      <c r="Q41">
        <v>261.26</v>
      </c>
      <c r="R41" t="s">
        <v>58</v>
      </c>
      <c r="S41">
        <v>2</v>
      </c>
    </row>
    <row r="42" spans="1:19" x14ac:dyDescent="0.25">
      <c r="A42" t="s">
        <v>1455</v>
      </c>
      <c r="B42" t="s">
        <v>204</v>
      </c>
      <c r="C42" t="s">
        <v>19</v>
      </c>
      <c r="D42" t="s">
        <v>38</v>
      </c>
      <c r="E42" t="s">
        <v>128</v>
      </c>
      <c r="F42" s="1">
        <v>45375.565972222219</v>
      </c>
      <c r="G42" s="1">
        <v>45375.659722222219</v>
      </c>
      <c r="H42">
        <v>63</v>
      </c>
      <c r="I42" t="s">
        <v>110</v>
      </c>
      <c r="J42" t="s">
        <v>150</v>
      </c>
      <c r="K42">
        <v>56</v>
      </c>
      <c r="L42">
        <v>54</v>
      </c>
      <c r="N42" t="s">
        <v>33</v>
      </c>
      <c r="O42">
        <v>1</v>
      </c>
      <c r="P42" t="s">
        <v>42</v>
      </c>
      <c r="Q42">
        <v>232.72</v>
      </c>
      <c r="R42" t="s">
        <v>58</v>
      </c>
      <c r="S42">
        <v>2</v>
      </c>
    </row>
    <row r="43" spans="1:19" x14ac:dyDescent="0.25">
      <c r="A43" t="s">
        <v>1455</v>
      </c>
      <c r="B43" t="s">
        <v>204</v>
      </c>
      <c r="C43" t="s">
        <v>19</v>
      </c>
      <c r="D43" t="s">
        <v>38</v>
      </c>
      <c r="E43" t="s">
        <v>128</v>
      </c>
      <c r="F43" s="1">
        <v>45375.565972222219</v>
      </c>
      <c r="G43" s="1">
        <v>45375.659722222219</v>
      </c>
      <c r="H43">
        <v>63</v>
      </c>
      <c r="I43" t="s">
        <v>110</v>
      </c>
      <c r="J43" t="s">
        <v>150</v>
      </c>
      <c r="K43">
        <v>56</v>
      </c>
      <c r="L43">
        <v>54</v>
      </c>
      <c r="N43" t="s">
        <v>33</v>
      </c>
      <c r="O43">
        <v>1</v>
      </c>
      <c r="P43" t="s">
        <v>42</v>
      </c>
      <c r="Q43">
        <v>232.72</v>
      </c>
      <c r="R43" t="s">
        <v>58</v>
      </c>
      <c r="S43">
        <v>2</v>
      </c>
    </row>
    <row r="44" spans="1:19" x14ac:dyDescent="0.25">
      <c r="A44" t="s">
        <v>1482</v>
      </c>
      <c r="B44" t="s">
        <v>900</v>
      </c>
      <c r="C44" t="s">
        <v>86</v>
      </c>
      <c r="D44" t="s">
        <v>99</v>
      </c>
      <c r="E44">
        <v>45959.614583333336</v>
      </c>
      <c r="F44" s="1">
        <v>45959.59652777778</v>
      </c>
      <c r="G44" s="1">
        <v>45959.692361111112</v>
      </c>
      <c r="I44" t="s">
        <v>56</v>
      </c>
      <c r="J44" t="s">
        <v>22</v>
      </c>
      <c r="K44">
        <v>64</v>
      </c>
      <c r="L44">
        <v>48</v>
      </c>
      <c r="N44" t="s">
        <v>74</v>
      </c>
      <c r="O44">
        <v>2</v>
      </c>
      <c r="P44" t="s">
        <v>34</v>
      </c>
      <c r="Q44">
        <v>62.4</v>
      </c>
      <c r="R44" t="s">
        <v>75</v>
      </c>
      <c r="S44">
        <v>2</v>
      </c>
    </row>
    <row r="45" spans="1:19" x14ac:dyDescent="0.25">
      <c r="A45" t="s">
        <v>1482</v>
      </c>
      <c r="B45" t="s">
        <v>900</v>
      </c>
      <c r="C45" t="s">
        <v>86</v>
      </c>
      <c r="D45" t="s">
        <v>99</v>
      </c>
      <c r="E45">
        <v>45959.614583333336</v>
      </c>
      <c r="F45" s="1">
        <v>45959.59652777778</v>
      </c>
      <c r="G45" s="1">
        <v>45959.692361111112</v>
      </c>
      <c r="I45" t="s">
        <v>56</v>
      </c>
      <c r="J45" t="s">
        <v>22</v>
      </c>
      <c r="K45">
        <v>64</v>
      </c>
      <c r="L45">
        <v>48</v>
      </c>
      <c r="N45" t="s">
        <v>74</v>
      </c>
      <c r="O45">
        <v>2</v>
      </c>
      <c r="P45" t="s">
        <v>34</v>
      </c>
      <c r="Q45">
        <v>62.4</v>
      </c>
      <c r="R45" t="s">
        <v>75</v>
      </c>
      <c r="S45">
        <v>2</v>
      </c>
    </row>
    <row r="46" spans="1:19" x14ac:dyDescent="0.25">
      <c r="A46" t="s">
        <v>1593</v>
      </c>
      <c r="B46" t="s">
        <v>1304</v>
      </c>
      <c r="C46" t="s">
        <v>86</v>
      </c>
      <c r="D46" t="s">
        <v>55</v>
      </c>
      <c r="E46">
        <v>45294.760416666664</v>
      </c>
      <c r="F46" s="1">
        <v>45352.745138888888</v>
      </c>
      <c r="G46" s="1">
        <v>45352.835416666669</v>
      </c>
      <c r="H46">
        <v>145</v>
      </c>
      <c r="I46" t="s">
        <v>83</v>
      </c>
      <c r="J46" t="s">
        <v>67</v>
      </c>
      <c r="K46">
        <v>84</v>
      </c>
      <c r="L46">
        <v>24</v>
      </c>
      <c r="M46" t="s">
        <v>41</v>
      </c>
      <c r="N46" t="s">
        <v>24</v>
      </c>
      <c r="O46" t="s">
        <v>96</v>
      </c>
      <c r="Q46">
        <v>54.59</v>
      </c>
      <c r="R46" t="s">
        <v>58</v>
      </c>
      <c r="S46">
        <v>2</v>
      </c>
    </row>
    <row r="47" spans="1:19" x14ac:dyDescent="0.25">
      <c r="A47" t="s">
        <v>1593</v>
      </c>
      <c r="B47" t="s">
        <v>1304</v>
      </c>
      <c r="C47" t="s">
        <v>86</v>
      </c>
      <c r="D47" t="s">
        <v>55</v>
      </c>
      <c r="E47">
        <v>45294.760416666664</v>
      </c>
      <c r="F47" s="1">
        <v>45352.745138888888</v>
      </c>
      <c r="G47" s="1">
        <v>45352.835416666669</v>
      </c>
      <c r="H47">
        <v>145</v>
      </c>
      <c r="I47" t="s">
        <v>83</v>
      </c>
      <c r="J47" t="s">
        <v>67</v>
      </c>
      <c r="K47">
        <v>84</v>
      </c>
      <c r="L47">
        <v>24</v>
      </c>
      <c r="M47" t="s">
        <v>41</v>
      </c>
      <c r="N47" t="s">
        <v>24</v>
      </c>
      <c r="O47" t="s">
        <v>96</v>
      </c>
      <c r="Q47">
        <v>54.59</v>
      </c>
      <c r="R47" t="s">
        <v>58</v>
      </c>
      <c r="S47">
        <v>2</v>
      </c>
    </row>
    <row r="48" spans="1:19" x14ac:dyDescent="0.25">
      <c r="A48" t="s">
        <v>1656</v>
      </c>
      <c r="B48" t="s">
        <v>357</v>
      </c>
      <c r="D48" t="s">
        <v>115</v>
      </c>
      <c r="E48">
        <v>45345.777777777781</v>
      </c>
      <c r="F48" s="1">
        <v>45345.776388888888</v>
      </c>
      <c r="G48" s="1">
        <v>45345.864583333336</v>
      </c>
      <c r="I48" t="s">
        <v>56</v>
      </c>
      <c r="J48" t="s">
        <v>150</v>
      </c>
      <c r="K48">
        <v>72</v>
      </c>
      <c r="L48">
        <v>53</v>
      </c>
      <c r="M48" t="s">
        <v>23</v>
      </c>
      <c r="N48" t="s">
        <v>103</v>
      </c>
      <c r="O48">
        <v>0</v>
      </c>
      <c r="P48" t="s">
        <v>34</v>
      </c>
      <c r="Q48">
        <v>35.270000000000003</v>
      </c>
      <c r="R48" t="s">
        <v>58</v>
      </c>
      <c r="S48">
        <v>2</v>
      </c>
    </row>
    <row r="49" spans="1:19" x14ac:dyDescent="0.25">
      <c r="A49" t="s">
        <v>1656</v>
      </c>
      <c r="B49" t="s">
        <v>1657</v>
      </c>
      <c r="C49" t="s">
        <v>29</v>
      </c>
      <c r="D49" t="s">
        <v>23</v>
      </c>
      <c r="E49">
        <v>45371.649305555555</v>
      </c>
      <c r="F49" s="1">
        <v>45371.646527777775</v>
      </c>
      <c r="G49" s="1">
        <v>45371.69027777778</v>
      </c>
      <c r="H49">
        <v>-4</v>
      </c>
      <c r="I49" t="s">
        <v>110</v>
      </c>
      <c r="J49" t="s">
        <v>62</v>
      </c>
      <c r="K49">
        <v>33</v>
      </c>
      <c r="L49">
        <v>26</v>
      </c>
      <c r="M49" t="s">
        <v>87</v>
      </c>
      <c r="N49" t="s">
        <v>69</v>
      </c>
      <c r="O49" t="s">
        <v>96</v>
      </c>
      <c r="P49" t="s">
        <v>80</v>
      </c>
      <c r="Q49">
        <v>82.3</v>
      </c>
      <c r="R49" t="s">
        <v>58</v>
      </c>
      <c r="S49">
        <v>2</v>
      </c>
    </row>
    <row r="50" spans="1:19" x14ac:dyDescent="0.25">
      <c r="A50" t="s">
        <v>1664</v>
      </c>
      <c r="B50" t="s">
        <v>1039</v>
      </c>
      <c r="C50" t="s">
        <v>19</v>
      </c>
      <c r="D50" t="s">
        <v>23</v>
      </c>
      <c r="E50">
        <v>45670.451388888891</v>
      </c>
      <c r="F50" s="1">
        <v>45670.434027777781</v>
      </c>
      <c r="G50" s="1">
        <v>45670.51458333333</v>
      </c>
      <c r="H50">
        <v>-4</v>
      </c>
      <c r="K50">
        <v>82</v>
      </c>
      <c r="L50">
        <v>9</v>
      </c>
      <c r="M50" t="s">
        <v>41</v>
      </c>
      <c r="N50" t="s">
        <v>69</v>
      </c>
      <c r="Q50">
        <v>281.2</v>
      </c>
      <c r="R50" t="s">
        <v>75</v>
      </c>
      <c r="S50">
        <v>2</v>
      </c>
    </row>
    <row r="51" spans="1:19" x14ac:dyDescent="0.25">
      <c r="A51" t="s">
        <v>1664</v>
      </c>
      <c r="B51" t="s">
        <v>1039</v>
      </c>
      <c r="C51" t="s">
        <v>19</v>
      </c>
      <c r="D51" t="s">
        <v>23</v>
      </c>
      <c r="E51">
        <v>45670.451388888891</v>
      </c>
      <c r="F51" s="1">
        <v>45670.434027777781</v>
      </c>
      <c r="G51" s="1">
        <v>45670.51458333333</v>
      </c>
      <c r="H51">
        <v>-4</v>
      </c>
      <c r="K51">
        <v>82</v>
      </c>
      <c r="L51">
        <v>9</v>
      </c>
      <c r="M51" t="s">
        <v>41</v>
      </c>
      <c r="N51" t="s">
        <v>69</v>
      </c>
      <c r="Q51">
        <v>281.2</v>
      </c>
      <c r="R51" t="s">
        <v>75</v>
      </c>
      <c r="S51">
        <v>2</v>
      </c>
    </row>
    <row r="52" spans="1:19" x14ac:dyDescent="0.25">
      <c r="A52" t="s">
        <v>1665</v>
      </c>
      <c r="B52" t="s">
        <v>741</v>
      </c>
      <c r="C52" t="s">
        <v>94</v>
      </c>
      <c r="D52" t="s">
        <v>55</v>
      </c>
      <c r="E52" t="s">
        <v>1666</v>
      </c>
      <c r="F52" s="1">
        <v>46007.768750000003</v>
      </c>
      <c r="G52" s="1">
        <v>46007.875694444447</v>
      </c>
      <c r="H52">
        <v>145</v>
      </c>
      <c r="I52" t="s">
        <v>95</v>
      </c>
      <c r="J52" t="s">
        <v>31</v>
      </c>
      <c r="K52">
        <v>65</v>
      </c>
      <c r="L52">
        <v>61</v>
      </c>
      <c r="M52" t="s">
        <v>63</v>
      </c>
      <c r="N52" t="s">
        <v>100</v>
      </c>
      <c r="O52">
        <v>3</v>
      </c>
      <c r="P52" t="s">
        <v>80</v>
      </c>
      <c r="Q52">
        <v>86.36</v>
      </c>
      <c r="R52" t="s">
        <v>58</v>
      </c>
      <c r="S52">
        <v>2</v>
      </c>
    </row>
    <row r="53" spans="1:19" x14ac:dyDescent="0.25">
      <c r="A53" t="s">
        <v>1665</v>
      </c>
      <c r="B53" t="s">
        <v>524</v>
      </c>
      <c r="C53" t="s">
        <v>29</v>
      </c>
      <c r="D53" t="s">
        <v>47</v>
      </c>
      <c r="E53" t="s">
        <v>1667</v>
      </c>
      <c r="F53" s="1">
        <v>45521.504861111112</v>
      </c>
      <c r="G53" s="1">
        <v>45521.629166666666</v>
      </c>
      <c r="H53">
        <v>-4</v>
      </c>
      <c r="I53" t="s">
        <v>56</v>
      </c>
      <c r="J53" t="s">
        <v>40</v>
      </c>
      <c r="K53">
        <v>121</v>
      </c>
      <c r="L53">
        <v>45</v>
      </c>
      <c r="N53" t="s">
        <v>33</v>
      </c>
      <c r="O53">
        <v>6</v>
      </c>
      <c r="P53" t="s">
        <v>84</v>
      </c>
      <c r="Q53">
        <v>189.24</v>
      </c>
      <c r="R53" t="s">
        <v>43</v>
      </c>
      <c r="S53">
        <v>2</v>
      </c>
    </row>
    <row r="54" spans="1:19" x14ac:dyDescent="0.25">
      <c r="A54" t="s">
        <v>1855</v>
      </c>
      <c r="B54" t="s">
        <v>60</v>
      </c>
      <c r="C54" t="s">
        <v>37</v>
      </c>
      <c r="D54" t="s">
        <v>47</v>
      </c>
      <c r="E54" t="s">
        <v>1856</v>
      </c>
      <c r="F54" s="1">
        <v>45340.323611111111</v>
      </c>
      <c r="G54" s="1">
        <v>45340.411111111112</v>
      </c>
      <c r="H54">
        <v>30</v>
      </c>
      <c r="I54" t="s">
        <v>90</v>
      </c>
      <c r="J54" t="s">
        <v>150</v>
      </c>
      <c r="K54">
        <v>102</v>
      </c>
      <c r="L54">
        <v>5</v>
      </c>
      <c r="M54" t="s">
        <v>32</v>
      </c>
      <c r="N54" t="s">
        <v>69</v>
      </c>
      <c r="P54" t="s">
        <v>84</v>
      </c>
      <c r="Q54">
        <v>185.22</v>
      </c>
      <c r="R54" t="s">
        <v>75</v>
      </c>
      <c r="S54">
        <v>2</v>
      </c>
    </row>
    <row r="55" spans="1:19" x14ac:dyDescent="0.25">
      <c r="A55" t="s">
        <v>1855</v>
      </c>
      <c r="B55" t="s">
        <v>60</v>
      </c>
      <c r="C55" t="s">
        <v>37</v>
      </c>
      <c r="D55" t="s">
        <v>47</v>
      </c>
      <c r="E55" t="s">
        <v>1856</v>
      </c>
      <c r="F55" s="1">
        <v>45340.323611111111</v>
      </c>
      <c r="G55" s="1">
        <v>45340.411111111112</v>
      </c>
      <c r="H55">
        <v>30</v>
      </c>
      <c r="I55" t="s">
        <v>90</v>
      </c>
      <c r="J55" t="s">
        <v>150</v>
      </c>
      <c r="K55">
        <v>102</v>
      </c>
      <c r="L55">
        <v>5</v>
      </c>
      <c r="M55" t="s">
        <v>32</v>
      </c>
      <c r="N55" t="s">
        <v>69</v>
      </c>
      <c r="P55" t="s">
        <v>84</v>
      </c>
      <c r="Q55">
        <v>185.22</v>
      </c>
      <c r="R55" t="s">
        <v>75</v>
      </c>
      <c r="S55">
        <v>2</v>
      </c>
    </row>
    <row r="56" spans="1:19" x14ac:dyDescent="0.25">
      <c r="A56" t="s">
        <v>1870</v>
      </c>
      <c r="B56" t="s">
        <v>335</v>
      </c>
      <c r="C56" t="s">
        <v>37</v>
      </c>
      <c r="D56" t="s">
        <v>55</v>
      </c>
      <c r="E56">
        <v>45391.340277777781</v>
      </c>
      <c r="F56" s="1"/>
      <c r="G56" s="1">
        <v>45391.361805555556</v>
      </c>
      <c r="H56">
        <v>-4</v>
      </c>
      <c r="I56" t="s">
        <v>83</v>
      </c>
      <c r="J56" t="s">
        <v>79</v>
      </c>
      <c r="K56">
        <v>0</v>
      </c>
      <c r="L56">
        <v>31</v>
      </c>
      <c r="M56" t="s">
        <v>87</v>
      </c>
      <c r="O56" t="s">
        <v>96</v>
      </c>
      <c r="P56" t="s">
        <v>42</v>
      </c>
      <c r="Q56">
        <v>196.24</v>
      </c>
      <c r="R56" t="s">
        <v>58</v>
      </c>
      <c r="S56">
        <v>2</v>
      </c>
    </row>
    <row r="57" spans="1:19" x14ac:dyDescent="0.25">
      <c r="A57" t="s">
        <v>1870</v>
      </c>
      <c r="B57" t="s">
        <v>335</v>
      </c>
      <c r="C57" t="s">
        <v>37</v>
      </c>
      <c r="D57" t="s">
        <v>55</v>
      </c>
      <c r="E57">
        <v>45391.340277777781</v>
      </c>
      <c r="F57" s="1"/>
      <c r="G57" s="1">
        <v>45391.361805555556</v>
      </c>
      <c r="H57">
        <v>-4</v>
      </c>
      <c r="I57" t="s">
        <v>83</v>
      </c>
      <c r="J57" t="s">
        <v>79</v>
      </c>
      <c r="K57">
        <v>0</v>
      </c>
      <c r="L57">
        <v>31</v>
      </c>
      <c r="M57" t="s">
        <v>87</v>
      </c>
      <c r="O57" t="s">
        <v>96</v>
      </c>
      <c r="P57" t="s">
        <v>42</v>
      </c>
      <c r="Q57">
        <v>196.24</v>
      </c>
      <c r="R57" t="s">
        <v>58</v>
      </c>
      <c r="S57">
        <v>2</v>
      </c>
    </row>
    <row r="58" spans="1:19" x14ac:dyDescent="0.25">
      <c r="A58" t="s">
        <v>2008</v>
      </c>
      <c r="B58" t="s">
        <v>1968</v>
      </c>
      <c r="C58" t="s">
        <v>114</v>
      </c>
      <c r="D58" t="s">
        <v>72</v>
      </c>
      <c r="E58">
        <v>45696.78125</v>
      </c>
      <c r="F58" s="1">
        <v>45696.78125</v>
      </c>
      <c r="G58" s="1">
        <v>45696.871527777781</v>
      </c>
      <c r="H58">
        <v>-4</v>
      </c>
      <c r="I58" t="s">
        <v>56</v>
      </c>
      <c r="J58" t="s">
        <v>79</v>
      </c>
      <c r="K58">
        <v>69</v>
      </c>
      <c r="L58">
        <v>61</v>
      </c>
      <c r="M58" t="s">
        <v>32</v>
      </c>
      <c r="N58" t="s">
        <v>103</v>
      </c>
      <c r="P58" t="s">
        <v>34</v>
      </c>
      <c r="Q58">
        <v>156.19</v>
      </c>
      <c r="R58" t="s">
        <v>58</v>
      </c>
      <c r="S58">
        <v>2</v>
      </c>
    </row>
    <row r="59" spans="1:19" x14ac:dyDescent="0.25">
      <c r="A59" t="s">
        <v>2008</v>
      </c>
      <c r="B59" t="s">
        <v>1968</v>
      </c>
      <c r="C59" t="s">
        <v>114</v>
      </c>
      <c r="D59" t="s">
        <v>72</v>
      </c>
      <c r="E59">
        <v>45696.78125</v>
      </c>
      <c r="F59" s="1">
        <v>45696.78125</v>
      </c>
      <c r="G59" s="1">
        <v>45696.871527777781</v>
      </c>
      <c r="H59">
        <v>-4</v>
      </c>
      <c r="I59" t="s">
        <v>56</v>
      </c>
      <c r="J59" t="s">
        <v>79</v>
      </c>
      <c r="K59">
        <v>69</v>
      </c>
      <c r="L59">
        <v>61</v>
      </c>
      <c r="M59" t="s">
        <v>32</v>
      </c>
      <c r="N59" t="s">
        <v>103</v>
      </c>
      <c r="P59" t="s">
        <v>34</v>
      </c>
      <c r="Q59">
        <v>156.19</v>
      </c>
      <c r="R59" t="s">
        <v>58</v>
      </c>
      <c r="S59">
        <v>2</v>
      </c>
    </row>
    <row r="60" spans="1:19" x14ac:dyDescent="0.25">
      <c r="A60" t="s">
        <v>2051</v>
      </c>
      <c r="B60" t="s">
        <v>1083</v>
      </c>
      <c r="C60" t="s">
        <v>86</v>
      </c>
      <c r="D60" t="s">
        <v>20</v>
      </c>
      <c r="E60">
        <v>45325.628472222219</v>
      </c>
      <c r="F60" s="1">
        <v>45325.611805555556</v>
      </c>
      <c r="G60" s="1">
        <v>45325.665972222225</v>
      </c>
      <c r="I60" t="s">
        <v>110</v>
      </c>
      <c r="J60" t="s">
        <v>62</v>
      </c>
      <c r="K60">
        <v>18</v>
      </c>
      <c r="L60">
        <v>36</v>
      </c>
      <c r="M60" t="s">
        <v>63</v>
      </c>
      <c r="N60" t="s">
        <v>33</v>
      </c>
      <c r="O60" t="s">
        <v>96</v>
      </c>
      <c r="P60" t="s">
        <v>84</v>
      </c>
      <c r="Q60">
        <v>0</v>
      </c>
      <c r="R60" t="s">
        <v>58</v>
      </c>
      <c r="S60">
        <v>2</v>
      </c>
    </row>
    <row r="61" spans="1:19" x14ac:dyDescent="0.25">
      <c r="A61" t="s">
        <v>2051</v>
      </c>
      <c r="B61" t="s">
        <v>1734</v>
      </c>
      <c r="C61" t="s">
        <v>94</v>
      </c>
      <c r="D61" t="s">
        <v>209</v>
      </c>
      <c r="E61">
        <v>45876.538194444445</v>
      </c>
      <c r="F61" s="1">
        <v>45876.530555555553</v>
      </c>
      <c r="G61" s="1">
        <v>45876.606944444444</v>
      </c>
      <c r="H61">
        <v>-4</v>
      </c>
      <c r="I61" t="s">
        <v>163</v>
      </c>
      <c r="J61" t="s">
        <v>150</v>
      </c>
      <c r="K61">
        <v>77</v>
      </c>
      <c r="L61">
        <v>22</v>
      </c>
      <c r="M61" t="s">
        <v>41</v>
      </c>
      <c r="N61" t="s">
        <v>103</v>
      </c>
      <c r="O61" t="s">
        <v>96</v>
      </c>
      <c r="Q61">
        <v>298.88</v>
      </c>
      <c r="R61" t="s">
        <v>75</v>
      </c>
      <c r="S61">
        <v>2</v>
      </c>
    </row>
    <row r="62" spans="1:19" x14ac:dyDescent="0.25">
      <c r="A62" t="s">
        <v>2071</v>
      </c>
      <c r="B62" t="s">
        <v>256</v>
      </c>
      <c r="C62" t="s">
        <v>29</v>
      </c>
      <c r="D62" t="s">
        <v>47</v>
      </c>
      <c r="E62">
        <v>45440.732638888891</v>
      </c>
      <c r="F62" s="1">
        <v>45440.727083333331</v>
      </c>
      <c r="G62" s="1">
        <v>45440.788888888892</v>
      </c>
      <c r="H62">
        <v>145</v>
      </c>
      <c r="I62" t="s">
        <v>73</v>
      </c>
      <c r="J62" t="s">
        <v>40</v>
      </c>
      <c r="K62">
        <v>50</v>
      </c>
      <c r="L62">
        <v>31</v>
      </c>
      <c r="M62" t="s">
        <v>87</v>
      </c>
      <c r="N62" t="s">
        <v>24</v>
      </c>
      <c r="O62">
        <v>6</v>
      </c>
      <c r="P62" t="s">
        <v>34</v>
      </c>
      <c r="Q62">
        <v>89.89</v>
      </c>
      <c r="R62" t="s">
        <v>26</v>
      </c>
      <c r="S62">
        <v>2</v>
      </c>
    </row>
    <row r="63" spans="1:19" x14ac:dyDescent="0.25">
      <c r="A63" t="s">
        <v>2071</v>
      </c>
      <c r="B63" t="s">
        <v>1724</v>
      </c>
      <c r="C63" t="s">
        <v>114</v>
      </c>
      <c r="D63" t="s">
        <v>66</v>
      </c>
      <c r="E63" t="s">
        <v>2072</v>
      </c>
      <c r="F63" s="1">
        <v>45673.284722222219</v>
      </c>
      <c r="G63" s="1">
        <v>45673.378472222219</v>
      </c>
      <c r="H63" t="s">
        <v>49</v>
      </c>
      <c r="I63" t="s">
        <v>21</v>
      </c>
      <c r="J63" t="s">
        <v>171</v>
      </c>
      <c r="K63">
        <v>65</v>
      </c>
      <c r="L63">
        <v>45</v>
      </c>
      <c r="M63" t="s">
        <v>68</v>
      </c>
      <c r="N63" t="s">
        <v>91</v>
      </c>
      <c r="O63">
        <v>0</v>
      </c>
      <c r="P63" t="s">
        <v>84</v>
      </c>
      <c r="Q63">
        <v>15.73</v>
      </c>
      <c r="R63" t="s">
        <v>26</v>
      </c>
      <c r="S63">
        <v>2</v>
      </c>
    </row>
    <row r="64" spans="1:19" x14ac:dyDescent="0.25">
      <c r="A64" t="s">
        <v>2103</v>
      </c>
      <c r="B64" t="s">
        <v>564</v>
      </c>
      <c r="C64" t="s">
        <v>46</v>
      </c>
      <c r="D64" t="s">
        <v>209</v>
      </c>
      <c r="E64">
        <v>45523.753472222219</v>
      </c>
      <c r="F64" s="1">
        <v>45523.741666666669</v>
      </c>
      <c r="G64" s="1">
        <v>45523.790972222225</v>
      </c>
      <c r="H64">
        <v>65</v>
      </c>
      <c r="I64" t="s">
        <v>90</v>
      </c>
      <c r="J64" t="s">
        <v>22</v>
      </c>
      <c r="K64">
        <v>49</v>
      </c>
      <c r="L64">
        <v>5</v>
      </c>
      <c r="M64" t="s">
        <v>50</v>
      </c>
      <c r="N64" t="s">
        <v>51</v>
      </c>
      <c r="O64">
        <v>6</v>
      </c>
      <c r="P64" t="s">
        <v>80</v>
      </c>
      <c r="Q64">
        <v>108.62</v>
      </c>
      <c r="R64" t="s">
        <v>75</v>
      </c>
      <c r="S64">
        <v>2</v>
      </c>
    </row>
    <row r="65" spans="1:19" x14ac:dyDescent="0.25">
      <c r="A65" t="s">
        <v>2103</v>
      </c>
      <c r="B65" t="s">
        <v>564</v>
      </c>
      <c r="C65" t="s">
        <v>46</v>
      </c>
      <c r="D65" t="s">
        <v>209</v>
      </c>
      <c r="E65">
        <v>45523.753472222219</v>
      </c>
      <c r="F65" s="1">
        <v>45523.741666666669</v>
      </c>
      <c r="G65" s="1">
        <v>45523.790972222225</v>
      </c>
      <c r="H65">
        <v>65</v>
      </c>
      <c r="I65" t="s">
        <v>90</v>
      </c>
      <c r="J65" t="s">
        <v>22</v>
      </c>
      <c r="K65">
        <v>49</v>
      </c>
      <c r="L65">
        <v>5</v>
      </c>
      <c r="M65" t="s">
        <v>50</v>
      </c>
      <c r="N65" t="s">
        <v>51</v>
      </c>
      <c r="O65">
        <v>6</v>
      </c>
      <c r="P65" t="s">
        <v>80</v>
      </c>
      <c r="Q65">
        <v>108.62</v>
      </c>
      <c r="R65" t="s">
        <v>75</v>
      </c>
      <c r="S65">
        <v>2</v>
      </c>
    </row>
    <row r="66" spans="1:19" x14ac:dyDescent="0.25">
      <c r="A66" t="s">
        <v>2129</v>
      </c>
      <c r="B66" t="s">
        <v>697</v>
      </c>
      <c r="C66" t="s">
        <v>114</v>
      </c>
      <c r="D66" t="s">
        <v>209</v>
      </c>
      <c r="E66">
        <v>45491.555555555555</v>
      </c>
      <c r="F66" s="1">
        <v>45491.545138888891</v>
      </c>
      <c r="G66" s="1">
        <v>45491.620833333334</v>
      </c>
      <c r="H66">
        <v>-4</v>
      </c>
      <c r="I66" t="s">
        <v>39</v>
      </c>
      <c r="J66" t="s">
        <v>22</v>
      </c>
      <c r="K66">
        <v>57</v>
      </c>
      <c r="L66">
        <v>37</v>
      </c>
      <c r="N66" t="s">
        <v>103</v>
      </c>
      <c r="O66">
        <v>0</v>
      </c>
      <c r="P66" t="s">
        <v>42</v>
      </c>
      <c r="Q66">
        <v>290.07</v>
      </c>
      <c r="R66" t="s">
        <v>58</v>
      </c>
      <c r="S66">
        <v>2</v>
      </c>
    </row>
    <row r="67" spans="1:19" x14ac:dyDescent="0.25">
      <c r="A67" t="s">
        <v>2129</v>
      </c>
      <c r="B67" t="s">
        <v>697</v>
      </c>
      <c r="C67" t="s">
        <v>114</v>
      </c>
      <c r="D67" t="s">
        <v>209</v>
      </c>
      <c r="E67">
        <v>45491.555555555555</v>
      </c>
      <c r="F67" s="1">
        <v>45491.545138888891</v>
      </c>
      <c r="G67" s="1">
        <v>45491.620833333334</v>
      </c>
      <c r="H67">
        <v>-4</v>
      </c>
      <c r="I67" t="s">
        <v>39</v>
      </c>
      <c r="J67" t="s">
        <v>22</v>
      </c>
      <c r="K67">
        <v>57</v>
      </c>
      <c r="L67">
        <v>37</v>
      </c>
      <c r="N67" t="s">
        <v>103</v>
      </c>
      <c r="O67">
        <v>0</v>
      </c>
      <c r="P67" t="s">
        <v>42</v>
      </c>
      <c r="Q67">
        <v>290.07</v>
      </c>
      <c r="R67" t="s">
        <v>58</v>
      </c>
      <c r="S67">
        <v>2</v>
      </c>
    </row>
    <row r="68" spans="1:19" x14ac:dyDescent="0.25">
      <c r="A68" t="s">
        <v>2169</v>
      </c>
      <c r="B68" t="s">
        <v>1137</v>
      </c>
      <c r="C68" t="s">
        <v>29</v>
      </c>
      <c r="D68" t="s">
        <v>55</v>
      </c>
      <c r="E68">
        <v>45336.309027777781</v>
      </c>
      <c r="F68" s="1">
        <v>45336.290972222225</v>
      </c>
      <c r="G68" s="1">
        <v>45336.405555555553</v>
      </c>
      <c r="H68">
        <v>-4</v>
      </c>
      <c r="I68" t="s">
        <v>39</v>
      </c>
      <c r="J68" t="s">
        <v>171</v>
      </c>
      <c r="K68">
        <v>70</v>
      </c>
      <c r="L68">
        <v>69</v>
      </c>
      <c r="M68" t="s">
        <v>87</v>
      </c>
      <c r="N68" t="s">
        <v>91</v>
      </c>
      <c r="O68">
        <v>2</v>
      </c>
      <c r="P68" t="s">
        <v>42</v>
      </c>
      <c r="Q68">
        <v>24.05</v>
      </c>
      <c r="R68" t="s">
        <v>26</v>
      </c>
      <c r="S68">
        <v>2</v>
      </c>
    </row>
    <row r="69" spans="1:19" x14ac:dyDescent="0.25">
      <c r="A69" t="s">
        <v>2169</v>
      </c>
      <c r="B69" t="s">
        <v>1137</v>
      </c>
      <c r="C69" t="s">
        <v>29</v>
      </c>
      <c r="D69" t="s">
        <v>55</v>
      </c>
      <c r="E69">
        <v>45336.309027777781</v>
      </c>
      <c r="F69" s="1">
        <v>45336.290972222225</v>
      </c>
      <c r="G69" s="1">
        <v>45336.405555555553</v>
      </c>
      <c r="H69">
        <v>-4</v>
      </c>
      <c r="I69" t="s">
        <v>39</v>
      </c>
      <c r="J69" t="s">
        <v>171</v>
      </c>
      <c r="K69">
        <v>70</v>
      </c>
      <c r="L69">
        <v>69</v>
      </c>
      <c r="M69" t="s">
        <v>87</v>
      </c>
      <c r="N69" t="s">
        <v>91</v>
      </c>
      <c r="O69">
        <v>2</v>
      </c>
      <c r="P69" t="s">
        <v>42</v>
      </c>
      <c r="Q69">
        <v>24.05</v>
      </c>
      <c r="R69" t="s">
        <v>26</v>
      </c>
      <c r="S69">
        <v>2</v>
      </c>
    </row>
    <row r="70" spans="1:19" x14ac:dyDescent="0.25">
      <c r="A70" t="s">
        <v>2361</v>
      </c>
      <c r="B70" t="s">
        <v>480</v>
      </c>
      <c r="C70" t="s">
        <v>37</v>
      </c>
      <c r="D70" t="s">
        <v>61</v>
      </c>
      <c r="E70">
        <v>45602.559027777781</v>
      </c>
      <c r="F70" s="1">
        <v>45454.548611111109</v>
      </c>
      <c r="G70" s="1">
        <v>45454.618055555555</v>
      </c>
      <c r="H70" t="s">
        <v>49</v>
      </c>
      <c r="K70">
        <v>71</v>
      </c>
      <c r="L70">
        <v>14</v>
      </c>
      <c r="M70" t="s">
        <v>63</v>
      </c>
      <c r="N70" t="s">
        <v>74</v>
      </c>
      <c r="P70" t="s">
        <v>80</v>
      </c>
      <c r="Q70">
        <v>164.96</v>
      </c>
      <c r="R70" t="s">
        <v>43</v>
      </c>
      <c r="S70">
        <v>2</v>
      </c>
    </row>
    <row r="71" spans="1:19" x14ac:dyDescent="0.25">
      <c r="A71" t="s">
        <v>2361</v>
      </c>
      <c r="B71" t="s">
        <v>480</v>
      </c>
      <c r="C71" t="s">
        <v>37</v>
      </c>
      <c r="D71" t="s">
        <v>61</v>
      </c>
      <c r="E71">
        <v>45602.559027777781</v>
      </c>
      <c r="F71" s="1">
        <v>45454.548611111109</v>
      </c>
      <c r="G71" s="1">
        <v>45454.618055555555</v>
      </c>
      <c r="H71" t="s">
        <v>49</v>
      </c>
      <c r="K71">
        <v>71</v>
      </c>
      <c r="L71">
        <v>14</v>
      </c>
      <c r="M71" t="s">
        <v>63</v>
      </c>
      <c r="N71" t="s">
        <v>74</v>
      </c>
      <c r="P71" t="s">
        <v>80</v>
      </c>
      <c r="Q71">
        <v>164.96</v>
      </c>
      <c r="R71" t="s">
        <v>43</v>
      </c>
      <c r="S71">
        <v>2</v>
      </c>
    </row>
    <row r="72" spans="1:19" x14ac:dyDescent="0.25">
      <c r="A72" t="s">
        <v>2451</v>
      </c>
      <c r="B72" t="s">
        <v>167</v>
      </c>
      <c r="C72" t="s">
        <v>94</v>
      </c>
      <c r="D72" t="s">
        <v>174</v>
      </c>
      <c r="E72">
        <v>45983.618055555555</v>
      </c>
      <c r="F72" s="1">
        <v>45983.6</v>
      </c>
      <c r="G72" s="1">
        <v>45983.736111111109</v>
      </c>
      <c r="I72" t="s">
        <v>21</v>
      </c>
      <c r="J72" t="s">
        <v>79</v>
      </c>
      <c r="K72">
        <v>82</v>
      </c>
      <c r="L72">
        <v>600</v>
      </c>
      <c r="M72" t="s">
        <v>50</v>
      </c>
      <c r="N72" t="s">
        <v>100</v>
      </c>
      <c r="O72" t="s">
        <v>96</v>
      </c>
      <c r="P72" t="s">
        <v>42</v>
      </c>
      <c r="Q72">
        <v>209.64</v>
      </c>
      <c r="R72" t="s">
        <v>26</v>
      </c>
      <c r="S72">
        <v>2</v>
      </c>
    </row>
    <row r="73" spans="1:19" x14ac:dyDescent="0.25">
      <c r="A73" t="s">
        <v>2451</v>
      </c>
      <c r="B73" t="s">
        <v>167</v>
      </c>
      <c r="C73" t="s">
        <v>94</v>
      </c>
      <c r="D73" t="s">
        <v>174</v>
      </c>
      <c r="E73">
        <v>45983.618055555555</v>
      </c>
      <c r="F73" s="1">
        <v>45983.6</v>
      </c>
      <c r="G73" s="1">
        <v>45983.736111111109</v>
      </c>
      <c r="I73" t="s">
        <v>21</v>
      </c>
      <c r="J73" t="s">
        <v>79</v>
      </c>
      <c r="K73">
        <v>82</v>
      </c>
      <c r="L73">
        <v>600</v>
      </c>
      <c r="M73" t="s">
        <v>50</v>
      </c>
      <c r="N73" t="s">
        <v>100</v>
      </c>
      <c r="O73" t="s">
        <v>96</v>
      </c>
      <c r="P73" t="s">
        <v>42</v>
      </c>
      <c r="Q73">
        <v>209.64</v>
      </c>
      <c r="R73" t="s">
        <v>26</v>
      </c>
      <c r="S73">
        <v>2</v>
      </c>
    </row>
    <row r="74" spans="1:19" x14ac:dyDescent="0.25">
      <c r="A74" t="s">
        <v>2461</v>
      </c>
      <c r="B74" t="s">
        <v>2089</v>
      </c>
      <c r="C74" t="s">
        <v>46</v>
      </c>
      <c r="D74" t="s">
        <v>99</v>
      </c>
      <c r="E74">
        <v>45942.517361111109</v>
      </c>
      <c r="F74" s="1">
        <v>46001.497916666667</v>
      </c>
      <c r="G74" s="1">
        <v>46001.556250000001</v>
      </c>
      <c r="H74">
        <v>85</v>
      </c>
      <c r="I74" t="s">
        <v>95</v>
      </c>
      <c r="J74" t="s">
        <v>171</v>
      </c>
      <c r="K74">
        <v>51</v>
      </c>
      <c r="L74">
        <v>5</v>
      </c>
      <c r="M74" t="s">
        <v>68</v>
      </c>
      <c r="P74" t="s">
        <v>80</v>
      </c>
      <c r="Q74">
        <v>327.17</v>
      </c>
      <c r="R74" t="s">
        <v>58</v>
      </c>
      <c r="S74">
        <v>2</v>
      </c>
    </row>
    <row r="75" spans="1:19" x14ac:dyDescent="0.25">
      <c r="A75" t="s">
        <v>2461</v>
      </c>
      <c r="B75" t="s">
        <v>2089</v>
      </c>
      <c r="C75" t="s">
        <v>46</v>
      </c>
      <c r="D75" t="s">
        <v>99</v>
      </c>
      <c r="E75">
        <v>45942.517361111109</v>
      </c>
      <c r="F75" s="1">
        <v>46001.497916666667</v>
      </c>
      <c r="G75" s="1">
        <v>46001.556250000001</v>
      </c>
      <c r="H75">
        <v>85</v>
      </c>
      <c r="I75" t="s">
        <v>95</v>
      </c>
      <c r="J75" t="s">
        <v>171</v>
      </c>
      <c r="K75">
        <v>51</v>
      </c>
      <c r="L75">
        <v>5</v>
      </c>
      <c r="M75" t="s">
        <v>68</v>
      </c>
      <c r="P75" t="s">
        <v>80</v>
      </c>
      <c r="Q75">
        <v>327.17</v>
      </c>
      <c r="R75" t="s">
        <v>58</v>
      </c>
      <c r="S75">
        <v>2</v>
      </c>
    </row>
    <row r="76" spans="1:19" x14ac:dyDescent="0.25">
      <c r="A76" t="s">
        <v>2501</v>
      </c>
      <c r="B76" t="s">
        <v>588</v>
      </c>
      <c r="C76" t="s">
        <v>37</v>
      </c>
      <c r="D76" t="s">
        <v>72</v>
      </c>
      <c r="E76">
        <v>45296.725694444445</v>
      </c>
      <c r="F76" s="1">
        <v>45296.724999999999</v>
      </c>
      <c r="G76" s="1">
        <v>45296.754861111112</v>
      </c>
      <c r="H76" t="s">
        <v>49</v>
      </c>
      <c r="I76" t="s">
        <v>73</v>
      </c>
      <c r="J76" t="s">
        <v>40</v>
      </c>
      <c r="K76">
        <v>37</v>
      </c>
      <c r="L76">
        <v>5</v>
      </c>
      <c r="M76" t="s">
        <v>23</v>
      </c>
      <c r="N76" t="s">
        <v>51</v>
      </c>
      <c r="O76">
        <v>4</v>
      </c>
      <c r="P76" t="s">
        <v>52</v>
      </c>
      <c r="Q76">
        <v>210.35</v>
      </c>
      <c r="R76" t="s">
        <v>58</v>
      </c>
      <c r="S76">
        <v>2</v>
      </c>
    </row>
    <row r="77" spans="1:19" x14ac:dyDescent="0.25">
      <c r="A77" t="s">
        <v>2501</v>
      </c>
      <c r="B77" t="s">
        <v>584</v>
      </c>
      <c r="C77" t="s">
        <v>19</v>
      </c>
      <c r="D77" t="s">
        <v>38</v>
      </c>
      <c r="E77">
        <v>45485.420138888891</v>
      </c>
      <c r="F77" s="1">
        <v>45485.414583333331</v>
      </c>
      <c r="G77" s="1">
        <v>45485.443055555559</v>
      </c>
      <c r="H77">
        <v>20</v>
      </c>
      <c r="I77" t="s">
        <v>163</v>
      </c>
      <c r="J77" t="s">
        <v>150</v>
      </c>
      <c r="K77">
        <v>9</v>
      </c>
      <c r="L77">
        <v>24</v>
      </c>
      <c r="M77" t="s">
        <v>68</v>
      </c>
      <c r="N77" t="s">
        <v>33</v>
      </c>
      <c r="O77">
        <v>6</v>
      </c>
      <c r="P77" t="s">
        <v>80</v>
      </c>
      <c r="Q77">
        <v>124.39</v>
      </c>
      <c r="R77" t="s">
        <v>26</v>
      </c>
      <c r="S77">
        <v>2</v>
      </c>
    </row>
    <row r="78" spans="1:19" x14ac:dyDescent="0.25">
      <c r="A78" t="s">
        <v>2509</v>
      </c>
      <c r="B78" t="s">
        <v>467</v>
      </c>
      <c r="C78" t="s">
        <v>94</v>
      </c>
      <c r="D78" t="s">
        <v>99</v>
      </c>
      <c r="E78">
        <v>45767.322916666664</v>
      </c>
      <c r="F78" s="1">
        <v>45767.303472222222</v>
      </c>
      <c r="G78" s="1"/>
      <c r="H78">
        <v>145</v>
      </c>
      <c r="I78" t="s">
        <v>110</v>
      </c>
      <c r="J78" t="s">
        <v>67</v>
      </c>
      <c r="K78">
        <v>43</v>
      </c>
      <c r="L78">
        <v>48</v>
      </c>
      <c r="M78" t="s">
        <v>87</v>
      </c>
      <c r="N78" t="s">
        <v>103</v>
      </c>
      <c r="O78">
        <v>2</v>
      </c>
      <c r="P78" t="s">
        <v>25</v>
      </c>
      <c r="Q78">
        <v>154.88</v>
      </c>
      <c r="R78" t="s">
        <v>75</v>
      </c>
      <c r="S78">
        <v>2</v>
      </c>
    </row>
    <row r="79" spans="1:19" x14ac:dyDescent="0.25">
      <c r="A79" t="s">
        <v>2509</v>
      </c>
      <c r="B79" t="s">
        <v>307</v>
      </c>
      <c r="C79" t="s">
        <v>37</v>
      </c>
      <c r="D79" t="s">
        <v>72</v>
      </c>
      <c r="E79">
        <v>45410.295138888891</v>
      </c>
      <c r="F79" s="1">
        <v>45410.275000000001</v>
      </c>
      <c r="G79" s="1">
        <v>45410.351388888892</v>
      </c>
      <c r="H79">
        <v>-4</v>
      </c>
      <c r="I79" t="s">
        <v>95</v>
      </c>
      <c r="J79" t="s">
        <v>22</v>
      </c>
      <c r="K79">
        <v>53</v>
      </c>
      <c r="L79">
        <v>28</v>
      </c>
      <c r="M79" t="s">
        <v>68</v>
      </c>
      <c r="N79" t="s">
        <v>57</v>
      </c>
      <c r="O79">
        <v>5</v>
      </c>
      <c r="P79" t="s">
        <v>25</v>
      </c>
      <c r="Q79">
        <v>204.73</v>
      </c>
      <c r="R79" t="s">
        <v>75</v>
      </c>
      <c r="S7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9183-BAAF-4E74-B505-D73F3684BA7B}">
  <dimension ref="A1:X1823"/>
  <sheetViews>
    <sheetView workbookViewId="0">
      <selection activeCell="A2" sqref="A2"/>
    </sheetView>
  </sheetViews>
  <sheetFormatPr defaultRowHeight="15" x14ac:dyDescent="0.25"/>
  <cols>
    <col min="1" max="1" width="17.28515625" style="2" customWidth="1"/>
    <col min="2" max="2" width="12.140625" style="2" customWidth="1"/>
    <col min="3" max="3" width="23" style="3" customWidth="1"/>
    <col min="4" max="4" width="21.5703125" style="3" customWidth="1"/>
    <col min="5" max="5" width="23.7109375" style="4" customWidth="1"/>
    <col min="6" max="6" width="17.7109375" style="4" customWidth="1"/>
    <col min="7" max="7" width="20.85546875" style="4" customWidth="1"/>
    <col min="8" max="8" width="10" style="5" customWidth="1"/>
    <col min="9" max="9" width="15.5703125" style="3" customWidth="1"/>
    <col min="10" max="10" width="21.140625" style="3" customWidth="1"/>
    <col min="11" max="11" width="22.85546875" style="5" customWidth="1"/>
    <col min="12" max="12" width="31.140625" style="5" customWidth="1"/>
    <col min="13" max="13" width="16.85546875" style="3" customWidth="1"/>
    <col min="14" max="14" width="16.28515625" customWidth="1"/>
    <col min="15" max="15" width="21" style="5" customWidth="1"/>
    <col min="16" max="16" width="20.42578125" style="3" customWidth="1"/>
    <col min="17" max="17" width="11.140625" style="2" customWidth="1"/>
    <col min="18" max="18" width="14" style="3" customWidth="1"/>
    <col min="20" max="20" width="17.85546875" customWidth="1"/>
  </cols>
  <sheetData>
    <row r="1" spans="1:24" x14ac:dyDescent="0.25">
      <c r="A1" s="2" t="s">
        <v>2582</v>
      </c>
      <c r="B1" s="2" t="s">
        <v>0</v>
      </c>
      <c r="C1" s="3" t="s">
        <v>2569</v>
      </c>
      <c r="D1" s="3" t="s">
        <v>2</v>
      </c>
      <c r="E1" s="4" t="s">
        <v>3</v>
      </c>
      <c r="F1" s="4" t="s">
        <v>4</v>
      </c>
      <c r="G1" s="4" t="s">
        <v>5</v>
      </c>
      <c r="H1" s="5" t="s">
        <v>2570</v>
      </c>
      <c r="I1" s="3" t="s">
        <v>7</v>
      </c>
      <c r="J1" s="3" t="s">
        <v>8</v>
      </c>
      <c r="K1" s="5" t="s">
        <v>9</v>
      </c>
      <c r="L1" s="5" t="s">
        <v>10</v>
      </c>
      <c r="M1" s="3" t="s">
        <v>11</v>
      </c>
      <c r="N1" t="s">
        <v>12</v>
      </c>
      <c r="O1" s="5" t="s">
        <v>13</v>
      </c>
      <c r="P1" s="3" t="s">
        <v>14</v>
      </c>
      <c r="Q1" s="2" t="s">
        <v>15</v>
      </c>
      <c r="R1" s="3" t="s">
        <v>16</v>
      </c>
      <c r="S1" t="s">
        <v>2581</v>
      </c>
      <c r="T1" t="s">
        <v>2600</v>
      </c>
      <c r="U1" t="s">
        <v>2605</v>
      </c>
      <c r="V1" t="s">
        <v>2609</v>
      </c>
      <c r="W1" t="s">
        <v>2627</v>
      </c>
      <c r="X1" t="s">
        <v>2632</v>
      </c>
    </row>
    <row r="2" spans="1:24" x14ac:dyDescent="0.25">
      <c r="A2" s="2" t="s">
        <v>17</v>
      </c>
      <c r="B2" s="2" t="s">
        <v>18</v>
      </c>
      <c r="C2" s="3" t="s">
        <v>19</v>
      </c>
      <c r="D2" s="3" t="s">
        <v>20</v>
      </c>
      <c r="E2" s="4">
        <v>45946.333333333336</v>
      </c>
      <c r="F2" s="4">
        <v>45946.313888888886</v>
      </c>
      <c r="G2" s="4">
        <v>45946.405555555553</v>
      </c>
      <c r="H2" s="5">
        <v>75</v>
      </c>
      <c r="I2" s="3" t="s">
        <v>95</v>
      </c>
      <c r="J2" s="3" t="s">
        <v>22</v>
      </c>
      <c r="K2" s="5">
        <v>75</v>
      </c>
      <c r="L2" s="5">
        <v>29</v>
      </c>
      <c r="M2" s="3" t="s">
        <v>23</v>
      </c>
      <c r="N2" t="s">
        <v>24</v>
      </c>
      <c r="O2" s="5">
        <v>6</v>
      </c>
      <c r="P2" s="3" t="s">
        <v>25</v>
      </c>
      <c r="Q2" s="2">
        <v>196.82</v>
      </c>
      <c r="R2" s="3" t="s">
        <v>26</v>
      </c>
      <c r="S2">
        <f>COUNTIF(A:A,A2)</f>
        <v>1</v>
      </c>
      <c r="T2" t="str">
        <f>IF(OR(H2="",LOWER(TRIM(H2&amp;""))="missing",LOWER(TRIM(H2&amp;""))=""),"Missing/",IFERROR(IF(OR(VALUE(H2)&lt;0,VALUE(H2)&gt;110),"Invalid","Valid"),"Check Format"))</f>
        <v>Valid</v>
      </c>
      <c r="U2">
        <f>IF(Raw_Data[[#This Row],[Age_Check]]="Valid",H2,"")</f>
        <v>75</v>
      </c>
      <c r="V2" t="str">
        <f>IF(OR(K2="",UPPER(TRIM(K2&amp;""))="",LOWER(TRIM(K2&amp;""))="",LOWER(TRIM(K2&amp;""))="",LOWER(TRIM(K2&amp;""))="missing"),"Missing/",IFERROR(IF(VALUE(K2)&lt;0,"Invalid","Valid"),"Check Format"))</f>
        <v>Valid</v>
      </c>
      <c r="W2" t="str">
        <f>IF(OR(E2="",F2=""),"Missing Date/Time",IFERROR(IF(F2&gt;E2,"Arrival After Appointment","OK"),"Check Format"))</f>
        <v>OK</v>
      </c>
      <c r="X2" t="str">
        <f>IF(OR(F2="",G2=""),"Missing Date/Time",IFERROR(IF(G2&lt;F2,"Discharge Before Arrival","OK"),"Check Format"))</f>
        <v>OK</v>
      </c>
    </row>
    <row r="3" spans="1:24" x14ac:dyDescent="0.25">
      <c r="A3" s="2" t="s">
        <v>27</v>
      </c>
      <c r="B3" s="2" t="s">
        <v>28</v>
      </c>
      <c r="C3" s="3" t="s">
        <v>29</v>
      </c>
      <c r="D3" s="3" t="s">
        <v>30</v>
      </c>
      <c r="E3" s="4">
        <v>45474.413194444445</v>
      </c>
      <c r="F3" s="4">
        <v>45298.404861111114</v>
      </c>
      <c r="I3" s="3" t="s">
        <v>95</v>
      </c>
      <c r="J3" s="3" t="s">
        <v>67</v>
      </c>
      <c r="K3" s="5">
        <v>111</v>
      </c>
      <c r="L3" s="5">
        <v>27</v>
      </c>
      <c r="M3" s="3" t="s">
        <v>32</v>
      </c>
      <c r="O3" s="5">
        <v>1</v>
      </c>
      <c r="P3" s="3" t="s">
        <v>25</v>
      </c>
      <c r="Q3" s="2">
        <v>126.27</v>
      </c>
      <c r="R3" s="3" t="s">
        <v>26</v>
      </c>
      <c r="S3">
        <f>COUNTIF(A:A,A3)</f>
        <v>1</v>
      </c>
      <c r="T3" t="str">
        <f>IF(OR(H3="",LOWER(TRIM(H3&amp;""))="missing",LOWER(TRIM(H3&amp;""))=""),"Missing/",IFERROR(IF(OR(VALUE(H3)&lt;0,VALUE(H3)&gt;110),"Invalid","Valid"),"Check Format"))</f>
        <v>Missing/</v>
      </c>
      <c r="U3" t="str">
        <f>IF(Raw_Data[[#This Row],[Age_Check]]="Valid",H3,"")</f>
        <v/>
      </c>
      <c r="V3" t="str">
        <f>IF(OR(K3="",UPPER(TRIM(K3&amp;""))="",LOWER(TRIM(K3&amp;""))="",LOWER(TRIM(K3&amp;""))="",LOWER(TRIM(K3&amp;""))="missing"),"Missing/",IFERROR(IF(VALUE(K3)&lt;0,"Invalid","Valid"),"Check Format"))</f>
        <v>Valid</v>
      </c>
      <c r="W3" t="str">
        <f>IF(OR(E3="",F3=""),"Missing Date/Time",IFERROR(IF(F3&gt;E3,"Arrival After Appointment","OK"),"Check Format"))</f>
        <v>OK</v>
      </c>
      <c r="X3" t="str">
        <f>IF(OR(F3="",G3=""),"Missing Date/Time",IFERROR(IF(G3&lt;F3,"Discharge Before Arrival","OK"),"Check Format"))</f>
        <v>Missing Date/Time</v>
      </c>
    </row>
    <row r="4" spans="1:24" x14ac:dyDescent="0.25">
      <c r="A4" s="2" t="s">
        <v>35</v>
      </c>
      <c r="B4" s="2" t="s">
        <v>36</v>
      </c>
      <c r="C4" s="3" t="s">
        <v>37</v>
      </c>
      <c r="D4" s="3" t="s">
        <v>38</v>
      </c>
      <c r="E4" s="4">
        <v>45629.326388888891</v>
      </c>
      <c r="F4" s="4">
        <v>45363.318055555559</v>
      </c>
      <c r="G4" s="4">
        <v>45363.436111111114</v>
      </c>
      <c r="H4" s="5">
        <v>46</v>
      </c>
      <c r="I4" s="3" t="s">
        <v>39</v>
      </c>
      <c r="J4" s="3" t="s">
        <v>2639</v>
      </c>
      <c r="K4" s="5">
        <v>113</v>
      </c>
      <c r="L4" s="5">
        <v>45</v>
      </c>
      <c r="M4" s="3" t="s">
        <v>41</v>
      </c>
      <c r="N4" t="s">
        <v>24</v>
      </c>
      <c r="O4" s="5">
        <v>6</v>
      </c>
      <c r="P4" s="3" t="s">
        <v>42</v>
      </c>
      <c r="Q4" s="2">
        <v>107.44</v>
      </c>
      <c r="R4" s="3" t="s">
        <v>43</v>
      </c>
      <c r="S4">
        <f>COUNTIF(A:A,A4)</f>
        <v>1</v>
      </c>
      <c r="T4" t="str">
        <f>IF(OR(H4="",LOWER(TRIM(H4&amp;""))="missing",LOWER(TRIM(H4&amp;""))=""),"Missing/",IFERROR(IF(OR(VALUE(H4)&lt;0,VALUE(H4)&gt;110),"Invalid","Valid"),"Check Format"))</f>
        <v>Valid</v>
      </c>
      <c r="U4">
        <f>IF(Raw_Data[[#This Row],[Age_Check]]="Valid",H4,"")</f>
        <v>46</v>
      </c>
      <c r="V4" t="str">
        <f>IF(OR(K4="",UPPER(TRIM(K4&amp;""))="",LOWER(TRIM(K4&amp;""))="",LOWER(TRIM(K4&amp;""))="",LOWER(TRIM(K4&amp;""))="missing"),"Missing/",IFERROR(IF(VALUE(K4)&lt;0,"Invalid","Valid"),"Check Format"))</f>
        <v>Valid</v>
      </c>
      <c r="W4" t="str">
        <f>IF(OR(E4="",F4=""),"Missing Date/Time",IFERROR(IF(F4&gt;E4,"Arrival After Appointment","OK"),"Check Format"))</f>
        <v>OK</v>
      </c>
      <c r="X4" t="str">
        <f>IF(OR(F4="",G4=""),"Missing Date/Time",IFERROR(IF(G4&lt;F4,"Discharge Before Arrival","OK"),"Check Format"))</f>
        <v>OK</v>
      </c>
    </row>
    <row r="5" spans="1:24" x14ac:dyDescent="0.25">
      <c r="A5" s="2" t="s">
        <v>44</v>
      </c>
      <c r="B5" s="2" t="s">
        <v>45</v>
      </c>
      <c r="C5" s="3" t="s">
        <v>46</v>
      </c>
      <c r="D5" s="3" t="s">
        <v>47</v>
      </c>
      <c r="E5" s="4" t="s">
        <v>48</v>
      </c>
      <c r="F5" s="4">
        <v>45947.769444444442</v>
      </c>
      <c r="G5" s="4">
        <v>45947.84652777778</v>
      </c>
      <c r="I5" s="3" t="s">
        <v>39</v>
      </c>
      <c r="J5" s="3" t="s">
        <v>2639</v>
      </c>
      <c r="K5" s="5">
        <v>76</v>
      </c>
      <c r="L5" s="5">
        <v>23</v>
      </c>
      <c r="M5" s="3" t="s">
        <v>50</v>
      </c>
      <c r="N5" t="s">
        <v>24</v>
      </c>
      <c r="O5" s="5">
        <v>4</v>
      </c>
      <c r="P5" s="3" t="s">
        <v>25</v>
      </c>
      <c r="Q5" s="2">
        <v>107.74</v>
      </c>
      <c r="R5" s="3" t="s">
        <v>26</v>
      </c>
      <c r="S5">
        <f>COUNTIF(A:A,A5)</f>
        <v>1</v>
      </c>
      <c r="T5" t="str">
        <f>IF(OR(H5="",LOWER(TRIM(H5&amp;""))="missing",LOWER(TRIM(H5&amp;""))=""),"Missing/",IFERROR(IF(OR(VALUE(H5)&lt;0,VALUE(H5)&gt;110),"Invalid","Valid"),"Check Format"))</f>
        <v>Missing/</v>
      </c>
      <c r="U5" t="str">
        <f>IF(Raw_Data[[#This Row],[Age_Check]]="Valid",H5,"")</f>
        <v/>
      </c>
      <c r="V5" t="str">
        <f>IF(OR(K5="",UPPER(TRIM(K5&amp;""))="",LOWER(TRIM(K5&amp;""))="",LOWER(TRIM(K5&amp;""))="",LOWER(TRIM(K5&amp;""))="missing"),"Missing/",IFERROR(IF(VALUE(K5)&lt;0,"Invalid","Valid"),"Check Format"))</f>
        <v>Valid</v>
      </c>
      <c r="W5" t="str">
        <f>IF(OR(E5="",F5=""),"Missing Date/Time",IFERROR(IF(F5&gt;E5,"Arrival After Appointment","OK"),"Check Format"))</f>
        <v>OK</v>
      </c>
      <c r="X5" t="str">
        <f>IF(OR(F5="",G5=""),"Missing Date/Time",IFERROR(IF(G5&lt;F5,"Discharge Before Arrival","OK"),"Check Format"))</f>
        <v>OK</v>
      </c>
    </row>
    <row r="6" spans="1:24" x14ac:dyDescent="0.25">
      <c r="A6" s="2" t="s">
        <v>53</v>
      </c>
      <c r="B6" s="2" t="s">
        <v>54</v>
      </c>
      <c r="C6" s="3" t="s">
        <v>46</v>
      </c>
      <c r="D6" s="3" t="s">
        <v>55</v>
      </c>
      <c r="E6" s="4">
        <v>45889.559027777781</v>
      </c>
      <c r="F6" s="4">
        <v>45889.556250000001</v>
      </c>
      <c r="G6" s="4">
        <v>45889.60833333333</v>
      </c>
      <c r="H6" s="5">
        <v>145</v>
      </c>
      <c r="I6" s="3" t="s">
        <v>73</v>
      </c>
      <c r="J6" s="3" t="s">
        <v>2639</v>
      </c>
      <c r="K6" s="5">
        <v>66</v>
      </c>
      <c r="L6" s="5">
        <v>5</v>
      </c>
      <c r="N6" t="s">
        <v>69</v>
      </c>
      <c r="O6" s="5">
        <v>6</v>
      </c>
      <c r="P6" s="3" t="s">
        <v>25</v>
      </c>
      <c r="Q6" s="2">
        <v>7.01</v>
      </c>
      <c r="R6" s="3" t="s">
        <v>58</v>
      </c>
      <c r="S6">
        <f>COUNTIF(A:A,A6)</f>
        <v>1</v>
      </c>
      <c r="T6" t="str">
        <f>IF(OR(H6="",LOWER(TRIM(H6&amp;""))="missing",LOWER(TRIM(H6&amp;""))=""),"Missing/",IFERROR(IF(OR(VALUE(H6)&lt;0,VALUE(H6)&gt;110),"Invalid","Valid"),"Check Format"))</f>
        <v>Invalid</v>
      </c>
      <c r="U6" t="str">
        <f>IF(Raw_Data[[#This Row],[Age_Check]]="Valid",H6,"")</f>
        <v/>
      </c>
      <c r="V6" t="str">
        <f>IF(OR(K6="",UPPER(TRIM(K6&amp;""))="",LOWER(TRIM(K6&amp;""))="",LOWER(TRIM(K6&amp;""))="",LOWER(TRIM(K6&amp;""))="missing"),"Missing/",IFERROR(IF(VALUE(K6)&lt;0,"Invalid","Valid"),"Check Format"))</f>
        <v>Valid</v>
      </c>
      <c r="W6" t="str">
        <f>IF(OR(E6="",F6=""),"Missing Date/Time",IFERROR(IF(F6&gt;E6,"Arrival After Appointment","OK"),"Check Format"))</f>
        <v>OK</v>
      </c>
      <c r="X6" t="str">
        <f>IF(OR(F6="",G6=""),"Missing Date/Time",IFERROR(IF(G6&lt;F6,"Discharge Before Arrival","OK"),"Check Format"))</f>
        <v>OK</v>
      </c>
    </row>
    <row r="7" spans="1:24" x14ac:dyDescent="0.25">
      <c r="A7" s="2" t="s">
        <v>59</v>
      </c>
      <c r="B7" s="2" t="s">
        <v>60</v>
      </c>
      <c r="C7" s="3" t="s">
        <v>46</v>
      </c>
      <c r="D7" s="3" t="s">
        <v>61</v>
      </c>
      <c r="E7" s="4">
        <v>45565.725694444445</v>
      </c>
      <c r="F7" s="4">
        <v>45565.706250000003</v>
      </c>
      <c r="G7" s="4">
        <v>45565.761111111111</v>
      </c>
      <c r="H7" s="5">
        <v>145</v>
      </c>
      <c r="I7" s="3" t="s">
        <v>73</v>
      </c>
      <c r="J7" s="3" t="s">
        <v>62</v>
      </c>
      <c r="K7" s="5">
        <v>38</v>
      </c>
      <c r="L7" s="5">
        <v>13</v>
      </c>
      <c r="M7" s="3" t="s">
        <v>63</v>
      </c>
      <c r="O7" s="5">
        <v>2</v>
      </c>
      <c r="P7" s="3" t="s">
        <v>25</v>
      </c>
      <c r="Q7" s="2">
        <v>170.14</v>
      </c>
      <c r="R7" s="3" t="s">
        <v>26</v>
      </c>
      <c r="S7">
        <f>COUNTIF(A:A,A7)</f>
        <v>1</v>
      </c>
      <c r="T7" t="str">
        <f>IF(OR(H7="",LOWER(TRIM(H7&amp;""))="missing",LOWER(TRIM(H7&amp;""))=""),"Missing/",IFERROR(IF(OR(VALUE(H7)&lt;0,VALUE(H7)&gt;110),"Invalid","Valid"),"Check Format"))</f>
        <v>Invalid</v>
      </c>
      <c r="U7" t="str">
        <f>IF(Raw_Data[[#This Row],[Age_Check]]="Valid",H7,"")</f>
        <v/>
      </c>
      <c r="V7" t="str">
        <f>IF(OR(K7="",UPPER(TRIM(K7&amp;""))="",LOWER(TRIM(K7&amp;""))="",LOWER(TRIM(K7&amp;""))="",LOWER(TRIM(K7&amp;""))="missing"),"Missing/",IFERROR(IF(VALUE(K7)&lt;0,"Invalid","Valid"),"Check Format"))</f>
        <v>Valid</v>
      </c>
      <c r="W7" t="str">
        <f>IF(OR(E7="",F7=""),"Missing Date/Time",IFERROR(IF(F7&gt;E7,"Arrival After Appointment","OK"),"Check Format"))</f>
        <v>OK</v>
      </c>
      <c r="X7" t="str">
        <f>IF(OR(F7="",G7=""),"Missing Date/Time",IFERROR(IF(G7&lt;F7,"Discharge Before Arrival","OK"),"Check Format"))</f>
        <v>OK</v>
      </c>
    </row>
    <row r="8" spans="1:24" x14ac:dyDescent="0.25">
      <c r="A8" s="2" t="s">
        <v>64</v>
      </c>
      <c r="B8" s="2" t="s">
        <v>65</v>
      </c>
      <c r="C8" s="3" t="s">
        <v>46</v>
      </c>
      <c r="D8" s="3" t="s">
        <v>66</v>
      </c>
      <c r="E8" s="4">
        <v>45786.524305555555</v>
      </c>
      <c r="F8" s="4">
        <v>45905.511805555558</v>
      </c>
      <c r="G8" s="4">
        <v>45905.546527777777</v>
      </c>
      <c r="I8" s="3" t="s">
        <v>73</v>
      </c>
      <c r="J8" s="3" t="s">
        <v>67</v>
      </c>
      <c r="K8" s="5">
        <v>26</v>
      </c>
      <c r="L8" s="5">
        <v>6</v>
      </c>
      <c r="M8" s="3" t="s">
        <v>68</v>
      </c>
      <c r="N8" t="s">
        <v>69</v>
      </c>
      <c r="O8" s="5">
        <v>5</v>
      </c>
      <c r="P8" s="3" t="s">
        <v>25</v>
      </c>
      <c r="Q8" s="2">
        <v>262.25</v>
      </c>
      <c r="R8" s="3" t="s">
        <v>26</v>
      </c>
      <c r="S8">
        <f>COUNTIF(A:A,A8)</f>
        <v>1</v>
      </c>
      <c r="T8" t="str">
        <f>IF(OR(H8="",LOWER(TRIM(H8&amp;""))="missing",LOWER(TRIM(H8&amp;""))=""),"Missing/",IFERROR(IF(OR(VALUE(H8)&lt;0,VALUE(H8)&gt;110),"Invalid","Valid"),"Check Format"))</f>
        <v>Missing/</v>
      </c>
      <c r="U8" t="str">
        <f>IF(Raw_Data[[#This Row],[Age_Check]]="Valid",H8,"")</f>
        <v/>
      </c>
      <c r="V8" t="str">
        <f>IF(OR(K8="",UPPER(TRIM(K8&amp;""))="",LOWER(TRIM(K8&amp;""))="",LOWER(TRIM(K8&amp;""))="",LOWER(TRIM(K8&amp;""))="missing"),"Missing/",IFERROR(IF(VALUE(K8)&lt;0,"Invalid","Valid"),"Check Format"))</f>
        <v>Valid</v>
      </c>
      <c r="W8" t="str">
        <f>IF(OR(E8="",F8=""),"Missing Date/Time",IFERROR(IF(F8&gt;E8,"Arrival After Appointment","OK"),"Check Format"))</f>
        <v>Arrival After Appointment</v>
      </c>
      <c r="X8" t="str">
        <f>IF(OR(F8="",G8=""),"Missing Date/Time",IFERROR(IF(G8&lt;F8,"Discharge Before Arrival","OK"),"Check Format"))</f>
        <v>OK</v>
      </c>
    </row>
    <row r="9" spans="1:24" x14ac:dyDescent="0.25">
      <c r="A9" s="2" t="s">
        <v>70</v>
      </c>
      <c r="B9" s="2" t="s">
        <v>71</v>
      </c>
      <c r="D9" s="3" t="s">
        <v>72</v>
      </c>
      <c r="E9" s="4">
        <v>45850.454861111109</v>
      </c>
      <c r="F9" s="4">
        <v>45998.45</v>
      </c>
      <c r="H9" s="5">
        <v>145</v>
      </c>
      <c r="I9" s="3" t="s">
        <v>73</v>
      </c>
      <c r="J9" s="3" t="s">
        <v>22</v>
      </c>
      <c r="K9" s="5">
        <v>50</v>
      </c>
      <c r="L9" s="5">
        <v>33</v>
      </c>
      <c r="M9" s="3" t="s">
        <v>50</v>
      </c>
      <c r="N9" t="s">
        <v>74</v>
      </c>
      <c r="O9" s="5">
        <v>1</v>
      </c>
      <c r="P9" s="3" t="s">
        <v>25</v>
      </c>
      <c r="Q9" s="2">
        <v>31.02</v>
      </c>
      <c r="R9" s="3" t="s">
        <v>75</v>
      </c>
      <c r="S9">
        <f>COUNTIF(A:A,A9)</f>
        <v>1</v>
      </c>
      <c r="T9" t="str">
        <f>IF(OR(H9="",LOWER(TRIM(H9&amp;""))="missing",LOWER(TRIM(H9&amp;""))=""),"Missing/",IFERROR(IF(OR(VALUE(H9)&lt;0,VALUE(H9)&gt;110),"Invalid","Valid"),"Check Format"))</f>
        <v>Invalid</v>
      </c>
      <c r="U9" t="str">
        <f>IF(Raw_Data[[#This Row],[Age_Check]]="Valid",H9,"")</f>
        <v/>
      </c>
      <c r="V9" t="str">
        <f>IF(OR(K9="",UPPER(TRIM(K9&amp;""))="",LOWER(TRIM(K9&amp;""))="",LOWER(TRIM(K9&amp;""))="",LOWER(TRIM(K9&amp;""))="missing"),"Missing/",IFERROR(IF(VALUE(K9)&lt;0,"Invalid","Valid"),"Check Format"))</f>
        <v>Valid</v>
      </c>
      <c r="W9" t="str">
        <f>IF(OR(E9="",F9=""),"Missing Date/Time",IFERROR(IF(F9&gt;E9,"Arrival After Appointment","OK"),"Check Format"))</f>
        <v>Arrival After Appointment</v>
      </c>
      <c r="X9" t="str">
        <f>IF(OR(F9="",G9=""),"Missing Date/Time",IFERROR(IF(G9&lt;F9,"Discharge Before Arrival","OK"),"Check Format"))</f>
        <v>Missing Date/Time</v>
      </c>
    </row>
    <row r="10" spans="1:24" x14ac:dyDescent="0.25">
      <c r="A10" s="2" t="s">
        <v>76</v>
      </c>
      <c r="B10" s="2" t="s">
        <v>77</v>
      </c>
      <c r="C10" s="3" t="s">
        <v>19</v>
      </c>
      <c r="D10" s="3" t="s">
        <v>20</v>
      </c>
      <c r="E10" s="4" t="s">
        <v>78</v>
      </c>
      <c r="F10" s="4">
        <v>45511.622916666667</v>
      </c>
      <c r="G10" s="4">
        <v>45511.681250000001</v>
      </c>
      <c r="I10" s="3" t="s">
        <v>95</v>
      </c>
      <c r="J10" s="3" t="s">
        <v>62</v>
      </c>
      <c r="K10" s="5">
        <v>38</v>
      </c>
      <c r="L10" s="5">
        <v>33</v>
      </c>
      <c r="M10" s="3" t="s">
        <v>23</v>
      </c>
      <c r="N10" t="s">
        <v>74</v>
      </c>
      <c r="O10" s="5">
        <v>4</v>
      </c>
      <c r="P10" s="3" t="s">
        <v>80</v>
      </c>
      <c r="Q10" s="2">
        <v>52.92</v>
      </c>
      <c r="R10" s="3" t="s">
        <v>26</v>
      </c>
      <c r="S10">
        <f>COUNTIF(A:A,A10)</f>
        <v>1</v>
      </c>
      <c r="T10" t="str">
        <f>IF(OR(H10="",LOWER(TRIM(H10&amp;""))="missing",LOWER(TRIM(H10&amp;""))=""),"Missing/",IFERROR(IF(OR(VALUE(H10)&lt;0,VALUE(H10)&gt;110),"Invalid","Valid"),"Check Format"))</f>
        <v>Missing/</v>
      </c>
      <c r="U10" t="str">
        <f>IF(Raw_Data[[#This Row],[Age_Check]]="Valid",H10,"")</f>
        <v/>
      </c>
      <c r="V10" t="str">
        <f>IF(OR(K10="",UPPER(TRIM(K10&amp;""))="",LOWER(TRIM(K10&amp;""))="",LOWER(TRIM(K10&amp;""))="",LOWER(TRIM(K10&amp;""))="missing"),"Missing/",IFERROR(IF(VALUE(K10)&lt;0,"Invalid","Valid"),"Check Format"))</f>
        <v>Valid</v>
      </c>
      <c r="W10" t="str">
        <f>IF(OR(E10="",F10=""),"Missing Date/Time",IFERROR(IF(F10&gt;E10,"Arrival After Appointment","OK"),"Check Format"))</f>
        <v>OK</v>
      </c>
      <c r="X10" t="str">
        <f>IF(OR(F10="",G10=""),"Missing Date/Time",IFERROR(IF(G10&lt;F10,"Discharge Before Arrival","OK"),"Check Format"))</f>
        <v>OK</v>
      </c>
    </row>
    <row r="11" spans="1:24" x14ac:dyDescent="0.25">
      <c r="A11" s="2" t="s">
        <v>81</v>
      </c>
      <c r="B11" s="2" t="s">
        <v>82</v>
      </c>
      <c r="C11" s="3" t="s">
        <v>46</v>
      </c>
      <c r="D11" s="3" t="s">
        <v>66</v>
      </c>
      <c r="E11" s="4">
        <v>45547.357638888891</v>
      </c>
      <c r="F11" s="4">
        <v>45547.337500000001</v>
      </c>
      <c r="G11" s="4">
        <v>45547.421527777777</v>
      </c>
      <c r="I11" s="3" t="s">
        <v>73</v>
      </c>
      <c r="K11" s="5">
        <v>71</v>
      </c>
      <c r="L11" s="5">
        <v>21</v>
      </c>
      <c r="M11" s="3" t="s">
        <v>32</v>
      </c>
      <c r="N11" t="s">
        <v>24</v>
      </c>
      <c r="O11" s="5">
        <v>1</v>
      </c>
      <c r="P11" s="3" t="s">
        <v>80</v>
      </c>
      <c r="R11" s="3" t="s">
        <v>58</v>
      </c>
      <c r="S11">
        <f>COUNTIF(A:A,A11)</f>
        <v>1</v>
      </c>
      <c r="T11" t="str">
        <f>IF(OR(H11="",LOWER(TRIM(H11&amp;""))="missing",LOWER(TRIM(H11&amp;""))=""),"Missing/",IFERROR(IF(OR(VALUE(H11)&lt;0,VALUE(H11)&gt;110),"Invalid","Valid"),"Check Format"))</f>
        <v>Missing/</v>
      </c>
      <c r="U11" t="str">
        <f>IF(Raw_Data[[#This Row],[Age_Check]]="Valid",H11,"")</f>
        <v/>
      </c>
      <c r="V11" t="str">
        <f>IF(OR(K11="",UPPER(TRIM(K11&amp;""))="",LOWER(TRIM(K11&amp;""))="",LOWER(TRIM(K11&amp;""))="",LOWER(TRIM(K11&amp;""))="missing"),"Missing/",IFERROR(IF(VALUE(K11)&lt;0,"Invalid","Valid"),"Check Format"))</f>
        <v>Valid</v>
      </c>
      <c r="W11" t="str">
        <f>IF(OR(E11="",F11=""),"Missing Date/Time",IFERROR(IF(F11&gt;E11,"Arrival After Appointment","OK"),"Check Format"))</f>
        <v>OK</v>
      </c>
      <c r="X11" t="str">
        <f>IF(OR(F11="",G11=""),"Missing Date/Time",IFERROR(IF(G11&lt;F11,"Discharge Before Arrival","OK"),"Check Format"))</f>
        <v>OK</v>
      </c>
    </row>
    <row r="12" spans="1:24" x14ac:dyDescent="0.25">
      <c r="A12" s="2" t="s">
        <v>85</v>
      </c>
      <c r="B12" s="2" t="s">
        <v>77</v>
      </c>
      <c r="C12" s="3" t="s">
        <v>46</v>
      </c>
      <c r="D12" s="3" t="s">
        <v>47</v>
      </c>
      <c r="E12" s="4">
        <v>45725.788194444445</v>
      </c>
      <c r="F12" s="4">
        <v>45725.787499999999</v>
      </c>
      <c r="G12" s="4">
        <v>45725.835416666669</v>
      </c>
      <c r="I12" s="3" t="s">
        <v>39</v>
      </c>
      <c r="K12" s="5">
        <v>47</v>
      </c>
      <c r="L12" s="5">
        <v>21</v>
      </c>
      <c r="M12" s="3" t="s">
        <v>87</v>
      </c>
      <c r="N12" t="s">
        <v>74</v>
      </c>
      <c r="O12" s="5">
        <v>6</v>
      </c>
      <c r="Q12" s="2">
        <v>293.18</v>
      </c>
      <c r="R12" s="3" t="s">
        <v>58</v>
      </c>
      <c r="S12">
        <f>COUNTIF(A:A,A12)</f>
        <v>1</v>
      </c>
      <c r="T12" t="str">
        <f>IF(OR(H12="",LOWER(TRIM(H12&amp;""))="missing",LOWER(TRIM(H12&amp;""))=""),"Missing/",IFERROR(IF(OR(VALUE(H12)&lt;0,VALUE(H12)&gt;110),"Invalid","Valid"),"Check Format"))</f>
        <v>Missing/</v>
      </c>
      <c r="U12" t="str">
        <f>IF(Raw_Data[[#This Row],[Age_Check]]="Valid",H12,"")</f>
        <v/>
      </c>
      <c r="V12" t="str">
        <f>IF(OR(K12="",UPPER(TRIM(K12&amp;""))="",LOWER(TRIM(K12&amp;""))="",LOWER(TRIM(K12&amp;""))="",LOWER(TRIM(K12&amp;""))="missing"),"Missing/",IFERROR(IF(VALUE(K12)&lt;0,"Invalid","Valid"),"Check Format"))</f>
        <v>Valid</v>
      </c>
      <c r="W12" t="str">
        <f>IF(OR(E12="",F12=""),"Missing Date/Time",IFERROR(IF(F12&gt;E12,"Arrival After Appointment","OK"),"Check Format"))</f>
        <v>OK</v>
      </c>
      <c r="X12" t="str">
        <f>IF(OR(F12="",G12=""),"Missing Date/Time",IFERROR(IF(G12&lt;F12,"Discharge Before Arrival","OK"),"Check Format"))</f>
        <v>OK</v>
      </c>
    </row>
    <row r="13" spans="1:24" x14ac:dyDescent="0.25">
      <c r="A13" s="2" t="s">
        <v>88</v>
      </c>
      <c r="B13" s="2" t="s">
        <v>89</v>
      </c>
      <c r="C13" s="3" t="s">
        <v>46</v>
      </c>
      <c r="D13" s="3" t="s">
        <v>72</v>
      </c>
      <c r="E13" s="4">
        <v>45901.368055555555</v>
      </c>
      <c r="F13" s="4">
        <v>45901.359027777777</v>
      </c>
      <c r="G13" s="4">
        <v>45901.415972222225</v>
      </c>
      <c r="I13" s="3" t="s">
        <v>90</v>
      </c>
      <c r="J13" s="3" t="s">
        <v>2639</v>
      </c>
      <c r="K13" s="5">
        <v>57</v>
      </c>
      <c r="L13" s="5">
        <v>12</v>
      </c>
      <c r="M13" s="3" t="s">
        <v>50</v>
      </c>
      <c r="N13" t="s">
        <v>91</v>
      </c>
      <c r="O13" s="5">
        <v>0</v>
      </c>
      <c r="P13" s="3" t="s">
        <v>80</v>
      </c>
      <c r="Q13" s="2">
        <v>210.8</v>
      </c>
      <c r="R13" s="3" t="s">
        <v>75</v>
      </c>
      <c r="S13">
        <f>COUNTIF(A:A,A13)</f>
        <v>1</v>
      </c>
      <c r="T13" t="str">
        <f>IF(OR(H13="",LOWER(TRIM(H13&amp;""))="missing",LOWER(TRIM(H13&amp;""))=""),"Missing/",IFERROR(IF(OR(VALUE(H13)&lt;0,VALUE(H13)&gt;110),"Invalid","Valid"),"Check Format"))</f>
        <v>Missing/</v>
      </c>
      <c r="U13" t="str">
        <f>IF(Raw_Data[[#This Row],[Age_Check]]="Valid",H13,"")</f>
        <v/>
      </c>
      <c r="V13" t="str">
        <f>IF(OR(K13="",UPPER(TRIM(K13&amp;""))="",LOWER(TRIM(K13&amp;""))="",LOWER(TRIM(K13&amp;""))="",LOWER(TRIM(K13&amp;""))="missing"),"Missing/",IFERROR(IF(VALUE(K13)&lt;0,"Invalid","Valid"),"Check Format"))</f>
        <v>Valid</v>
      </c>
      <c r="W13" t="str">
        <f>IF(OR(E13="",F13=""),"Missing Date/Time",IFERROR(IF(F13&gt;E13,"Arrival After Appointment","OK"),"Check Format"))</f>
        <v>OK</v>
      </c>
      <c r="X13" t="str">
        <f>IF(OR(F13="",G13=""),"Missing Date/Time",IFERROR(IF(G13&lt;F13,"Discharge Before Arrival","OK"),"Check Format"))</f>
        <v>OK</v>
      </c>
    </row>
    <row r="14" spans="1:24" x14ac:dyDescent="0.25">
      <c r="A14" s="2" t="s">
        <v>92</v>
      </c>
      <c r="B14" s="2" t="s">
        <v>93</v>
      </c>
      <c r="C14" s="3" t="s">
        <v>94</v>
      </c>
      <c r="D14" s="3" t="s">
        <v>66</v>
      </c>
      <c r="E14" s="4">
        <v>45301.614583333336</v>
      </c>
      <c r="F14" s="4">
        <v>45301.595138888886</v>
      </c>
      <c r="I14" s="3" t="s">
        <v>95</v>
      </c>
      <c r="J14" s="3" t="s">
        <v>62</v>
      </c>
      <c r="K14" s="5">
        <v>15</v>
      </c>
      <c r="L14" s="5">
        <v>35</v>
      </c>
      <c r="M14" s="3" t="s">
        <v>32</v>
      </c>
      <c r="P14" s="3" t="s">
        <v>25</v>
      </c>
      <c r="R14" s="3" t="s">
        <v>26</v>
      </c>
      <c r="S14">
        <f>COUNTIF(A:A,A14)</f>
        <v>1</v>
      </c>
      <c r="T14" t="str">
        <f>IF(OR(H14="",LOWER(TRIM(H14&amp;""))="missing",LOWER(TRIM(H14&amp;""))=""),"Missing/",IFERROR(IF(OR(VALUE(H14)&lt;0,VALUE(H14)&gt;110),"Invalid","Valid"),"Check Format"))</f>
        <v>Missing/</v>
      </c>
      <c r="U14" t="str">
        <f>IF(Raw_Data[[#This Row],[Age_Check]]="Valid",H14,"")</f>
        <v/>
      </c>
      <c r="V14" t="str">
        <f>IF(OR(K14="",UPPER(TRIM(K14&amp;""))="",LOWER(TRIM(K14&amp;""))="",LOWER(TRIM(K14&amp;""))="",LOWER(TRIM(K14&amp;""))="missing"),"Missing/",IFERROR(IF(VALUE(K14)&lt;0,"Invalid","Valid"),"Check Format"))</f>
        <v>Valid</v>
      </c>
      <c r="W14" t="str">
        <f>IF(OR(E14="",F14=""),"Missing Date/Time",IFERROR(IF(F14&gt;E14,"Arrival After Appointment","OK"),"Check Format"))</f>
        <v>OK</v>
      </c>
      <c r="X14" t="str">
        <f>IF(OR(F14="",G14=""),"Missing Date/Time",IFERROR(IF(G14&lt;F14,"Discharge Before Arrival","OK"),"Check Format"))</f>
        <v>Missing Date/Time</v>
      </c>
    </row>
    <row r="15" spans="1:24" x14ac:dyDescent="0.25">
      <c r="A15" s="2" t="s">
        <v>97</v>
      </c>
      <c r="B15" s="2" t="s">
        <v>98</v>
      </c>
      <c r="C15" s="3" t="s">
        <v>37</v>
      </c>
      <c r="D15" s="3" t="s">
        <v>99</v>
      </c>
      <c r="E15" s="4">
        <v>45429.461805555555</v>
      </c>
      <c r="F15" s="4">
        <v>45429.457638888889</v>
      </c>
      <c r="G15" s="4">
        <v>45429.467361111114</v>
      </c>
      <c r="I15" s="3" t="s">
        <v>90</v>
      </c>
      <c r="J15" s="3" t="s">
        <v>62</v>
      </c>
      <c r="K15" s="5">
        <v>0</v>
      </c>
      <c r="L15" s="5">
        <v>8</v>
      </c>
      <c r="M15" s="3" t="s">
        <v>87</v>
      </c>
      <c r="N15" t="s">
        <v>100</v>
      </c>
      <c r="O15" s="5">
        <v>4</v>
      </c>
      <c r="P15" s="3" t="s">
        <v>25</v>
      </c>
      <c r="Q15" s="2">
        <v>160.75</v>
      </c>
      <c r="R15" s="3" t="s">
        <v>43</v>
      </c>
      <c r="S15">
        <f>COUNTIF(A:A,A15)</f>
        <v>1</v>
      </c>
      <c r="T15" t="str">
        <f>IF(OR(H15="",LOWER(TRIM(H15&amp;""))="missing",LOWER(TRIM(H15&amp;""))=""),"Missing/",IFERROR(IF(OR(VALUE(H15)&lt;0,VALUE(H15)&gt;110),"Invalid","Valid"),"Check Format"))</f>
        <v>Missing/</v>
      </c>
      <c r="U15" t="str">
        <f>IF(Raw_Data[[#This Row],[Age_Check]]="Valid",H15,"")</f>
        <v/>
      </c>
      <c r="V15" t="str">
        <f>IF(OR(K15="",UPPER(TRIM(K15&amp;""))="",LOWER(TRIM(K15&amp;""))="",LOWER(TRIM(K15&amp;""))="",LOWER(TRIM(K15&amp;""))="missing"),"Missing/",IFERROR(IF(VALUE(K15)&lt;0,"Invalid","Valid"),"Check Format"))</f>
        <v>Valid</v>
      </c>
      <c r="W15" t="str">
        <f>IF(OR(E15="",F15=""),"Missing Date/Time",IFERROR(IF(F15&gt;E15,"Arrival After Appointment","OK"),"Check Format"))</f>
        <v>OK</v>
      </c>
      <c r="X15" t="str">
        <f>IF(OR(F15="",G15=""),"Missing Date/Time",IFERROR(IF(G15&lt;F15,"Discharge Before Arrival","OK"),"Check Format"))</f>
        <v>OK</v>
      </c>
    </row>
    <row r="16" spans="1:24" x14ac:dyDescent="0.25">
      <c r="A16" s="2" t="s">
        <v>101</v>
      </c>
      <c r="B16" s="2" t="s">
        <v>102</v>
      </c>
      <c r="C16" s="3" t="s">
        <v>94</v>
      </c>
      <c r="D16" s="3" t="s">
        <v>23</v>
      </c>
      <c r="E16" s="4">
        <v>45856.770833333336</v>
      </c>
      <c r="F16" s="4">
        <v>45856.75277777778</v>
      </c>
      <c r="G16" s="4">
        <v>45856.852777777778</v>
      </c>
      <c r="I16" s="3" t="s">
        <v>95</v>
      </c>
      <c r="K16" s="5">
        <v>83</v>
      </c>
      <c r="L16" s="5">
        <v>35</v>
      </c>
      <c r="M16" s="3" t="s">
        <v>87</v>
      </c>
      <c r="N16" t="s">
        <v>103</v>
      </c>
      <c r="P16" s="3" t="s">
        <v>80</v>
      </c>
      <c r="Q16" s="2">
        <v>135.75</v>
      </c>
      <c r="R16" s="3" t="s">
        <v>58</v>
      </c>
      <c r="S16">
        <f>COUNTIF(A:A,A16)</f>
        <v>1</v>
      </c>
      <c r="T16" t="str">
        <f>IF(OR(H16="",LOWER(TRIM(H16&amp;""))="missing",LOWER(TRIM(H16&amp;""))=""),"Missing/",IFERROR(IF(OR(VALUE(H16)&lt;0,VALUE(H16)&gt;110),"Invalid","Valid"),"Check Format"))</f>
        <v>Missing/</v>
      </c>
      <c r="U16" t="str">
        <f>IF(Raw_Data[[#This Row],[Age_Check]]="Valid",H16,"")</f>
        <v/>
      </c>
      <c r="V16" t="str">
        <f>IF(OR(K16="",UPPER(TRIM(K16&amp;""))="",LOWER(TRIM(K16&amp;""))="",LOWER(TRIM(K16&amp;""))="",LOWER(TRIM(K16&amp;""))="missing"),"Missing/",IFERROR(IF(VALUE(K16)&lt;0,"Invalid","Valid"),"Check Format"))</f>
        <v>Valid</v>
      </c>
      <c r="W16" t="str">
        <f>IF(OR(E16="",F16=""),"Missing Date/Time",IFERROR(IF(F16&gt;E16,"Arrival After Appointment","OK"),"Check Format"))</f>
        <v>OK</v>
      </c>
      <c r="X16" t="str">
        <f>IF(OR(F16="",G16=""),"Missing Date/Time",IFERROR(IF(G16&lt;F16,"Discharge Before Arrival","OK"),"Check Format"))</f>
        <v>OK</v>
      </c>
    </row>
    <row r="17" spans="1:24" x14ac:dyDescent="0.25">
      <c r="A17" s="2" t="s">
        <v>104</v>
      </c>
      <c r="B17" s="2" t="s">
        <v>105</v>
      </c>
      <c r="C17" s="3" t="s">
        <v>46</v>
      </c>
      <c r="D17" s="3" t="s">
        <v>106</v>
      </c>
      <c r="E17" s="4">
        <v>45927.756944444445</v>
      </c>
      <c r="F17" s="4">
        <v>45927.736805555556</v>
      </c>
      <c r="G17" s="4">
        <v>45927.793055555558</v>
      </c>
      <c r="I17" s="3" t="s">
        <v>73</v>
      </c>
      <c r="J17" s="3" t="s">
        <v>2639</v>
      </c>
      <c r="K17" s="5">
        <v>47</v>
      </c>
      <c r="L17" s="5">
        <v>5</v>
      </c>
      <c r="M17" s="3" t="s">
        <v>63</v>
      </c>
      <c r="N17" t="s">
        <v>69</v>
      </c>
      <c r="O17" s="5">
        <v>1</v>
      </c>
      <c r="Q17" s="2">
        <v>87.41</v>
      </c>
      <c r="R17" s="3" t="s">
        <v>43</v>
      </c>
      <c r="S17">
        <f>COUNTIF(A:A,A17)</f>
        <v>1</v>
      </c>
      <c r="T17" t="str">
        <f>IF(OR(H17="",LOWER(TRIM(H17&amp;""))="missing",LOWER(TRIM(H17&amp;""))=""),"Missing/",IFERROR(IF(OR(VALUE(H17)&lt;0,VALUE(H17)&gt;110),"Invalid","Valid"),"Check Format"))</f>
        <v>Missing/</v>
      </c>
      <c r="U17" t="str">
        <f>IF(Raw_Data[[#This Row],[Age_Check]]="Valid",H17,"")</f>
        <v/>
      </c>
      <c r="V17" t="str">
        <f>IF(OR(K17="",UPPER(TRIM(K17&amp;""))="",LOWER(TRIM(K17&amp;""))="",LOWER(TRIM(K17&amp;""))="",LOWER(TRIM(K17&amp;""))="missing"),"Missing/",IFERROR(IF(VALUE(K17)&lt;0,"Invalid","Valid"),"Check Format"))</f>
        <v>Valid</v>
      </c>
      <c r="W17" t="str">
        <f>IF(OR(E17="",F17=""),"Missing Date/Time",IFERROR(IF(F17&gt;E17,"Arrival After Appointment","OK"),"Check Format"))</f>
        <v>OK</v>
      </c>
      <c r="X17" t="str">
        <f>IF(OR(F17="",G17=""),"Missing Date/Time",IFERROR(IF(G17&lt;F17,"Discharge Before Arrival","OK"),"Check Format"))</f>
        <v>OK</v>
      </c>
    </row>
    <row r="18" spans="1:24" x14ac:dyDescent="0.25">
      <c r="A18" s="2" t="s">
        <v>107</v>
      </c>
      <c r="B18" s="2" t="s">
        <v>108</v>
      </c>
      <c r="C18" s="3" t="s">
        <v>19</v>
      </c>
      <c r="D18" s="3" t="s">
        <v>72</v>
      </c>
      <c r="E18" s="4" t="s">
        <v>109</v>
      </c>
      <c r="F18" s="4">
        <v>45525.411111111112</v>
      </c>
      <c r="G18" s="4">
        <v>45525.480555555558</v>
      </c>
      <c r="J18" s="3" t="s">
        <v>2639</v>
      </c>
      <c r="K18" s="5">
        <v>41</v>
      </c>
      <c r="L18" s="5">
        <v>51</v>
      </c>
      <c r="M18" s="3" t="s">
        <v>41</v>
      </c>
      <c r="N18" t="s">
        <v>74</v>
      </c>
      <c r="O18" s="5">
        <v>3</v>
      </c>
      <c r="P18" s="3" t="s">
        <v>25</v>
      </c>
      <c r="Q18" s="2">
        <v>172.49</v>
      </c>
      <c r="R18" s="3" t="s">
        <v>75</v>
      </c>
      <c r="S18">
        <f>COUNTIF(A:A,A18)</f>
        <v>1</v>
      </c>
      <c r="T18" t="str">
        <f>IF(OR(H18="",LOWER(TRIM(H18&amp;""))="missing",LOWER(TRIM(H18&amp;""))=""),"Missing/",IFERROR(IF(OR(VALUE(H18)&lt;0,VALUE(H18)&gt;110),"Invalid","Valid"),"Check Format"))</f>
        <v>Missing/</v>
      </c>
      <c r="U18" t="str">
        <f>IF(Raw_Data[[#This Row],[Age_Check]]="Valid",H18,"")</f>
        <v/>
      </c>
      <c r="V18" t="str">
        <f>IF(OR(K18="",UPPER(TRIM(K18&amp;""))="",LOWER(TRIM(K18&amp;""))="",LOWER(TRIM(K18&amp;""))="",LOWER(TRIM(K18&amp;""))="missing"),"Missing/",IFERROR(IF(VALUE(K18)&lt;0,"Invalid","Valid"),"Check Format"))</f>
        <v>Valid</v>
      </c>
      <c r="W18" t="str">
        <f>IF(OR(E18="",F18=""),"Missing Date/Time",IFERROR(IF(F18&gt;E18,"Arrival After Appointment","OK"),"Check Format"))</f>
        <v>OK</v>
      </c>
      <c r="X18" t="str">
        <f>IF(OR(F18="",G18=""),"Missing Date/Time",IFERROR(IF(G18&lt;F18,"Discharge Before Arrival","OK"),"Check Format"))</f>
        <v>OK</v>
      </c>
    </row>
    <row r="19" spans="1:24" x14ac:dyDescent="0.25">
      <c r="A19" s="2" t="s">
        <v>111</v>
      </c>
      <c r="B19" s="2" t="s">
        <v>77</v>
      </c>
      <c r="C19" s="3" t="s">
        <v>46</v>
      </c>
      <c r="D19" s="3" t="s">
        <v>66</v>
      </c>
      <c r="E19" s="4">
        <v>45613.572916666664</v>
      </c>
      <c r="G19" s="4">
        <v>45613.598611111112</v>
      </c>
      <c r="I19" s="3" t="s">
        <v>73</v>
      </c>
      <c r="K19" s="5">
        <v>0</v>
      </c>
      <c r="L19" s="5">
        <v>37</v>
      </c>
      <c r="M19" s="3" t="s">
        <v>41</v>
      </c>
      <c r="N19" t="s">
        <v>69</v>
      </c>
      <c r="O19" s="5">
        <v>6</v>
      </c>
      <c r="P19" s="3" t="s">
        <v>25</v>
      </c>
      <c r="Q19" s="2">
        <v>114.19</v>
      </c>
      <c r="R19" s="3" t="s">
        <v>58</v>
      </c>
      <c r="S19">
        <f>COUNTIF(A:A,A19)</f>
        <v>1</v>
      </c>
      <c r="T19" t="str">
        <f>IF(OR(H19="",LOWER(TRIM(H19&amp;""))="missing",LOWER(TRIM(H19&amp;""))=""),"Missing/",IFERROR(IF(OR(VALUE(H19)&lt;0,VALUE(H19)&gt;110),"Invalid","Valid"),"Check Format"))</f>
        <v>Missing/</v>
      </c>
      <c r="U19" t="str">
        <f>IF(Raw_Data[[#This Row],[Age_Check]]="Valid",H19,"")</f>
        <v/>
      </c>
      <c r="V19" t="str">
        <f>IF(OR(K19="",UPPER(TRIM(K19&amp;""))="",LOWER(TRIM(K19&amp;""))="",LOWER(TRIM(K19&amp;""))="",LOWER(TRIM(K19&amp;""))="missing"),"Missing/",IFERROR(IF(VALUE(K19)&lt;0,"Invalid","Valid"),"Check Format"))</f>
        <v>Valid</v>
      </c>
      <c r="W19" t="str">
        <f>IF(OR(E19="",F19=""),"Missing Date/Time",IFERROR(IF(F19&gt;E19,"Arrival After Appointment","OK"),"Check Format"))</f>
        <v>Missing Date/Time</v>
      </c>
      <c r="X19" t="str">
        <f>IF(OR(F19="",G19=""),"Missing Date/Time",IFERROR(IF(G19&lt;F19,"Discharge Before Arrival","OK"),"Check Format"))</f>
        <v>Missing Date/Time</v>
      </c>
    </row>
    <row r="20" spans="1:24" x14ac:dyDescent="0.25">
      <c r="A20" s="2" t="s">
        <v>112</v>
      </c>
      <c r="B20" s="2" t="s">
        <v>113</v>
      </c>
      <c r="C20" s="3" t="s">
        <v>94</v>
      </c>
      <c r="D20" s="3" t="s">
        <v>115</v>
      </c>
      <c r="E20" s="4">
        <v>45710.520833333336</v>
      </c>
      <c r="F20" s="4">
        <v>45710.501388888886</v>
      </c>
      <c r="G20" s="4">
        <v>45710.574305555558</v>
      </c>
      <c r="J20" s="3" t="s">
        <v>22</v>
      </c>
      <c r="K20" s="5">
        <v>34</v>
      </c>
      <c r="L20" s="5">
        <v>43</v>
      </c>
      <c r="M20" s="3" t="s">
        <v>87</v>
      </c>
      <c r="N20" t="s">
        <v>103</v>
      </c>
      <c r="O20" s="5">
        <v>0</v>
      </c>
      <c r="Q20" s="2">
        <v>227.48</v>
      </c>
      <c r="R20" s="3" t="s">
        <v>75</v>
      </c>
      <c r="S20">
        <f>COUNTIF(A:A,A20)</f>
        <v>1</v>
      </c>
      <c r="T20" t="str">
        <f>IF(OR(H20="",LOWER(TRIM(H20&amp;""))="missing",LOWER(TRIM(H20&amp;""))=""),"Missing/",IFERROR(IF(OR(VALUE(H20)&lt;0,VALUE(H20)&gt;110),"Invalid","Valid"),"Check Format"))</f>
        <v>Missing/</v>
      </c>
      <c r="U20" t="str">
        <f>IF(Raw_Data[[#This Row],[Age_Check]]="Valid",H20,"")</f>
        <v/>
      </c>
      <c r="V20" t="str">
        <f>IF(OR(K20="",UPPER(TRIM(K20&amp;""))="",LOWER(TRIM(K20&amp;""))="",LOWER(TRIM(K20&amp;""))="",LOWER(TRIM(K20&amp;""))="missing"),"Missing/",IFERROR(IF(VALUE(K20)&lt;0,"Invalid","Valid"),"Check Format"))</f>
        <v>Valid</v>
      </c>
      <c r="W20" t="str">
        <f>IF(OR(E20="",F20=""),"Missing Date/Time",IFERROR(IF(F20&gt;E20,"Arrival After Appointment","OK"),"Check Format"))</f>
        <v>OK</v>
      </c>
      <c r="X20" t="str">
        <f>IF(OR(F20="",G20=""),"Missing Date/Time",IFERROR(IF(G20&lt;F20,"Discharge Before Arrival","OK"),"Check Format"))</f>
        <v>OK</v>
      </c>
    </row>
    <row r="21" spans="1:24" x14ac:dyDescent="0.25">
      <c r="A21" s="2" t="s">
        <v>116</v>
      </c>
      <c r="B21" s="2" t="s">
        <v>117</v>
      </c>
      <c r="C21" s="3" t="s">
        <v>37</v>
      </c>
      <c r="D21" s="3" t="s">
        <v>61</v>
      </c>
      <c r="E21" s="4" t="s">
        <v>118</v>
      </c>
      <c r="F21" s="4">
        <v>45776.752083333333</v>
      </c>
      <c r="G21" s="4">
        <v>45776.830555555556</v>
      </c>
      <c r="H21" s="5">
        <v>18</v>
      </c>
      <c r="I21" s="3" t="s">
        <v>73</v>
      </c>
      <c r="J21" s="3" t="s">
        <v>62</v>
      </c>
      <c r="K21" s="5">
        <v>90</v>
      </c>
      <c r="L21" s="5">
        <v>16</v>
      </c>
      <c r="M21" s="3" t="s">
        <v>32</v>
      </c>
      <c r="O21" s="5">
        <v>0</v>
      </c>
      <c r="P21" s="3" t="s">
        <v>42</v>
      </c>
      <c r="Q21" s="2">
        <v>120.26</v>
      </c>
      <c r="R21" s="3" t="s">
        <v>58</v>
      </c>
      <c r="S21">
        <f>COUNTIF(A:A,A21)</f>
        <v>1</v>
      </c>
      <c r="T21" t="str">
        <f>IF(OR(H21="",LOWER(TRIM(H21&amp;""))="missing",LOWER(TRIM(H21&amp;""))=""),"Missing/",IFERROR(IF(OR(VALUE(H21)&lt;0,VALUE(H21)&gt;110),"Invalid","Valid"),"Check Format"))</f>
        <v>Valid</v>
      </c>
      <c r="U21">
        <f>IF(Raw_Data[[#This Row],[Age_Check]]="Valid",H21,"")</f>
        <v>18</v>
      </c>
      <c r="V21" t="str">
        <f>IF(OR(K21="",UPPER(TRIM(K21&amp;""))="",LOWER(TRIM(K21&amp;""))="",LOWER(TRIM(K21&amp;""))="",LOWER(TRIM(K21&amp;""))="missing"),"Missing/",IFERROR(IF(VALUE(K21)&lt;0,"Invalid","Valid"),"Check Format"))</f>
        <v>Valid</v>
      </c>
      <c r="W21" t="str">
        <f>IF(OR(E21="",F21=""),"Missing Date/Time",IFERROR(IF(F21&gt;E21,"Arrival After Appointment","OK"),"Check Format"))</f>
        <v>OK</v>
      </c>
      <c r="X21" t="str">
        <f>IF(OR(F21="",G21=""),"Missing Date/Time",IFERROR(IF(G21&lt;F21,"Discharge Before Arrival","OK"),"Check Format"))</f>
        <v>OK</v>
      </c>
    </row>
    <row r="22" spans="1:24" x14ac:dyDescent="0.25">
      <c r="A22" s="2" t="s">
        <v>119</v>
      </c>
      <c r="B22" s="2" t="s">
        <v>120</v>
      </c>
      <c r="C22" s="3" t="s">
        <v>37</v>
      </c>
      <c r="D22" s="3" t="s">
        <v>55</v>
      </c>
      <c r="E22" s="4">
        <v>45297.354166666664</v>
      </c>
      <c r="F22" s="4">
        <v>45297.352083333331</v>
      </c>
      <c r="G22" s="4">
        <v>45297.436111111114</v>
      </c>
      <c r="H22" s="5">
        <v>145</v>
      </c>
      <c r="J22" s="3" t="s">
        <v>2639</v>
      </c>
      <c r="K22" s="5">
        <v>69</v>
      </c>
      <c r="L22" s="5">
        <v>49</v>
      </c>
      <c r="M22" s="3" t="s">
        <v>41</v>
      </c>
      <c r="N22" t="s">
        <v>24</v>
      </c>
      <c r="O22" s="5">
        <v>0</v>
      </c>
      <c r="Q22" s="2">
        <v>106.67</v>
      </c>
      <c r="R22" s="3" t="s">
        <v>58</v>
      </c>
      <c r="S22">
        <f>COUNTIF(A:A,A22)</f>
        <v>1</v>
      </c>
      <c r="T22" t="str">
        <f>IF(OR(H22="",LOWER(TRIM(H22&amp;""))="missing",LOWER(TRIM(H22&amp;""))=""),"Missing/",IFERROR(IF(OR(VALUE(H22)&lt;0,VALUE(H22)&gt;110),"Invalid","Valid"),"Check Format"))</f>
        <v>Invalid</v>
      </c>
      <c r="U22" t="str">
        <f>IF(Raw_Data[[#This Row],[Age_Check]]="Valid",H22,"")</f>
        <v/>
      </c>
      <c r="V22" t="str">
        <f>IF(OR(K22="",UPPER(TRIM(K22&amp;""))="",LOWER(TRIM(K22&amp;""))="",LOWER(TRIM(K22&amp;""))="",LOWER(TRIM(K22&amp;""))="missing"),"Missing/",IFERROR(IF(VALUE(K22)&lt;0,"Invalid","Valid"),"Check Format"))</f>
        <v>Valid</v>
      </c>
      <c r="W22" t="str">
        <f>IF(OR(E22="",F22=""),"Missing Date/Time",IFERROR(IF(F22&gt;E22,"Arrival After Appointment","OK"),"Check Format"))</f>
        <v>OK</v>
      </c>
      <c r="X22" t="str">
        <f>IF(OR(F22="",G22=""),"Missing Date/Time",IFERROR(IF(G22&lt;F22,"Discharge Before Arrival","OK"),"Check Format"))</f>
        <v>OK</v>
      </c>
    </row>
    <row r="23" spans="1:24" x14ac:dyDescent="0.25">
      <c r="A23" s="2" t="s">
        <v>121</v>
      </c>
      <c r="B23" s="2" t="s">
        <v>65</v>
      </c>
      <c r="C23" s="3" t="s">
        <v>46</v>
      </c>
      <c r="D23" s="3" t="s">
        <v>38</v>
      </c>
      <c r="E23" s="4">
        <v>45557.451388888891</v>
      </c>
      <c r="F23" s="4">
        <v>45557.436111111114</v>
      </c>
      <c r="G23" s="4">
        <v>45557.495138888888</v>
      </c>
      <c r="J23" s="3" t="s">
        <v>22</v>
      </c>
      <c r="K23" s="5">
        <v>51</v>
      </c>
      <c r="L23" s="5">
        <v>12</v>
      </c>
      <c r="M23" s="3" t="s">
        <v>23</v>
      </c>
      <c r="N23" t="s">
        <v>69</v>
      </c>
      <c r="O23" s="5">
        <v>0</v>
      </c>
      <c r="P23" s="3" t="s">
        <v>42</v>
      </c>
      <c r="Q23" s="2">
        <v>49.3</v>
      </c>
      <c r="R23" s="3" t="s">
        <v>43</v>
      </c>
      <c r="S23">
        <f>COUNTIF(A:A,A23)</f>
        <v>1</v>
      </c>
      <c r="T23" t="str">
        <f>IF(OR(H23="",LOWER(TRIM(H23&amp;""))="missing",LOWER(TRIM(H23&amp;""))=""),"Missing/",IFERROR(IF(OR(VALUE(H23)&lt;0,VALUE(H23)&gt;110),"Invalid","Valid"),"Check Format"))</f>
        <v>Missing/</v>
      </c>
      <c r="U23" t="str">
        <f>IF(Raw_Data[[#This Row],[Age_Check]]="Valid",H23,"")</f>
        <v/>
      </c>
      <c r="V23" t="str">
        <f>IF(OR(K23="",UPPER(TRIM(K23&amp;""))="",LOWER(TRIM(K23&amp;""))="",LOWER(TRIM(K23&amp;""))="",LOWER(TRIM(K23&amp;""))="missing"),"Missing/",IFERROR(IF(VALUE(K23)&lt;0,"Invalid","Valid"),"Check Format"))</f>
        <v>Valid</v>
      </c>
      <c r="W23" t="str">
        <f>IF(OR(E23="",F23=""),"Missing Date/Time",IFERROR(IF(F23&gt;E23,"Arrival After Appointment","OK"),"Check Format"))</f>
        <v>OK</v>
      </c>
      <c r="X23" t="str">
        <f>IF(OR(F23="",G23=""),"Missing Date/Time",IFERROR(IF(G23&lt;F23,"Discharge Before Arrival","OK"),"Check Format"))</f>
        <v>OK</v>
      </c>
    </row>
    <row r="24" spans="1:24" x14ac:dyDescent="0.25">
      <c r="A24" s="2" t="s">
        <v>122</v>
      </c>
      <c r="B24" s="2" t="s">
        <v>123</v>
      </c>
      <c r="D24" s="3" t="s">
        <v>72</v>
      </c>
      <c r="E24" s="4">
        <v>45717.302083333336</v>
      </c>
      <c r="G24" s="4">
        <v>45717.400694444441</v>
      </c>
      <c r="H24" s="5">
        <v>145</v>
      </c>
      <c r="J24" s="3" t="s">
        <v>67</v>
      </c>
      <c r="K24" s="5">
        <v>86</v>
      </c>
      <c r="L24" s="5">
        <v>56</v>
      </c>
      <c r="M24" s="3" t="s">
        <v>50</v>
      </c>
      <c r="N24" t="s">
        <v>24</v>
      </c>
      <c r="O24" s="5">
        <v>0</v>
      </c>
      <c r="P24" s="3" t="s">
        <v>80</v>
      </c>
      <c r="R24" s="3" t="s">
        <v>75</v>
      </c>
      <c r="S24">
        <f>COUNTIF(A:A,A24)</f>
        <v>1</v>
      </c>
      <c r="T24" t="str">
        <f>IF(OR(H24="",LOWER(TRIM(H24&amp;""))="missing",LOWER(TRIM(H24&amp;""))=""),"Missing/",IFERROR(IF(OR(VALUE(H24)&lt;0,VALUE(H24)&gt;110),"Invalid","Valid"),"Check Format"))</f>
        <v>Invalid</v>
      </c>
      <c r="U24" t="str">
        <f>IF(Raw_Data[[#This Row],[Age_Check]]="Valid",H24,"")</f>
        <v/>
      </c>
      <c r="V24" t="str">
        <f>IF(OR(K24="",UPPER(TRIM(K24&amp;""))="",LOWER(TRIM(K24&amp;""))="",LOWER(TRIM(K24&amp;""))="",LOWER(TRIM(K24&amp;""))="missing"),"Missing/",IFERROR(IF(VALUE(K24)&lt;0,"Invalid","Valid"),"Check Format"))</f>
        <v>Valid</v>
      </c>
      <c r="W24" t="str">
        <f>IF(OR(E24="",F24=""),"Missing Date/Time",IFERROR(IF(F24&gt;E24,"Arrival After Appointment","OK"),"Check Format"))</f>
        <v>Missing Date/Time</v>
      </c>
      <c r="X24" t="str">
        <f>IF(OR(F24="",G24=""),"Missing Date/Time",IFERROR(IF(G24&lt;F24,"Discharge Before Arrival","OK"),"Check Format"))</f>
        <v>Missing Date/Time</v>
      </c>
    </row>
    <row r="25" spans="1:24" x14ac:dyDescent="0.25">
      <c r="A25" s="2" t="s">
        <v>124</v>
      </c>
      <c r="B25" s="2" t="s">
        <v>125</v>
      </c>
      <c r="C25" s="3" t="s">
        <v>46</v>
      </c>
      <c r="D25" s="3" t="s">
        <v>23</v>
      </c>
      <c r="E25" s="4">
        <v>45770.40625</v>
      </c>
      <c r="F25" s="4">
        <v>45770.397222222222</v>
      </c>
      <c r="G25" s="4">
        <v>45770.479166666664</v>
      </c>
      <c r="H25" s="5">
        <v>59</v>
      </c>
      <c r="I25" s="3" t="s">
        <v>90</v>
      </c>
      <c r="K25" s="5">
        <v>55</v>
      </c>
      <c r="L25" s="5">
        <v>50</v>
      </c>
      <c r="N25" t="s">
        <v>91</v>
      </c>
      <c r="P25" s="3" t="s">
        <v>25</v>
      </c>
      <c r="Q25" s="2">
        <v>173.93</v>
      </c>
      <c r="R25" s="3" t="s">
        <v>58</v>
      </c>
      <c r="S25">
        <f>COUNTIF(A:A,A25)</f>
        <v>1</v>
      </c>
      <c r="T25" t="str">
        <f>IF(OR(H25="",LOWER(TRIM(H25&amp;""))="missing",LOWER(TRIM(H25&amp;""))=""),"Missing/",IFERROR(IF(OR(VALUE(H25)&lt;0,VALUE(H25)&gt;110),"Invalid","Valid"),"Check Format"))</f>
        <v>Valid</v>
      </c>
      <c r="U25">
        <f>IF(Raw_Data[[#This Row],[Age_Check]]="Valid",H25,"")</f>
        <v>59</v>
      </c>
      <c r="V25" t="str">
        <f>IF(OR(K25="",UPPER(TRIM(K25&amp;""))="",LOWER(TRIM(K25&amp;""))="",LOWER(TRIM(K25&amp;""))="",LOWER(TRIM(K25&amp;""))="missing"),"Missing/",IFERROR(IF(VALUE(K25)&lt;0,"Invalid","Valid"),"Check Format"))</f>
        <v>Valid</v>
      </c>
      <c r="W25" t="str">
        <f>IF(OR(E25="",F25=""),"Missing Date/Time",IFERROR(IF(F25&gt;E25,"Arrival After Appointment","OK"),"Check Format"))</f>
        <v>OK</v>
      </c>
      <c r="X25" t="str">
        <f>IF(OR(F25="",G25=""),"Missing Date/Time",IFERROR(IF(G25&lt;F25,"Discharge Before Arrival","OK"),"Check Format"))</f>
        <v>OK</v>
      </c>
    </row>
    <row r="26" spans="1:24" x14ac:dyDescent="0.25">
      <c r="A26" s="2" t="s">
        <v>126</v>
      </c>
      <c r="B26" s="2" t="s">
        <v>127</v>
      </c>
      <c r="C26" s="3" t="s">
        <v>19</v>
      </c>
      <c r="D26" s="3" t="s">
        <v>23</v>
      </c>
      <c r="E26" s="4" t="s">
        <v>128</v>
      </c>
      <c r="F26" s="4">
        <v>45375.569444444445</v>
      </c>
      <c r="H26" s="5">
        <v>31</v>
      </c>
      <c r="I26" s="3" t="s">
        <v>95</v>
      </c>
      <c r="K26" s="5">
        <v>35</v>
      </c>
      <c r="L26" s="5">
        <v>38</v>
      </c>
      <c r="M26" s="3" t="s">
        <v>68</v>
      </c>
      <c r="N26" t="s">
        <v>24</v>
      </c>
      <c r="P26" s="3" t="s">
        <v>25</v>
      </c>
      <c r="Q26" s="2">
        <v>268.04000000000002</v>
      </c>
      <c r="R26" s="3" t="s">
        <v>43</v>
      </c>
      <c r="S26">
        <f>COUNTIF(A:A,A26)</f>
        <v>1</v>
      </c>
      <c r="T26" t="str">
        <f>IF(OR(H26="",LOWER(TRIM(H26&amp;""))="missing",LOWER(TRIM(H26&amp;""))=""),"Missing/",IFERROR(IF(OR(VALUE(H26)&lt;0,VALUE(H26)&gt;110),"Invalid","Valid"),"Check Format"))</f>
        <v>Valid</v>
      </c>
      <c r="U26">
        <f>IF(Raw_Data[[#This Row],[Age_Check]]="Valid",H26,"")</f>
        <v>31</v>
      </c>
      <c r="V26" t="str">
        <f>IF(OR(K26="",UPPER(TRIM(K26&amp;""))="",LOWER(TRIM(K26&amp;""))="",LOWER(TRIM(K26&amp;""))="",LOWER(TRIM(K26&amp;""))="missing"),"Missing/",IFERROR(IF(VALUE(K26)&lt;0,"Invalid","Valid"),"Check Format"))</f>
        <v>Valid</v>
      </c>
      <c r="W26" t="str">
        <f>IF(OR(E26="",F26=""),"Missing Date/Time",IFERROR(IF(F26&gt;E26,"Arrival After Appointment","OK"),"Check Format"))</f>
        <v>OK</v>
      </c>
      <c r="X26" t="str">
        <f>IF(OR(F26="",G26=""),"Missing Date/Time",IFERROR(IF(G26&lt;F26,"Discharge Before Arrival","OK"),"Check Format"))</f>
        <v>Missing Date/Time</v>
      </c>
    </row>
    <row r="27" spans="1:24" x14ac:dyDescent="0.25">
      <c r="A27" s="2" t="s">
        <v>129</v>
      </c>
      <c r="B27" s="2" t="s">
        <v>130</v>
      </c>
      <c r="C27" s="3" t="s">
        <v>46</v>
      </c>
      <c r="D27" s="3" t="s">
        <v>38</v>
      </c>
      <c r="E27" s="4">
        <v>45912.704861111109</v>
      </c>
      <c r="F27" s="4">
        <v>45912.692361111112</v>
      </c>
      <c r="G27" s="4">
        <v>45912.785416666666</v>
      </c>
      <c r="I27" s="3" t="s">
        <v>73</v>
      </c>
      <c r="J27" s="3" t="s">
        <v>62</v>
      </c>
      <c r="K27" s="5">
        <v>56</v>
      </c>
      <c r="L27" s="5">
        <v>60</v>
      </c>
      <c r="M27" s="3" t="s">
        <v>23</v>
      </c>
      <c r="Q27" s="2">
        <v>0</v>
      </c>
      <c r="R27" s="3" t="s">
        <v>26</v>
      </c>
      <c r="S27">
        <f>COUNTIF(A:A,A27)</f>
        <v>1</v>
      </c>
      <c r="T27" t="str">
        <f>IF(OR(H27="",LOWER(TRIM(H27&amp;""))="missing",LOWER(TRIM(H27&amp;""))=""),"Missing/",IFERROR(IF(OR(VALUE(H27)&lt;0,VALUE(H27)&gt;110),"Invalid","Valid"),"Check Format"))</f>
        <v>Missing/</v>
      </c>
      <c r="U27" t="str">
        <f>IF(Raw_Data[[#This Row],[Age_Check]]="Valid",H27,"")</f>
        <v/>
      </c>
      <c r="V27" t="str">
        <f>IF(OR(K27="",UPPER(TRIM(K27&amp;""))="",LOWER(TRIM(K27&amp;""))="",LOWER(TRIM(K27&amp;""))="",LOWER(TRIM(K27&amp;""))="missing"),"Missing/",IFERROR(IF(VALUE(K27)&lt;0,"Invalid","Valid"),"Check Format"))</f>
        <v>Valid</v>
      </c>
      <c r="W27" t="str">
        <f>IF(OR(E27="",F27=""),"Missing Date/Time",IFERROR(IF(F27&gt;E27,"Arrival After Appointment","OK"),"Check Format"))</f>
        <v>OK</v>
      </c>
      <c r="X27" t="str">
        <f>IF(OR(F27="",G27=""),"Missing Date/Time",IFERROR(IF(G27&lt;F27,"Discharge Before Arrival","OK"),"Check Format"))</f>
        <v>OK</v>
      </c>
    </row>
    <row r="28" spans="1:24" x14ac:dyDescent="0.25">
      <c r="A28" s="2" t="s">
        <v>131</v>
      </c>
      <c r="B28" s="2" t="s">
        <v>132</v>
      </c>
      <c r="C28" s="3" t="s">
        <v>29</v>
      </c>
      <c r="D28" s="3" t="s">
        <v>47</v>
      </c>
      <c r="E28" s="4">
        <v>45628.527777777781</v>
      </c>
      <c r="G28" s="4">
        <v>45334.61041666667</v>
      </c>
      <c r="I28" s="3" t="s">
        <v>39</v>
      </c>
      <c r="J28" s="3" t="s">
        <v>67</v>
      </c>
      <c r="K28" s="5">
        <v>86</v>
      </c>
      <c r="L28" s="5">
        <v>33</v>
      </c>
      <c r="M28" s="3" t="s">
        <v>32</v>
      </c>
      <c r="N28" t="s">
        <v>69</v>
      </c>
      <c r="P28" s="3" t="s">
        <v>25</v>
      </c>
      <c r="Q28" s="2">
        <v>121.08</v>
      </c>
      <c r="R28" s="3" t="s">
        <v>75</v>
      </c>
      <c r="S28">
        <f>COUNTIF(A:A,A28)</f>
        <v>1</v>
      </c>
      <c r="T28" t="str">
        <f>IF(OR(H28="",LOWER(TRIM(H28&amp;""))="missing",LOWER(TRIM(H28&amp;""))=""),"Missing/",IFERROR(IF(OR(VALUE(H28)&lt;0,VALUE(H28)&gt;110),"Invalid","Valid"),"Check Format"))</f>
        <v>Missing/</v>
      </c>
      <c r="U28" t="str">
        <f>IF(Raw_Data[[#This Row],[Age_Check]]="Valid",H28,"")</f>
        <v/>
      </c>
      <c r="V28" t="str">
        <f>IF(OR(K28="",UPPER(TRIM(K28&amp;""))="",LOWER(TRIM(K28&amp;""))="",LOWER(TRIM(K28&amp;""))="",LOWER(TRIM(K28&amp;""))="missing"),"Missing/",IFERROR(IF(VALUE(K28)&lt;0,"Invalid","Valid"),"Check Format"))</f>
        <v>Valid</v>
      </c>
      <c r="W28" t="str">
        <f>IF(OR(E28="",F28=""),"Missing Date/Time",IFERROR(IF(F28&gt;E28,"Arrival After Appointment","OK"),"Check Format"))</f>
        <v>Missing Date/Time</v>
      </c>
      <c r="X28" t="str">
        <f>IF(OR(F28="",G28=""),"Missing Date/Time",IFERROR(IF(G28&lt;F28,"Discharge Before Arrival","OK"),"Check Format"))</f>
        <v>Missing Date/Time</v>
      </c>
    </row>
    <row r="29" spans="1:24" x14ac:dyDescent="0.25">
      <c r="A29" s="2" t="s">
        <v>133</v>
      </c>
      <c r="B29" s="2" t="s">
        <v>134</v>
      </c>
      <c r="D29" s="3" t="s">
        <v>30</v>
      </c>
      <c r="E29" s="4">
        <v>45768.579861111109</v>
      </c>
      <c r="F29" s="4">
        <v>45768.570138888892</v>
      </c>
      <c r="G29" s="4">
        <v>45768.625694444447</v>
      </c>
      <c r="I29" s="3" t="s">
        <v>95</v>
      </c>
      <c r="J29" s="3" t="s">
        <v>22</v>
      </c>
      <c r="K29" s="5">
        <v>61</v>
      </c>
      <c r="L29" s="5">
        <v>5</v>
      </c>
      <c r="M29" s="3" t="s">
        <v>32</v>
      </c>
      <c r="N29" t="s">
        <v>91</v>
      </c>
      <c r="O29" s="5">
        <v>4</v>
      </c>
      <c r="P29" s="3" t="s">
        <v>25</v>
      </c>
      <c r="Q29" s="2">
        <v>127.43</v>
      </c>
      <c r="R29" s="3" t="s">
        <v>75</v>
      </c>
      <c r="S29">
        <f>COUNTIF(A:A,A29)</f>
        <v>1</v>
      </c>
      <c r="T29" t="str">
        <f>IF(OR(H29="",LOWER(TRIM(H29&amp;""))="missing",LOWER(TRIM(H29&amp;""))=""),"Missing/",IFERROR(IF(OR(VALUE(H29)&lt;0,VALUE(H29)&gt;110),"Invalid","Valid"),"Check Format"))</f>
        <v>Missing/</v>
      </c>
      <c r="U29" t="str">
        <f>IF(Raw_Data[[#This Row],[Age_Check]]="Valid",H29,"")</f>
        <v/>
      </c>
      <c r="V29" t="str">
        <f>IF(OR(K29="",UPPER(TRIM(K29&amp;""))="",LOWER(TRIM(K29&amp;""))="",LOWER(TRIM(K29&amp;""))="",LOWER(TRIM(K29&amp;""))="missing"),"Missing/",IFERROR(IF(VALUE(K29)&lt;0,"Invalid","Valid"),"Check Format"))</f>
        <v>Valid</v>
      </c>
      <c r="W29" t="str">
        <f>IF(OR(E29="",F29=""),"Missing Date/Time",IFERROR(IF(F29&gt;E29,"Arrival After Appointment","OK"),"Check Format"))</f>
        <v>OK</v>
      </c>
      <c r="X29" t="str">
        <f>IF(OR(F29="",G29=""),"Missing Date/Time",IFERROR(IF(G29&lt;F29,"Discharge Before Arrival","OK"),"Check Format"))</f>
        <v>OK</v>
      </c>
    </row>
    <row r="30" spans="1:24" x14ac:dyDescent="0.25">
      <c r="A30" s="2" t="s">
        <v>135</v>
      </c>
      <c r="B30" s="2" t="s">
        <v>136</v>
      </c>
      <c r="D30" s="3" t="s">
        <v>66</v>
      </c>
      <c r="E30" s="4">
        <v>45861.319444444445</v>
      </c>
      <c r="F30" s="4">
        <v>45861.314583333333</v>
      </c>
      <c r="G30" s="4">
        <v>45861.408333333333</v>
      </c>
      <c r="I30" s="3" t="s">
        <v>73</v>
      </c>
      <c r="J30" s="3" t="s">
        <v>2639</v>
      </c>
      <c r="K30" s="5">
        <v>70</v>
      </c>
      <c r="L30" s="5">
        <v>58</v>
      </c>
      <c r="M30" s="3" t="s">
        <v>87</v>
      </c>
      <c r="N30" t="s">
        <v>100</v>
      </c>
      <c r="O30" s="5">
        <v>0</v>
      </c>
      <c r="P30" s="3" t="s">
        <v>42</v>
      </c>
      <c r="Q30" s="2">
        <v>103.54</v>
      </c>
      <c r="R30" s="3" t="s">
        <v>26</v>
      </c>
      <c r="S30">
        <f>COUNTIF(A:A,A30)</f>
        <v>1</v>
      </c>
      <c r="T30" t="str">
        <f>IF(OR(H30="",LOWER(TRIM(H30&amp;""))="missing",LOWER(TRIM(H30&amp;""))=""),"Missing/",IFERROR(IF(OR(VALUE(H30)&lt;0,VALUE(H30)&gt;110),"Invalid","Valid"),"Check Format"))</f>
        <v>Missing/</v>
      </c>
      <c r="U30" t="str">
        <f>IF(Raw_Data[[#This Row],[Age_Check]]="Valid",H30,"")</f>
        <v/>
      </c>
      <c r="V30" t="str">
        <f>IF(OR(K30="",UPPER(TRIM(K30&amp;""))="",LOWER(TRIM(K30&amp;""))="",LOWER(TRIM(K30&amp;""))="",LOWER(TRIM(K30&amp;""))="missing"),"Missing/",IFERROR(IF(VALUE(K30)&lt;0,"Invalid","Valid"),"Check Format"))</f>
        <v>Valid</v>
      </c>
      <c r="W30" t="str">
        <f>IF(OR(E30="",F30=""),"Missing Date/Time",IFERROR(IF(F30&gt;E30,"Arrival After Appointment","OK"),"Check Format"))</f>
        <v>OK</v>
      </c>
      <c r="X30" t="str">
        <f>IF(OR(F30="",G30=""),"Missing Date/Time",IFERROR(IF(G30&lt;F30,"Discharge Before Arrival","OK"),"Check Format"))</f>
        <v>OK</v>
      </c>
    </row>
    <row r="31" spans="1:24" x14ac:dyDescent="0.25">
      <c r="A31" s="2" t="s">
        <v>137</v>
      </c>
      <c r="B31" s="2" t="s">
        <v>138</v>
      </c>
      <c r="C31" s="3" t="s">
        <v>19</v>
      </c>
      <c r="D31" s="3" t="s">
        <v>61</v>
      </c>
      <c r="E31" s="4" t="s">
        <v>139</v>
      </c>
      <c r="F31" s="4">
        <v>45855.510416666664</v>
      </c>
      <c r="H31" s="5">
        <v>88</v>
      </c>
      <c r="I31" s="3" t="s">
        <v>73</v>
      </c>
      <c r="J31" s="3" t="s">
        <v>62</v>
      </c>
      <c r="K31" s="5">
        <v>29</v>
      </c>
      <c r="L31" s="5">
        <v>22</v>
      </c>
      <c r="M31" s="3" t="s">
        <v>50</v>
      </c>
      <c r="N31" t="s">
        <v>24</v>
      </c>
      <c r="O31" s="5">
        <v>6</v>
      </c>
      <c r="P31" s="3" t="s">
        <v>25</v>
      </c>
      <c r="Q31" s="2">
        <v>218.23</v>
      </c>
      <c r="R31" s="3" t="s">
        <v>58</v>
      </c>
      <c r="S31">
        <f>COUNTIF(A:A,A31)</f>
        <v>1</v>
      </c>
      <c r="T31" t="str">
        <f>IF(OR(H31="",LOWER(TRIM(H31&amp;""))="missing",LOWER(TRIM(H31&amp;""))=""),"Missing/",IFERROR(IF(OR(VALUE(H31)&lt;0,VALUE(H31)&gt;110),"Invalid","Valid"),"Check Format"))</f>
        <v>Valid</v>
      </c>
      <c r="U31">
        <f>IF(Raw_Data[[#This Row],[Age_Check]]="Valid",H31,"")</f>
        <v>88</v>
      </c>
      <c r="V31" t="str">
        <f>IF(OR(K31="",UPPER(TRIM(K31&amp;""))="",LOWER(TRIM(K31&amp;""))="",LOWER(TRIM(K31&amp;""))="",LOWER(TRIM(K31&amp;""))="missing"),"Missing/",IFERROR(IF(VALUE(K31)&lt;0,"Invalid","Valid"),"Check Format"))</f>
        <v>Valid</v>
      </c>
      <c r="W31" t="str">
        <f>IF(OR(E31="",F31=""),"Missing Date/Time",IFERROR(IF(F31&gt;E31,"Arrival After Appointment","OK"),"Check Format"))</f>
        <v>OK</v>
      </c>
      <c r="X31" t="str">
        <f>IF(OR(F31="",G31=""),"Missing Date/Time",IFERROR(IF(G31&lt;F31,"Discharge Before Arrival","OK"),"Check Format"))</f>
        <v>Missing Date/Time</v>
      </c>
    </row>
    <row r="32" spans="1:24" x14ac:dyDescent="0.25">
      <c r="A32" s="2" t="s">
        <v>140</v>
      </c>
      <c r="B32" s="2" t="s">
        <v>141</v>
      </c>
      <c r="C32" s="3" t="s">
        <v>46</v>
      </c>
      <c r="D32" s="3" t="s">
        <v>55</v>
      </c>
      <c r="E32" s="4">
        <v>45423.329861111109</v>
      </c>
      <c r="F32" s="4">
        <v>45601.32708333333</v>
      </c>
      <c r="G32" s="4">
        <v>45601.393055555556</v>
      </c>
      <c r="H32" s="5">
        <v>62</v>
      </c>
      <c r="K32" s="5">
        <v>69</v>
      </c>
      <c r="L32" s="5">
        <v>22</v>
      </c>
      <c r="M32" s="3" t="s">
        <v>63</v>
      </c>
      <c r="N32" t="s">
        <v>24</v>
      </c>
      <c r="P32" s="3" t="s">
        <v>80</v>
      </c>
      <c r="Q32" s="2">
        <v>186.06</v>
      </c>
      <c r="R32" s="3" t="s">
        <v>75</v>
      </c>
      <c r="S32">
        <f>COUNTIF(A:A,A32)</f>
        <v>1</v>
      </c>
      <c r="T32" t="str">
        <f>IF(OR(H32="",LOWER(TRIM(H32&amp;""))="missing",LOWER(TRIM(H32&amp;""))=""),"Missing/",IFERROR(IF(OR(VALUE(H32)&lt;0,VALUE(H32)&gt;110),"Invalid","Valid"),"Check Format"))</f>
        <v>Valid</v>
      </c>
      <c r="U32">
        <f>IF(Raw_Data[[#This Row],[Age_Check]]="Valid",H32,"")</f>
        <v>62</v>
      </c>
      <c r="V32" t="str">
        <f>IF(OR(K32="",UPPER(TRIM(K32&amp;""))="",LOWER(TRIM(K32&amp;""))="",LOWER(TRIM(K32&amp;""))="",LOWER(TRIM(K32&amp;""))="missing"),"Missing/",IFERROR(IF(VALUE(K32)&lt;0,"Invalid","Valid"),"Check Format"))</f>
        <v>Valid</v>
      </c>
      <c r="W32" t="str">
        <f>IF(OR(E32="",F32=""),"Missing Date/Time",IFERROR(IF(F32&gt;E32,"Arrival After Appointment","OK"),"Check Format"))</f>
        <v>Arrival After Appointment</v>
      </c>
      <c r="X32" t="str">
        <f>IF(OR(F32="",G32=""),"Missing Date/Time",IFERROR(IF(G32&lt;F32,"Discharge Before Arrival","OK"),"Check Format"))</f>
        <v>OK</v>
      </c>
    </row>
    <row r="33" spans="1:24" x14ac:dyDescent="0.25">
      <c r="A33" s="2" t="s">
        <v>142</v>
      </c>
      <c r="B33" s="2" t="s">
        <v>143</v>
      </c>
      <c r="C33" s="3" t="s">
        <v>19</v>
      </c>
      <c r="D33" s="3" t="s">
        <v>55</v>
      </c>
      <c r="E33" s="4">
        <v>45702.586805555555</v>
      </c>
      <c r="F33" s="4">
        <v>45702.584722222222</v>
      </c>
      <c r="G33" s="4">
        <v>45702.663194444445</v>
      </c>
      <c r="H33" s="5">
        <v>145</v>
      </c>
      <c r="J33" s="3" t="s">
        <v>67</v>
      </c>
      <c r="K33" s="5">
        <v>61</v>
      </c>
      <c r="L33" s="5">
        <v>49</v>
      </c>
      <c r="M33" s="3" t="s">
        <v>50</v>
      </c>
      <c r="O33" s="5">
        <v>0</v>
      </c>
      <c r="P33" s="3" t="s">
        <v>25</v>
      </c>
      <c r="Q33" s="2">
        <v>88.84</v>
      </c>
      <c r="R33" s="3" t="s">
        <v>58</v>
      </c>
      <c r="S33">
        <f>COUNTIF(A:A,A33)</f>
        <v>1</v>
      </c>
      <c r="T33" t="str">
        <f>IF(OR(H33="",LOWER(TRIM(H33&amp;""))="missing",LOWER(TRIM(H33&amp;""))=""),"Missing/",IFERROR(IF(OR(VALUE(H33)&lt;0,VALUE(H33)&gt;110),"Invalid","Valid"),"Check Format"))</f>
        <v>Invalid</v>
      </c>
      <c r="U33" t="str">
        <f>IF(Raw_Data[[#This Row],[Age_Check]]="Valid",H33,"")</f>
        <v/>
      </c>
      <c r="V33" t="str">
        <f>IF(OR(K33="",UPPER(TRIM(K33&amp;""))="",LOWER(TRIM(K33&amp;""))="",LOWER(TRIM(K33&amp;""))="",LOWER(TRIM(K33&amp;""))="missing"),"Missing/",IFERROR(IF(VALUE(K33)&lt;0,"Invalid","Valid"),"Check Format"))</f>
        <v>Valid</v>
      </c>
      <c r="W33" t="str">
        <f>IF(OR(E33="",F33=""),"Missing Date/Time",IFERROR(IF(F33&gt;E33,"Arrival After Appointment","OK"),"Check Format"))</f>
        <v>OK</v>
      </c>
      <c r="X33" t="str">
        <f>IF(OR(F33="",G33=""),"Missing Date/Time",IFERROR(IF(G33&lt;F33,"Discharge Before Arrival","OK"),"Check Format"))</f>
        <v>OK</v>
      </c>
    </row>
    <row r="34" spans="1:24" x14ac:dyDescent="0.25">
      <c r="A34" s="2" t="s">
        <v>144</v>
      </c>
      <c r="B34" s="2" t="s">
        <v>65</v>
      </c>
      <c r="C34" s="3" t="s">
        <v>94</v>
      </c>
      <c r="D34" s="3" t="s">
        <v>61</v>
      </c>
      <c r="E34" s="4">
        <v>45393.451388888891</v>
      </c>
      <c r="F34" s="4">
        <v>45393.447916666664</v>
      </c>
      <c r="H34" s="5">
        <v>145</v>
      </c>
      <c r="I34" s="3" t="s">
        <v>73</v>
      </c>
      <c r="J34" s="3" t="s">
        <v>2639</v>
      </c>
      <c r="K34" s="5">
        <v>46</v>
      </c>
      <c r="L34" s="5">
        <v>24</v>
      </c>
      <c r="M34" s="3" t="s">
        <v>63</v>
      </c>
      <c r="N34" t="s">
        <v>74</v>
      </c>
      <c r="P34" s="3" t="s">
        <v>25</v>
      </c>
      <c r="Q34" s="2">
        <v>27.92</v>
      </c>
      <c r="R34" s="3" t="s">
        <v>58</v>
      </c>
      <c r="S34">
        <f>COUNTIF(A:A,A34)</f>
        <v>1</v>
      </c>
      <c r="T34" t="str">
        <f>IF(OR(H34="",LOWER(TRIM(H34&amp;""))="missing",LOWER(TRIM(H34&amp;""))=""),"Missing/",IFERROR(IF(OR(VALUE(H34)&lt;0,VALUE(H34)&gt;110),"Invalid","Valid"),"Check Format"))</f>
        <v>Invalid</v>
      </c>
      <c r="U34" t="str">
        <f>IF(Raw_Data[[#This Row],[Age_Check]]="Valid",H34,"")</f>
        <v/>
      </c>
      <c r="V34" t="str">
        <f>IF(OR(K34="",UPPER(TRIM(K34&amp;""))="",LOWER(TRIM(K34&amp;""))="",LOWER(TRIM(K34&amp;""))="",LOWER(TRIM(K34&amp;""))="missing"),"Missing/",IFERROR(IF(VALUE(K34)&lt;0,"Invalid","Valid"),"Check Format"))</f>
        <v>Valid</v>
      </c>
      <c r="W34" t="str">
        <f>IF(OR(E34="",F34=""),"Missing Date/Time",IFERROR(IF(F34&gt;E34,"Arrival After Appointment","OK"),"Check Format"))</f>
        <v>OK</v>
      </c>
      <c r="X34" t="str">
        <f>IF(OR(F34="",G34=""),"Missing Date/Time",IFERROR(IF(G34&lt;F34,"Discharge Before Arrival","OK"),"Check Format"))</f>
        <v>Missing Date/Time</v>
      </c>
    </row>
    <row r="35" spans="1:24" x14ac:dyDescent="0.25">
      <c r="A35" s="2" t="s">
        <v>145</v>
      </c>
      <c r="B35" s="2" t="s">
        <v>146</v>
      </c>
      <c r="C35" s="3" t="s">
        <v>94</v>
      </c>
      <c r="D35" s="3" t="s">
        <v>72</v>
      </c>
      <c r="E35" s="4">
        <v>45932.701388888891</v>
      </c>
      <c r="F35" s="4">
        <v>45932.683333333334</v>
      </c>
      <c r="G35" s="4">
        <v>45932.773611111108</v>
      </c>
      <c r="J35" s="3" t="s">
        <v>2639</v>
      </c>
      <c r="K35" s="5">
        <v>68</v>
      </c>
      <c r="L35" s="5">
        <v>36</v>
      </c>
      <c r="M35" s="3" t="s">
        <v>63</v>
      </c>
      <c r="N35" t="s">
        <v>24</v>
      </c>
      <c r="P35" s="3" t="s">
        <v>25</v>
      </c>
      <c r="Q35" s="2">
        <v>145.41</v>
      </c>
      <c r="R35" s="3" t="s">
        <v>75</v>
      </c>
      <c r="S35">
        <f>COUNTIF(A:A,A35)</f>
        <v>1</v>
      </c>
      <c r="T35" t="str">
        <f>IF(OR(H35="",LOWER(TRIM(H35&amp;""))="missing",LOWER(TRIM(H35&amp;""))=""),"Missing/",IFERROR(IF(OR(VALUE(H35)&lt;0,VALUE(H35)&gt;110),"Invalid","Valid"),"Check Format"))</f>
        <v>Missing/</v>
      </c>
      <c r="U35" t="str">
        <f>IF(Raw_Data[[#This Row],[Age_Check]]="Valid",H35,"")</f>
        <v/>
      </c>
      <c r="V35" t="str">
        <f>IF(OR(K35="",UPPER(TRIM(K35&amp;""))="",LOWER(TRIM(K35&amp;""))="",LOWER(TRIM(K35&amp;""))="",LOWER(TRIM(K35&amp;""))="missing"),"Missing/",IFERROR(IF(VALUE(K35)&lt;0,"Invalid","Valid"),"Check Format"))</f>
        <v>Valid</v>
      </c>
      <c r="W35" t="str">
        <f>IF(OR(E35="",F35=""),"Missing Date/Time",IFERROR(IF(F35&gt;E35,"Arrival After Appointment","OK"),"Check Format"))</f>
        <v>OK</v>
      </c>
      <c r="X35" t="str">
        <f>IF(OR(F35="",G35=""),"Missing Date/Time",IFERROR(IF(G35&lt;F35,"Discharge Before Arrival","OK"),"Check Format"))</f>
        <v>OK</v>
      </c>
    </row>
    <row r="36" spans="1:24" x14ac:dyDescent="0.25">
      <c r="A36" s="2" t="s">
        <v>147</v>
      </c>
      <c r="B36" s="2" t="s">
        <v>148</v>
      </c>
      <c r="C36" s="3" t="s">
        <v>37</v>
      </c>
      <c r="D36" s="3" t="s">
        <v>149</v>
      </c>
      <c r="E36" s="4">
        <v>45567.579861111109</v>
      </c>
      <c r="F36" s="4">
        <v>45332.561805555553</v>
      </c>
      <c r="G36" s="4">
        <v>45332.618055555555</v>
      </c>
      <c r="I36" s="3" t="s">
        <v>90</v>
      </c>
      <c r="J36" s="3" t="s">
        <v>150</v>
      </c>
      <c r="K36" s="5">
        <v>49</v>
      </c>
      <c r="L36" s="5">
        <v>6</v>
      </c>
      <c r="M36" s="3" t="s">
        <v>87</v>
      </c>
      <c r="N36" t="s">
        <v>69</v>
      </c>
      <c r="P36" s="3" t="s">
        <v>80</v>
      </c>
      <c r="Q36" s="2">
        <v>111.35</v>
      </c>
      <c r="R36" s="3" t="s">
        <v>43</v>
      </c>
      <c r="S36">
        <f>COUNTIF(A:A,A36)</f>
        <v>1</v>
      </c>
      <c r="T36" t="str">
        <f>IF(OR(H36="",LOWER(TRIM(H36&amp;""))="missing",LOWER(TRIM(H36&amp;""))=""),"Missing/",IFERROR(IF(OR(VALUE(H36)&lt;0,VALUE(H36)&gt;110),"Invalid","Valid"),"Check Format"))</f>
        <v>Missing/</v>
      </c>
      <c r="U36" t="str">
        <f>IF(Raw_Data[[#This Row],[Age_Check]]="Valid",H36,"")</f>
        <v/>
      </c>
      <c r="V36" t="str">
        <f>IF(OR(K36="",UPPER(TRIM(K36&amp;""))="",LOWER(TRIM(K36&amp;""))="",LOWER(TRIM(K36&amp;""))="",LOWER(TRIM(K36&amp;""))="missing"),"Missing/",IFERROR(IF(VALUE(K36)&lt;0,"Invalid","Valid"),"Check Format"))</f>
        <v>Valid</v>
      </c>
      <c r="W36" t="str">
        <f>IF(OR(E36="",F36=""),"Missing Date/Time",IFERROR(IF(F36&gt;E36,"Arrival After Appointment","OK"),"Check Format"))</f>
        <v>OK</v>
      </c>
      <c r="X36" t="str">
        <f>IF(OR(F36="",G36=""),"Missing Date/Time",IFERROR(IF(G36&lt;F36,"Discharge Before Arrival","OK"),"Check Format"))</f>
        <v>OK</v>
      </c>
    </row>
    <row r="37" spans="1:24" x14ac:dyDescent="0.25">
      <c r="A37" s="2" t="s">
        <v>151</v>
      </c>
      <c r="B37" s="2" t="s">
        <v>152</v>
      </c>
      <c r="C37" s="3" t="s">
        <v>94</v>
      </c>
      <c r="D37" s="3" t="s">
        <v>30</v>
      </c>
      <c r="F37" s="4">
        <v>45385.585416666669</v>
      </c>
      <c r="G37" s="4">
        <v>45385.644444444442</v>
      </c>
      <c r="H37" s="5">
        <v>145</v>
      </c>
      <c r="I37" s="3" t="s">
        <v>95</v>
      </c>
      <c r="J37" s="3" t="s">
        <v>67</v>
      </c>
      <c r="K37" s="5">
        <v>46</v>
      </c>
      <c r="L37" s="5">
        <v>17</v>
      </c>
      <c r="M37" s="3" t="s">
        <v>32</v>
      </c>
      <c r="N37" t="s">
        <v>100</v>
      </c>
      <c r="P37" s="3" t="s">
        <v>25</v>
      </c>
      <c r="Q37" s="2">
        <v>132.1</v>
      </c>
      <c r="R37" s="3" t="s">
        <v>58</v>
      </c>
      <c r="S37">
        <f>COUNTIF(A:A,A37)</f>
        <v>1</v>
      </c>
      <c r="T37" t="str">
        <f>IF(OR(H37="",LOWER(TRIM(H37&amp;""))="missing",LOWER(TRIM(H37&amp;""))=""),"Missing/",IFERROR(IF(OR(VALUE(H37)&lt;0,VALUE(H37)&gt;110),"Invalid","Valid"),"Check Format"))</f>
        <v>Invalid</v>
      </c>
      <c r="U37" t="str">
        <f>IF(Raw_Data[[#This Row],[Age_Check]]="Valid",H37,"")</f>
        <v/>
      </c>
      <c r="V37" t="str">
        <f>IF(OR(K37="",UPPER(TRIM(K37&amp;""))="",LOWER(TRIM(K37&amp;""))="",LOWER(TRIM(K37&amp;""))="",LOWER(TRIM(K37&amp;""))="missing"),"Missing/",IFERROR(IF(VALUE(K37)&lt;0,"Invalid","Valid"),"Check Format"))</f>
        <v>Valid</v>
      </c>
      <c r="W37" t="str">
        <f>IF(OR(E37="",F37=""),"Missing Date/Time",IFERROR(IF(F37&gt;E37,"Arrival After Appointment","OK"),"Check Format"))</f>
        <v>Missing Date/Time</v>
      </c>
      <c r="X37" t="str">
        <f>IF(OR(F37="",G37=""),"Missing Date/Time",IFERROR(IF(G37&lt;F37,"Discharge Before Arrival","OK"),"Check Format"))</f>
        <v>OK</v>
      </c>
    </row>
    <row r="38" spans="1:24" x14ac:dyDescent="0.25">
      <c r="A38" s="2" t="s">
        <v>153</v>
      </c>
      <c r="B38" s="2" t="s">
        <v>154</v>
      </c>
      <c r="D38" s="3" t="s">
        <v>20</v>
      </c>
      <c r="E38" s="4">
        <v>45907.604166666664</v>
      </c>
      <c r="F38" s="4">
        <v>45847.587500000001</v>
      </c>
      <c r="H38" s="5">
        <v>70</v>
      </c>
      <c r="I38" s="3" t="s">
        <v>90</v>
      </c>
      <c r="J38" s="3" t="s">
        <v>67</v>
      </c>
      <c r="K38" s="5">
        <v>72</v>
      </c>
      <c r="L38" s="5">
        <v>65</v>
      </c>
      <c r="M38" s="3" t="s">
        <v>32</v>
      </c>
      <c r="N38" t="s">
        <v>24</v>
      </c>
      <c r="P38" s="3" t="s">
        <v>25</v>
      </c>
      <c r="Q38" s="2">
        <v>158.97</v>
      </c>
      <c r="R38" s="3" t="s">
        <v>43</v>
      </c>
      <c r="S38">
        <f>COUNTIF(A:A,A38)</f>
        <v>1</v>
      </c>
      <c r="T38" t="str">
        <f>IF(OR(H38="",LOWER(TRIM(H38&amp;""))="missing",LOWER(TRIM(H38&amp;""))=""),"Missing/",IFERROR(IF(OR(VALUE(H38)&lt;0,VALUE(H38)&gt;110),"Invalid","Valid"),"Check Format"))</f>
        <v>Valid</v>
      </c>
      <c r="U38">
        <f>IF(Raw_Data[[#This Row],[Age_Check]]="Valid",H38,"")</f>
        <v>70</v>
      </c>
      <c r="V38" t="str">
        <f>IF(OR(K38="",UPPER(TRIM(K38&amp;""))="",LOWER(TRIM(K38&amp;""))="",LOWER(TRIM(K38&amp;""))="",LOWER(TRIM(K38&amp;""))="missing"),"Missing/",IFERROR(IF(VALUE(K38)&lt;0,"Invalid","Valid"),"Check Format"))</f>
        <v>Valid</v>
      </c>
      <c r="W38" t="str">
        <f>IF(OR(E38="",F38=""),"Missing Date/Time",IFERROR(IF(F38&gt;E38,"Arrival After Appointment","OK"),"Check Format"))</f>
        <v>OK</v>
      </c>
      <c r="X38" t="str">
        <f>IF(OR(F38="",G38=""),"Missing Date/Time",IFERROR(IF(G38&lt;F38,"Discharge Before Arrival","OK"),"Check Format"))</f>
        <v>Missing Date/Time</v>
      </c>
    </row>
    <row r="39" spans="1:24" x14ac:dyDescent="0.25">
      <c r="A39" s="2" t="s">
        <v>155</v>
      </c>
      <c r="B39" s="2" t="s">
        <v>156</v>
      </c>
      <c r="C39" s="3" t="s">
        <v>46</v>
      </c>
      <c r="D39" s="3" t="s">
        <v>47</v>
      </c>
      <c r="E39" s="4">
        <v>45522.357638888891</v>
      </c>
      <c r="F39" s="4">
        <v>45522.352083333331</v>
      </c>
      <c r="G39" s="4">
        <v>45522.425000000003</v>
      </c>
      <c r="H39" s="5">
        <v>60</v>
      </c>
      <c r="I39" s="3" t="s">
        <v>73</v>
      </c>
      <c r="J39" s="3" t="s">
        <v>62</v>
      </c>
      <c r="K39" s="5">
        <v>67</v>
      </c>
      <c r="L39" s="5">
        <v>30</v>
      </c>
      <c r="M39" s="3" t="s">
        <v>68</v>
      </c>
      <c r="N39" t="s">
        <v>69</v>
      </c>
      <c r="O39" s="5">
        <v>6</v>
      </c>
      <c r="P39" s="3" t="s">
        <v>42</v>
      </c>
      <c r="Q39" s="2">
        <v>0</v>
      </c>
      <c r="R39" s="3" t="s">
        <v>58</v>
      </c>
      <c r="S39">
        <f>COUNTIF(A:A,A39)</f>
        <v>1</v>
      </c>
      <c r="T39" t="str">
        <f>IF(OR(H39="",LOWER(TRIM(H39&amp;""))="missing",LOWER(TRIM(H39&amp;""))=""),"Missing/",IFERROR(IF(OR(VALUE(H39)&lt;0,VALUE(H39)&gt;110),"Invalid","Valid"),"Check Format"))</f>
        <v>Valid</v>
      </c>
      <c r="U39">
        <f>IF(Raw_Data[[#This Row],[Age_Check]]="Valid",H39,"")</f>
        <v>60</v>
      </c>
      <c r="V39" t="str">
        <f>IF(OR(K39="",UPPER(TRIM(K39&amp;""))="",LOWER(TRIM(K39&amp;""))="",LOWER(TRIM(K39&amp;""))="",LOWER(TRIM(K39&amp;""))="missing"),"Missing/",IFERROR(IF(VALUE(K39)&lt;0,"Invalid","Valid"),"Check Format"))</f>
        <v>Valid</v>
      </c>
      <c r="W39" t="str">
        <f>IF(OR(E39="",F39=""),"Missing Date/Time",IFERROR(IF(F39&gt;E39,"Arrival After Appointment","OK"),"Check Format"))</f>
        <v>OK</v>
      </c>
      <c r="X39" t="str">
        <f>IF(OR(F39="",G39=""),"Missing Date/Time",IFERROR(IF(G39&lt;F39,"Discharge Before Arrival","OK"),"Check Format"))</f>
        <v>OK</v>
      </c>
    </row>
    <row r="40" spans="1:24" x14ac:dyDescent="0.25">
      <c r="A40" s="2" t="s">
        <v>157</v>
      </c>
      <c r="B40" s="2" t="s">
        <v>158</v>
      </c>
      <c r="D40" s="3" t="s">
        <v>99</v>
      </c>
      <c r="E40" s="4" t="s">
        <v>159</v>
      </c>
      <c r="F40" s="4">
        <v>45811.448611111111</v>
      </c>
      <c r="G40" s="4">
        <v>45811.520833333336</v>
      </c>
      <c r="H40" s="5">
        <v>145</v>
      </c>
      <c r="J40" s="3" t="s">
        <v>22</v>
      </c>
      <c r="K40" s="5">
        <v>57</v>
      </c>
      <c r="L40" s="5">
        <v>33</v>
      </c>
      <c r="N40" t="s">
        <v>24</v>
      </c>
      <c r="P40" s="3" t="s">
        <v>80</v>
      </c>
      <c r="Q40" s="2">
        <v>342.06</v>
      </c>
      <c r="R40" s="3" t="s">
        <v>43</v>
      </c>
      <c r="S40">
        <f>COUNTIF(A:A,A40)</f>
        <v>1</v>
      </c>
      <c r="T40" t="str">
        <f>IF(OR(H40="",LOWER(TRIM(H40&amp;""))="missing",LOWER(TRIM(H40&amp;""))=""),"Missing/",IFERROR(IF(OR(VALUE(H40)&lt;0,VALUE(H40)&gt;110),"Invalid","Valid"),"Check Format"))</f>
        <v>Invalid</v>
      </c>
      <c r="U40" t="str">
        <f>IF(Raw_Data[[#This Row],[Age_Check]]="Valid",H40,"")</f>
        <v/>
      </c>
      <c r="V40" t="str">
        <f>IF(OR(K40="",UPPER(TRIM(K40&amp;""))="",LOWER(TRIM(K40&amp;""))="",LOWER(TRIM(K40&amp;""))="",LOWER(TRIM(K40&amp;""))="missing"),"Missing/",IFERROR(IF(VALUE(K40)&lt;0,"Invalid","Valid"),"Check Format"))</f>
        <v>Valid</v>
      </c>
      <c r="W40" t="str">
        <f>IF(OR(E40="",F40=""),"Missing Date/Time",IFERROR(IF(F40&gt;E40,"Arrival After Appointment","OK"),"Check Format"))</f>
        <v>OK</v>
      </c>
      <c r="X40" t="str">
        <f>IF(OR(F40="",G40=""),"Missing Date/Time",IFERROR(IF(G40&lt;F40,"Discharge Before Arrival","OK"),"Check Format"))</f>
        <v>OK</v>
      </c>
    </row>
    <row r="41" spans="1:24" x14ac:dyDescent="0.25">
      <c r="A41" s="2" t="s">
        <v>160</v>
      </c>
      <c r="B41" s="2" t="s">
        <v>161</v>
      </c>
      <c r="C41" s="3" t="s">
        <v>94</v>
      </c>
      <c r="D41" s="3" t="s">
        <v>47</v>
      </c>
      <c r="E41" s="4">
        <v>45776.770833333336</v>
      </c>
      <c r="F41" s="4">
        <v>45776.758333333331</v>
      </c>
      <c r="G41" s="4">
        <v>45776.831944444442</v>
      </c>
      <c r="H41" s="5">
        <v>12</v>
      </c>
      <c r="J41" s="3" t="s">
        <v>67</v>
      </c>
      <c r="K41" s="5">
        <v>51</v>
      </c>
      <c r="L41" s="5">
        <v>37</v>
      </c>
      <c r="M41" s="3" t="s">
        <v>32</v>
      </c>
      <c r="N41" t="s">
        <v>74</v>
      </c>
      <c r="P41" s="3" t="s">
        <v>80</v>
      </c>
      <c r="Q41" s="2">
        <v>142.22</v>
      </c>
      <c r="R41" s="3" t="s">
        <v>75</v>
      </c>
      <c r="S41">
        <f>COUNTIF(A:A,A41)</f>
        <v>1</v>
      </c>
      <c r="T41" t="str">
        <f>IF(OR(H41="",LOWER(TRIM(H41&amp;""))="missing",LOWER(TRIM(H41&amp;""))=""),"Missing/",IFERROR(IF(OR(VALUE(H41)&lt;0,VALUE(H41)&gt;110),"Invalid","Valid"),"Check Format"))</f>
        <v>Valid</v>
      </c>
      <c r="U41">
        <f>IF(Raw_Data[[#This Row],[Age_Check]]="Valid",H41,"")</f>
        <v>12</v>
      </c>
      <c r="V41" t="str">
        <f>IF(OR(K41="",UPPER(TRIM(K41&amp;""))="",LOWER(TRIM(K41&amp;""))="",LOWER(TRIM(K41&amp;""))="",LOWER(TRIM(K41&amp;""))="missing"),"Missing/",IFERROR(IF(VALUE(K41)&lt;0,"Invalid","Valid"),"Check Format"))</f>
        <v>Valid</v>
      </c>
      <c r="W41" t="str">
        <f>IF(OR(E41="",F41=""),"Missing Date/Time",IFERROR(IF(F41&gt;E41,"Arrival After Appointment","OK"),"Check Format"))</f>
        <v>OK</v>
      </c>
      <c r="X41" t="str">
        <f>IF(OR(F41="",G41=""),"Missing Date/Time",IFERROR(IF(G41&lt;F41,"Discharge Before Arrival","OK"),"Check Format"))</f>
        <v>OK</v>
      </c>
    </row>
    <row r="42" spans="1:24" x14ac:dyDescent="0.25">
      <c r="A42" s="2" t="s">
        <v>162</v>
      </c>
      <c r="B42" s="2" t="s">
        <v>161</v>
      </c>
      <c r="C42" s="3" t="s">
        <v>19</v>
      </c>
      <c r="D42" s="3" t="s">
        <v>30</v>
      </c>
      <c r="E42" s="4">
        <v>45628.736111111109</v>
      </c>
      <c r="F42" s="4">
        <v>45628.72152777778</v>
      </c>
      <c r="G42" s="4">
        <v>45628.78402777778</v>
      </c>
      <c r="H42" s="5">
        <v>29</v>
      </c>
      <c r="I42" s="3" t="s">
        <v>95</v>
      </c>
      <c r="J42" s="3" t="s">
        <v>67</v>
      </c>
      <c r="K42" s="5">
        <v>17</v>
      </c>
      <c r="L42" s="5">
        <v>52</v>
      </c>
      <c r="M42" s="3" t="s">
        <v>23</v>
      </c>
      <c r="N42" t="s">
        <v>100</v>
      </c>
      <c r="P42" s="3" t="s">
        <v>25</v>
      </c>
      <c r="Q42" s="2">
        <v>205.15</v>
      </c>
      <c r="R42" s="3" t="s">
        <v>58</v>
      </c>
      <c r="S42">
        <f>COUNTIF(A:A,A42)</f>
        <v>1</v>
      </c>
      <c r="T42" t="str">
        <f>IF(OR(H42="",LOWER(TRIM(H42&amp;""))="missing",LOWER(TRIM(H42&amp;""))=""),"Missing/",IFERROR(IF(OR(VALUE(H42)&lt;0,VALUE(H42)&gt;110),"Invalid","Valid"),"Check Format"))</f>
        <v>Valid</v>
      </c>
      <c r="U42">
        <f>IF(Raw_Data[[#This Row],[Age_Check]]="Valid",H42,"")</f>
        <v>29</v>
      </c>
      <c r="V42" t="str">
        <f>IF(OR(K42="",UPPER(TRIM(K42&amp;""))="",LOWER(TRIM(K42&amp;""))="",LOWER(TRIM(K42&amp;""))="",LOWER(TRIM(K42&amp;""))="missing"),"Missing/",IFERROR(IF(VALUE(K42)&lt;0,"Invalid","Valid"),"Check Format"))</f>
        <v>Valid</v>
      </c>
      <c r="W42" t="str">
        <f>IF(OR(E42="",F42=""),"Missing Date/Time",IFERROR(IF(F42&gt;E42,"Arrival After Appointment","OK"),"Check Format"))</f>
        <v>OK</v>
      </c>
      <c r="X42" t="str">
        <f>IF(OR(F42="",G42=""),"Missing Date/Time",IFERROR(IF(G42&lt;F42,"Discharge Before Arrival","OK"),"Check Format"))</f>
        <v>OK</v>
      </c>
    </row>
    <row r="43" spans="1:24" x14ac:dyDescent="0.25">
      <c r="A43" s="2" t="s">
        <v>164</v>
      </c>
      <c r="B43" s="2" t="s">
        <v>165</v>
      </c>
      <c r="C43" s="3" t="s">
        <v>19</v>
      </c>
      <c r="D43" s="3" t="s">
        <v>72</v>
      </c>
      <c r="E43" s="4">
        <v>45733.385416666664</v>
      </c>
      <c r="F43" s="4">
        <v>45733.377083333333</v>
      </c>
      <c r="G43" s="4">
        <v>45733.454861111109</v>
      </c>
      <c r="H43" s="5">
        <v>145</v>
      </c>
      <c r="I43" s="3" t="s">
        <v>95</v>
      </c>
      <c r="K43" s="5">
        <v>85</v>
      </c>
      <c r="L43" s="5">
        <v>15</v>
      </c>
      <c r="M43" s="3" t="s">
        <v>50</v>
      </c>
      <c r="N43" t="s">
        <v>24</v>
      </c>
      <c r="P43" s="3" t="s">
        <v>42</v>
      </c>
      <c r="R43" s="3" t="s">
        <v>58</v>
      </c>
      <c r="S43">
        <f>COUNTIF(A:A,A43)</f>
        <v>1</v>
      </c>
      <c r="T43" t="str">
        <f>IF(OR(H43="",LOWER(TRIM(H43&amp;""))="missing",LOWER(TRIM(H43&amp;""))=""),"Missing/",IFERROR(IF(OR(VALUE(H43)&lt;0,VALUE(H43)&gt;110),"Invalid","Valid"),"Check Format"))</f>
        <v>Invalid</v>
      </c>
      <c r="U43" t="str">
        <f>IF(Raw_Data[[#This Row],[Age_Check]]="Valid",H43,"")</f>
        <v/>
      </c>
      <c r="V43" t="str">
        <f>IF(OR(K43="",UPPER(TRIM(K43&amp;""))="",LOWER(TRIM(K43&amp;""))="",LOWER(TRIM(K43&amp;""))="",LOWER(TRIM(K43&amp;""))="missing"),"Missing/",IFERROR(IF(VALUE(K43)&lt;0,"Invalid","Valid"),"Check Format"))</f>
        <v>Valid</v>
      </c>
      <c r="W43" t="str">
        <f>IF(OR(E43="",F43=""),"Missing Date/Time",IFERROR(IF(F43&gt;E43,"Arrival After Appointment","OK"),"Check Format"))</f>
        <v>OK</v>
      </c>
      <c r="X43" t="str">
        <f>IF(OR(F43="",G43=""),"Missing Date/Time",IFERROR(IF(G43&lt;F43,"Discharge Before Arrival","OK"),"Check Format"))</f>
        <v>OK</v>
      </c>
    </row>
    <row r="44" spans="1:24" x14ac:dyDescent="0.25">
      <c r="A44" s="2" t="s">
        <v>166</v>
      </c>
      <c r="B44" s="2" t="s">
        <v>167</v>
      </c>
      <c r="D44" s="3" t="s">
        <v>47</v>
      </c>
      <c r="E44" s="4">
        <v>45744.53125</v>
      </c>
      <c r="F44" s="4">
        <v>45744.527083333334</v>
      </c>
      <c r="G44" s="4">
        <v>45744.609722222223</v>
      </c>
      <c r="H44" s="5">
        <v>13</v>
      </c>
      <c r="I44" s="3" t="s">
        <v>95</v>
      </c>
      <c r="J44" s="3" t="s">
        <v>22</v>
      </c>
      <c r="L44" s="5">
        <v>6</v>
      </c>
      <c r="M44" s="3" t="s">
        <v>41</v>
      </c>
      <c r="O44" s="5">
        <v>3</v>
      </c>
      <c r="Q44" s="2">
        <v>191.95</v>
      </c>
      <c r="R44" s="3" t="s">
        <v>75</v>
      </c>
      <c r="S44">
        <f>COUNTIF(A:A,A44)</f>
        <v>1</v>
      </c>
      <c r="T44" t="str">
        <f>IF(OR(H44="",LOWER(TRIM(H44&amp;""))="missing",LOWER(TRIM(H44&amp;""))=""),"Missing/",IFERROR(IF(OR(VALUE(H44)&lt;0,VALUE(H44)&gt;110),"Invalid","Valid"),"Check Format"))</f>
        <v>Valid</v>
      </c>
      <c r="U44">
        <f>IF(Raw_Data[[#This Row],[Age_Check]]="Valid",H44,"")</f>
        <v>13</v>
      </c>
      <c r="V44" t="str">
        <f>IF(OR(K44="",UPPER(TRIM(K44&amp;""))="",LOWER(TRIM(K44&amp;""))="",LOWER(TRIM(K44&amp;""))="",LOWER(TRIM(K44&amp;""))="missing"),"Missing/",IFERROR(IF(VALUE(K44)&lt;0,"Invalid","Valid"),"Check Format"))</f>
        <v>Missing/</v>
      </c>
      <c r="W44" t="str">
        <f>IF(OR(E44="",F44=""),"Missing Date/Time",IFERROR(IF(F44&gt;E44,"Arrival After Appointment","OK"),"Check Format"))</f>
        <v>OK</v>
      </c>
      <c r="X44" t="str">
        <f>IF(OR(F44="",G44=""),"Missing Date/Time",IFERROR(IF(G44&lt;F44,"Discharge Before Arrival","OK"),"Check Format"))</f>
        <v>OK</v>
      </c>
    </row>
    <row r="45" spans="1:24" x14ac:dyDescent="0.25">
      <c r="A45" s="2" t="s">
        <v>168</v>
      </c>
      <c r="B45" s="2" t="s">
        <v>167</v>
      </c>
      <c r="C45" s="3" t="s">
        <v>94</v>
      </c>
      <c r="D45" s="3" t="s">
        <v>20</v>
      </c>
      <c r="E45" s="4">
        <v>45585.447916666664</v>
      </c>
      <c r="F45" s="4">
        <v>45585.428472222222</v>
      </c>
      <c r="G45" s="4">
        <v>45585.550694444442</v>
      </c>
      <c r="I45" s="3" t="s">
        <v>95</v>
      </c>
      <c r="J45" s="3" t="s">
        <v>150</v>
      </c>
      <c r="K45" s="5">
        <v>134</v>
      </c>
      <c r="L45" s="5">
        <v>14</v>
      </c>
      <c r="M45" s="3" t="s">
        <v>41</v>
      </c>
      <c r="N45" t="s">
        <v>69</v>
      </c>
      <c r="P45" s="3" t="s">
        <v>42</v>
      </c>
      <c r="Q45" s="2">
        <v>99.7</v>
      </c>
      <c r="R45" s="3" t="s">
        <v>43</v>
      </c>
      <c r="S45">
        <f>COUNTIF(A:A,A45)</f>
        <v>1</v>
      </c>
      <c r="T45" t="str">
        <f>IF(OR(H45="",LOWER(TRIM(H45&amp;""))="missing",LOWER(TRIM(H45&amp;""))=""),"Missing/",IFERROR(IF(OR(VALUE(H45)&lt;0,VALUE(H45)&gt;110),"Invalid","Valid"),"Check Format"))</f>
        <v>Missing/</v>
      </c>
      <c r="U45" t="str">
        <f>IF(Raw_Data[[#This Row],[Age_Check]]="Valid",H45,"")</f>
        <v/>
      </c>
      <c r="V45" t="str">
        <f>IF(OR(K45="",UPPER(TRIM(K45&amp;""))="",LOWER(TRIM(K45&amp;""))="",LOWER(TRIM(K45&amp;""))="",LOWER(TRIM(K45&amp;""))="missing"),"Missing/",IFERROR(IF(VALUE(K45)&lt;0,"Invalid","Valid"),"Check Format"))</f>
        <v>Valid</v>
      </c>
      <c r="W45" t="str">
        <f>IF(OR(E45="",F45=""),"Missing Date/Time",IFERROR(IF(F45&gt;E45,"Arrival After Appointment","OK"),"Check Format"))</f>
        <v>OK</v>
      </c>
      <c r="X45" t="str">
        <f>IF(OR(F45="",G45=""),"Missing Date/Time",IFERROR(IF(G45&lt;F45,"Discharge Before Arrival","OK"),"Check Format"))</f>
        <v>OK</v>
      </c>
    </row>
    <row r="46" spans="1:24" x14ac:dyDescent="0.25">
      <c r="A46" s="2" t="s">
        <v>169</v>
      </c>
      <c r="B46" s="2" t="s">
        <v>170</v>
      </c>
      <c r="C46" s="3" t="s">
        <v>29</v>
      </c>
      <c r="D46" s="3" t="s">
        <v>61</v>
      </c>
      <c r="E46" s="4">
        <v>45835.638888888891</v>
      </c>
      <c r="F46" s="4">
        <v>45835.629166666666</v>
      </c>
      <c r="G46" s="4">
        <v>45835.696527777778</v>
      </c>
      <c r="I46" s="3" t="s">
        <v>95</v>
      </c>
      <c r="J46" s="3" t="s">
        <v>171</v>
      </c>
      <c r="K46" s="5">
        <v>61</v>
      </c>
      <c r="L46" s="5">
        <v>22</v>
      </c>
      <c r="M46" s="3" t="s">
        <v>41</v>
      </c>
      <c r="N46" t="s">
        <v>100</v>
      </c>
      <c r="P46" s="3" t="s">
        <v>25</v>
      </c>
      <c r="Q46" s="2">
        <v>20.95</v>
      </c>
      <c r="R46" s="3" t="s">
        <v>75</v>
      </c>
      <c r="S46">
        <f>COUNTIF(A:A,A46)</f>
        <v>1</v>
      </c>
      <c r="T46" t="str">
        <f>IF(OR(H46="",LOWER(TRIM(H46&amp;""))="missing",LOWER(TRIM(H46&amp;""))=""),"Missing/",IFERROR(IF(OR(VALUE(H46)&lt;0,VALUE(H46)&gt;110),"Invalid","Valid"),"Check Format"))</f>
        <v>Missing/</v>
      </c>
      <c r="U46" t="str">
        <f>IF(Raw_Data[[#This Row],[Age_Check]]="Valid",H46,"")</f>
        <v/>
      </c>
      <c r="V46" t="str">
        <f>IF(OR(K46="",UPPER(TRIM(K46&amp;""))="",LOWER(TRIM(K46&amp;""))="",LOWER(TRIM(K46&amp;""))="",LOWER(TRIM(K46&amp;""))="missing"),"Missing/",IFERROR(IF(VALUE(K46)&lt;0,"Invalid","Valid"),"Check Format"))</f>
        <v>Valid</v>
      </c>
      <c r="W46" t="str">
        <f>IF(OR(E46="",F46=""),"Missing Date/Time",IFERROR(IF(F46&gt;E46,"Arrival After Appointment","OK"),"Check Format"))</f>
        <v>OK</v>
      </c>
      <c r="X46" t="str">
        <f>IF(OR(F46="",G46=""),"Missing Date/Time",IFERROR(IF(G46&lt;F46,"Discharge Before Arrival","OK"),"Check Format"))</f>
        <v>OK</v>
      </c>
    </row>
    <row r="47" spans="1:24" x14ac:dyDescent="0.25">
      <c r="A47" s="2" t="s">
        <v>172</v>
      </c>
      <c r="B47" s="2" t="s">
        <v>173</v>
      </c>
      <c r="C47" s="3" t="s">
        <v>29</v>
      </c>
      <c r="D47" s="3" t="s">
        <v>174</v>
      </c>
      <c r="E47" s="4">
        <v>45945.503472222219</v>
      </c>
      <c r="F47" s="4">
        <v>45945.498611111114</v>
      </c>
      <c r="G47" s="4">
        <v>45945.553472222222</v>
      </c>
      <c r="I47" s="3" t="s">
        <v>90</v>
      </c>
      <c r="J47" s="3" t="s">
        <v>2639</v>
      </c>
      <c r="K47" s="5">
        <v>60</v>
      </c>
      <c r="L47" s="5">
        <v>12</v>
      </c>
      <c r="N47" t="s">
        <v>100</v>
      </c>
      <c r="O47" s="5">
        <v>2</v>
      </c>
      <c r="P47" s="3" t="s">
        <v>25</v>
      </c>
      <c r="Q47" s="2">
        <v>182.89</v>
      </c>
      <c r="R47" s="3" t="s">
        <v>58</v>
      </c>
      <c r="S47">
        <f>COUNTIF(A:A,A47)</f>
        <v>1</v>
      </c>
      <c r="T47" t="str">
        <f>IF(OR(H47="",LOWER(TRIM(H47&amp;""))="missing",LOWER(TRIM(H47&amp;""))=""),"Missing/",IFERROR(IF(OR(VALUE(H47)&lt;0,VALUE(H47)&gt;110),"Invalid","Valid"),"Check Format"))</f>
        <v>Missing/</v>
      </c>
      <c r="U47" t="str">
        <f>IF(Raw_Data[[#This Row],[Age_Check]]="Valid",H47,"")</f>
        <v/>
      </c>
      <c r="V47" t="str">
        <f>IF(OR(K47="",UPPER(TRIM(K47&amp;""))="",LOWER(TRIM(K47&amp;""))="",LOWER(TRIM(K47&amp;""))="",LOWER(TRIM(K47&amp;""))="missing"),"Missing/",IFERROR(IF(VALUE(K47)&lt;0,"Invalid","Valid"),"Check Format"))</f>
        <v>Valid</v>
      </c>
      <c r="W47" t="str">
        <f>IF(OR(E47="",F47=""),"Missing Date/Time",IFERROR(IF(F47&gt;E47,"Arrival After Appointment","OK"),"Check Format"))</f>
        <v>OK</v>
      </c>
      <c r="X47" t="str">
        <f>IF(OR(F47="",G47=""),"Missing Date/Time",IFERROR(IF(G47&lt;F47,"Discharge Before Arrival","OK"),"Check Format"))</f>
        <v>OK</v>
      </c>
    </row>
    <row r="48" spans="1:24" x14ac:dyDescent="0.25">
      <c r="A48" s="2" t="s">
        <v>175</v>
      </c>
      <c r="B48" s="2" t="s">
        <v>176</v>
      </c>
      <c r="C48" s="3" t="s">
        <v>19</v>
      </c>
      <c r="D48" s="3" t="s">
        <v>72</v>
      </c>
      <c r="E48" s="4">
        <v>45756.534722222219</v>
      </c>
      <c r="F48" s="4">
        <v>45756.521527777775</v>
      </c>
      <c r="G48" s="4">
        <v>45756.593055555553</v>
      </c>
      <c r="I48" s="3" t="s">
        <v>39</v>
      </c>
      <c r="K48" s="5">
        <v>25</v>
      </c>
      <c r="L48" s="5">
        <v>59</v>
      </c>
      <c r="M48" s="3" t="s">
        <v>50</v>
      </c>
      <c r="N48" t="s">
        <v>24</v>
      </c>
      <c r="P48" s="3" t="s">
        <v>25</v>
      </c>
      <c r="Q48" s="2">
        <v>82.34</v>
      </c>
      <c r="R48" s="3" t="s">
        <v>75</v>
      </c>
      <c r="S48">
        <f>COUNTIF(A:A,A48)</f>
        <v>1</v>
      </c>
      <c r="T48" t="str">
        <f>IF(OR(H48="",LOWER(TRIM(H48&amp;""))="missing",LOWER(TRIM(H48&amp;""))=""),"Missing/",IFERROR(IF(OR(VALUE(H48)&lt;0,VALUE(H48)&gt;110),"Invalid","Valid"),"Check Format"))</f>
        <v>Missing/</v>
      </c>
      <c r="U48" t="str">
        <f>IF(Raw_Data[[#This Row],[Age_Check]]="Valid",H48,"")</f>
        <v/>
      </c>
      <c r="V48" t="str">
        <f>IF(OR(K48="",UPPER(TRIM(K48&amp;""))="",LOWER(TRIM(K48&amp;""))="",LOWER(TRIM(K48&amp;""))="",LOWER(TRIM(K48&amp;""))="missing"),"Missing/",IFERROR(IF(VALUE(K48)&lt;0,"Invalid","Valid"),"Check Format"))</f>
        <v>Valid</v>
      </c>
      <c r="W48" t="str">
        <f>IF(OR(E48="",F48=""),"Missing Date/Time",IFERROR(IF(F48&gt;E48,"Arrival After Appointment","OK"),"Check Format"))</f>
        <v>OK</v>
      </c>
      <c r="X48" t="str">
        <f>IF(OR(F48="",G48=""),"Missing Date/Time",IFERROR(IF(G48&lt;F48,"Discharge Before Arrival","OK"),"Check Format"))</f>
        <v>OK</v>
      </c>
    </row>
    <row r="49" spans="1:24" x14ac:dyDescent="0.25">
      <c r="A49" s="2" t="s">
        <v>177</v>
      </c>
      <c r="B49" s="2" t="s">
        <v>178</v>
      </c>
      <c r="C49" s="3" t="s">
        <v>37</v>
      </c>
      <c r="D49" s="3" t="s">
        <v>106</v>
      </c>
      <c r="E49" s="4">
        <v>45699.46875</v>
      </c>
      <c r="F49" s="4">
        <v>45699.455555555556</v>
      </c>
      <c r="G49" s="4">
        <v>45699.532638888886</v>
      </c>
      <c r="H49" s="5">
        <v>42</v>
      </c>
      <c r="I49" s="3" t="s">
        <v>95</v>
      </c>
      <c r="J49" s="3" t="s">
        <v>62</v>
      </c>
      <c r="K49" s="5">
        <v>46</v>
      </c>
      <c r="L49" s="5">
        <v>46</v>
      </c>
      <c r="M49" s="3" t="s">
        <v>50</v>
      </c>
      <c r="N49" t="s">
        <v>100</v>
      </c>
      <c r="O49" s="5">
        <v>6</v>
      </c>
      <c r="P49" s="3" t="s">
        <v>80</v>
      </c>
      <c r="Q49" s="2">
        <v>46.53</v>
      </c>
      <c r="R49" s="3" t="s">
        <v>43</v>
      </c>
      <c r="S49">
        <f>COUNTIF(A:A,A49)</f>
        <v>1</v>
      </c>
      <c r="T49" t="str">
        <f>IF(OR(H49="",LOWER(TRIM(H49&amp;""))="missing",LOWER(TRIM(H49&amp;""))=""),"Missing/",IFERROR(IF(OR(VALUE(H49)&lt;0,VALUE(H49)&gt;110),"Invalid","Valid"),"Check Format"))</f>
        <v>Valid</v>
      </c>
      <c r="U49">
        <f>IF(Raw_Data[[#This Row],[Age_Check]]="Valid",H49,"")</f>
        <v>42</v>
      </c>
      <c r="V49" t="str">
        <f>IF(OR(K49="",UPPER(TRIM(K49&amp;""))="",LOWER(TRIM(K49&amp;""))="",LOWER(TRIM(K49&amp;""))="",LOWER(TRIM(K49&amp;""))="missing"),"Missing/",IFERROR(IF(VALUE(K49)&lt;0,"Invalid","Valid"),"Check Format"))</f>
        <v>Valid</v>
      </c>
      <c r="W49" t="str">
        <f>IF(OR(E49="",F49=""),"Missing Date/Time",IFERROR(IF(F49&gt;E49,"Arrival After Appointment","OK"),"Check Format"))</f>
        <v>OK</v>
      </c>
      <c r="X49" t="str">
        <f>IF(OR(F49="",G49=""),"Missing Date/Time",IFERROR(IF(G49&lt;F49,"Discharge Before Arrival","OK"),"Check Format"))</f>
        <v>OK</v>
      </c>
    </row>
    <row r="50" spans="1:24" x14ac:dyDescent="0.25">
      <c r="A50" s="2" t="s">
        <v>179</v>
      </c>
      <c r="B50" s="2" t="s">
        <v>180</v>
      </c>
      <c r="C50" s="3" t="s">
        <v>46</v>
      </c>
      <c r="D50" s="3" t="s">
        <v>115</v>
      </c>
      <c r="E50" s="4">
        <v>45352.465277777781</v>
      </c>
      <c r="F50" s="4">
        <v>45294.457638888889</v>
      </c>
      <c r="G50" s="4">
        <v>45294.548611111109</v>
      </c>
      <c r="I50" s="3" t="s">
        <v>95</v>
      </c>
      <c r="J50" s="3" t="s">
        <v>171</v>
      </c>
      <c r="K50" s="5">
        <v>65</v>
      </c>
      <c r="L50" s="5">
        <v>55</v>
      </c>
      <c r="M50" s="3" t="s">
        <v>68</v>
      </c>
      <c r="N50" t="s">
        <v>103</v>
      </c>
      <c r="P50" s="3" t="s">
        <v>80</v>
      </c>
      <c r="Q50" s="2">
        <v>16.399999999999999</v>
      </c>
      <c r="R50" s="3" t="s">
        <v>58</v>
      </c>
      <c r="S50">
        <f>COUNTIF(A:A,A50)</f>
        <v>1</v>
      </c>
      <c r="T50" t="str">
        <f>IF(OR(H50="",LOWER(TRIM(H50&amp;""))="missing",LOWER(TRIM(H50&amp;""))=""),"Missing/",IFERROR(IF(OR(VALUE(H50)&lt;0,VALUE(H50)&gt;110),"Invalid","Valid"),"Check Format"))</f>
        <v>Missing/</v>
      </c>
      <c r="U50" t="str">
        <f>IF(Raw_Data[[#This Row],[Age_Check]]="Valid",H50,"")</f>
        <v/>
      </c>
      <c r="V50" t="str">
        <f>IF(OR(K50="",UPPER(TRIM(K50&amp;""))="",LOWER(TRIM(K50&amp;""))="",LOWER(TRIM(K50&amp;""))="",LOWER(TRIM(K50&amp;""))="missing"),"Missing/",IFERROR(IF(VALUE(K50)&lt;0,"Invalid","Valid"),"Check Format"))</f>
        <v>Valid</v>
      </c>
      <c r="W50" t="str">
        <f>IF(OR(E50="",F50=""),"Missing Date/Time",IFERROR(IF(F50&gt;E50,"Arrival After Appointment","OK"),"Check Format"))</f>
        <v>OK</v>
      </c>
      <c r="X50" t="str">
        <f>IF(OR(F50="",G50=""),"Missing Date/Time",IFERROR(IF(G50&lt;F50,"Discharge Before Arrival","OK"),"Check Format"))</f>
        <v>OK</v>
      </c>
    </row>
    <row r="51" spans="1:24" x14ac:dyDescent="0.25">
      <c r="A51" s="2" t="s">
        <v>181</v>
      </c>
      <c r="B51" s="2" t="s">
        <v>182</v>
      </c>
      <c r="C51" s="3" t="s">
        <v>46</v>
      </c>
      <c r="D51" s="3" t="s">
        <v>149</v>
      </c>
      <c r="E51" s="4">
        <v>45403.611111111109</v>
      </c>
      <c r="F51" s="4">
        <v>45403.590277777781</v>
      </c>
      <c r="I51" s="3" t="s">
        <v>73</v>
      </c>
      <c r="J51" s="3" t="s">
        <v>2639</v>
      </c>
      <c r="K51" s="5">
        <v>64</v>
      </c>
      <c r="L51" s="5">
        <v>36</v>
      </c>
      <c r="M51" s="3" t="s">
        <v>32</v>
      </c>
      <c r="N51" t="s">
        <v>24</v>
      </c>
      <c r="P51" s="3" t="s">
        <v>25</v>
      </c>
      <c r="Q51" s="2">
        <v>207.55</v>
      </c>
      <c r="R51" s="3" t="s">
        <v>43</v>
      </c>
      <c r="S51">
        <f>COUNTIF(A:A,A51)</f>
        <v>1</v>
      </c>
      <c r="T51" t="str">
        <f>IF(OR(H51="",LOWER(TRIM(H51&amp;""))="missing",LOWER(TRIM(H51&amp;""))=""),"Missing/",IFERROR(IF(OR(VALUE(H51)&lt;0,VALUE(H51)&gt;110),"Invalid","Valid"),"Check Format"))</f>
        <v>Missing/</v>
      </c>
      <c r="U51" t="str">
        <f>IF(Raw_Data[[#This Row],[Age_Check]]="Valid",H51,"")</f>
        <v/>
      </c>
      <c r="V51" t="str">
        <f>IF(OR(K51="",UPPER(TRIM(K51&amp;""))="",LOWER(TRIM(K51&amp;""))="",LOWER(TRIM(K51&amp;""))="",LOWER(TRIM(K51&amp;""))="missing"),"Missing/",IFERROR(IF(VALUE(K51)&lt;0,"Invalid","Valid"),"Check Format"))</f>
        <v>Valid</v>
      </c>
      <c r="W51" t="str">
        <f>IF(OR(E51="",F51=""),"Missing Date/Time",IFERROR(IF(F51&gt;E51,"Arrival After Appointment","OK"),"Check Format"))</f>
        <v>OK</v>
      </c>
      <c r="X51" t="str">
        <f>IF(OR(F51="",G51=""),"Missing Date/Time",IFERROR(IF(G51&lt;F51,"Discharge Before Arrival","OK"),"Check Format"))</f>
        <v>Missing Date/Time</v>
      </c>
    </row>
    <row r="52" spans="1:24" x14ac:dyDescent="0.25">
      <c r="A52" s="2" t="s">
        <v>183</v>
      </c>
      <c r="B52" s="2" t="s">
        <v>184</v>
      </c>
      <c r="C52" s="3" t="s">
        <v>94</v>
      </c>
      <c r="D52" s="3" t="s">
        <v>61</v>
      </c>
      <c r="E52" s="4">
        <v>45624.572916666664</v>
      </c>
      <c r="F52" s="4">
        <v>45624.557638888888</v>
      </c>
      <c r="H52" s="5">
        <v>145</v>
      </c>
      <c r="I52" s="3" t="s">
        <v>73</v>
      </c>
      <c r="K52" s="5">
        <v>14</v>
      </c>
      <c r="L52" s="5">
        <v>8</v>
      </c>
      <c r="N52" t="s">
        <v>24</v>
      </c>
      <c r="Q52" s="2">
        <v>186.76</v>
      </c>
      <c r="R52" s="3" t="s">
        <v>58</v>
      </c>
      <c r="S52">
        <f>COUNTIF(A:A,A52)</f>
        <v>1</v>
      </c>
      <c r="T52" t="str">
        <f>IF(OR(H52="",LOWER(TRIM(H52&amp;""))="missing",LOWER(TRIM(H52&amp;""))=""),"Missing/",IFERROR(IF(OR(VALUE(H52)&lt;0,VALUE(H52)&gt;110),"Invalid","Valid"),"Check Format"))</f>
        <v>Invalid</v>
      </c>
      <c r="U52" t="str">
        <f>IF(Raw_Data[[#This Row],[Age_Check]]="Valid",H52,"")</f>
        <v/>
      </c>
      <c r="V52" t="str">
        <f>IF(OR(K52="",UPPER(TRIM(K52&amp;""))="",LOWER(TRIM(K52&amp;""))="",LOWER(TRIM(K52&amp;""))="",LOWER(TRIM(K52&amp;""))="missing"),"Missing/",IFERROR(IF(VALUE(K52)&lt;0,"Invalid","Valid"),"Check Format"))</f>
        <v>Valid</v>
      </c>
      <c r="W52" t="str">
        <f>IF(OR(E52="",F52=""),"Missing Date/Time",IFERROR(IF(F52&gt;E52,"Arrival After Appointment","OK"),"Check Format"))</f>
        <v>OK</v>
      </c>
      <c r="X52" t="str">
        <f>IF(OR(F52="",G52=""),"Missing Date/Time",IFERROR(IF(G52&lt;F52,"Discharge Before Arrival","OK"),"Check Format"))</f>
        <v>Missing Date/Time</v>
      </c>
    </row>
    <row r="53" spans="1:24" x14ac:dyDescent="0.25">
      <c r="A53" s="2" t="s">
        <v>185</v>
      </c>
      <c r="B53" s="2" t="s">
        <v>186</v>
      </c>
      <c r="C53" s="3" t="s">
        <v>94</v>
      </c>
      <c r="D53" s="3" t="s">
        <v>66</v>
      </c>
      <c r="E53" s="4">
        <v>45553.506944444445</v>
      </c>
      <c r="F53" s="4">
        <v>45553.490972222222</v>
      </c>
      <c r="G53" s="4">
        <v>45553.57916666667</v>
      </c>
      <c r="H53" s="5">
        <v>16</v>
      </c>
      <c r="J53" s="3" t="s">
        <v>62</v>
      </c>
      <c r="K53" s="5">
        <v>68</v>
      </c>
      <c r="L53" s="5">
        <v>36</v>
      </c>
      <c r="M53" s="3" t="s">
        <v>41</v>
      </c>
      <c r="N53" t="s">
        <v>100</v>
      </c>
      <c r="Q53" s="2">
        <v>172.72</v>
      </c>
      <c r="R53" s="3" t="s">
        <v>58</v>
      </c>
      <c r="S53">
        <f>COUNTIF(A:A,A53)</f>
        <v>1</v>
      </c>
      <c r="T53" t="str">
        <f>IF(OR(H53="",LOWER(TRIM(H53&amp;""))="missing",LOWER(TRIM(H53&amp;""))=""),"Missing/",IFERROR(IF(OR(VALUE(H53)&lt;0,VALUE(H53)&gt;110),"Invalid","Valid"),"Check Format"))</f>
        <v>Valid</v>
      </c>
      <c r="U53">
        <f>IF(Raw_Data[[#This Row],[Age_Check]]="Valid",H53,"")</f>
        <v>16</v>
      </c>
      <c r="V53" t="str">
        <f>IF(OR(K53="",UPPER(TRIM(K53&amp;""))="",LOWER(TRIM(K53&amp;""))="",LOWER(TRIM(K53&amp;""))="",LOWER(TRIM(K53&amp;""))="missing"),"Missing/",IFERROR(IF(VALUE(K53)&lt;0,"Invalid","Valid"),"Check Format"))</f>
        <v>Valid</v>
      </c>
      <c r="W53" t="str">
        <f>IF(OR(E53="",F53=""),"Missing Date/Time",IFERROR(IF(F53&gt;E53,"Arrival After Appointment","OK"),"Check Format"))</f>
        <v>OK</v>
      </c>
      <c r="X53" t="str">
        <f>IF(OR(F53="",G53=""),"Missing Date/Time",IFERROR(IF(G53&lt;F53,"Discharge Before Arrival","OK"),"Check Format"))</f>
        <v>OK</v>
      </c>
    </row>
    <row r="54" spans="1:24" x14ac:dyDescent="0.25">
      <c r="A54" s="2" t="s">
        <v>187</v>
      </c>
      <c r="B54" s="2" t="s">
        <v>188</v>
      </c>
      <c r="C54" s="3" t="s">
        <v>19</v>
      </c>
      <c r="D54" s="3" t="s">
        <v>47</v>
      </c>
      <c r="E54" s="4">
        <v>45883.635416666664</v>
      </c>
      <c r="F54" s="4">
        <v>45883.623611111114</v>
      </c>
      <c r="G54" s="4">
        <v>45883.684027777781</v>
      </c>
      <c r="H54" s="5">
        <v>73</v>
      </c>
      <c r="I54" s="3" t="s">
        <v>95</v>
      </c>
      <c r="J54" s="3" t="s">
        <v>171</v>
      </c>
      <c r="K54" s="5">
        <v>34</v>
      </c>
      <c r="L54" s="5">
        <v>36</v>
      </c>
      <c r="M54" s="3" t="s">
        <v>87</v>
      </c>
      <c r="O54" s="5">
        <v>1</v>
      </c>
      <c r="P54" s="3" t="s">
        <v>25</v>
      </c>
      <c r="Q54" s="2">
        <v>168.45</v>
      </c>
      <c r="R54" s="3" t="s">
        <v>75</v>
      </c>
      <c r="S54">
        <f>COUNTIF(A:A,A54)</f>
        <v>1</v>
      </c>
      <c r="T54" t="str">
        <f>IF(OR(H54="",LOWER(TRIM(H54&amp;""))="missing",LOWER(TRIM(H54&amp;""))=""),"Missing/",IFERROR(IF(OR(VALUE(H54)&lt;0,VALUE(H54)&gt;110),"Invalid","Valid"),"Check Format"))</f>
        <v>Valid</v>
      </c>
      <c r="U54">
        <f>IF(Raw_Data[[#This Row],[Age_Check]]="Valid",H54,"")</f>
        <v>73</v>
      </c>
      <c r="V54" t="str">
        <f>IF(OR(K54="",UPPER(TRIM(K54&amp;""))="",LOWER(TRIM(K54&amp;""))="",LOWER(TRIM(K54&amp;""))="",LOWER(TRIM(K54&amp;""))="missing"),"Missing/",IFERROR(IF(VALUE(K54)&lt;0,"Invalid","Valid"),"Check Format"))</f>
        <v>Valid</v>
      </c>
      <c r="W54" t="str">
        <f>IF(OR(E54="",F54=""),"Missing Date/Time",IFERROR(IF(F54&gt;E54,"Arrival After Appointment","OK"),"Check Format"))</f>
        <v>OK</v>
      </c>
      <c r="X54" t="str">
        <f>IF(OR(F54="",G54=""),"Missing Date/Time",IFERROR(IF(G54&lt;F54,"Discharge Before Arrival","OK"),"Check Format"))</f>
        <v>OK</v>
      </c>
    </row>
    <row r="55" spans="1:24" x14ac:dyDescent="0.25">
      <c r="A55" s="2" t="s">
        <v>189</v>
      </c>
      <c r="B55" s="2" t="s">
        <v>190</v>
      </c>
      <c r="C55" s="3" t="s">
        <v>46</v>
      </c>
      <c r="D55" s="3" t="s">
        <v>66</v>
      </c>
      <c r="E55" s="4">
        <v>45438.701388888891</v>
      </c>
      <c r="F55" s="4">
        <v>45438.69027777778</v>
      </c>
      <c r="G55" s="4">
        <v>45438.768750000003</v>
      </c>
      <c r="I55" s="3" t="s">
        <v>95</v>
      </c>
      <c r="J55" s="3" t="s">
        <v>67</v>
      </c>
      <c r="K55" s="5">
        <v>32</v>
      </c>
      <c r="L55" s="5">
        <v>65</v>
      </c>
      <c r="M55" s="3" t="s">
        <v>41</v>
      </c>
      <c r="N55" t="s">
        <v>103</v>
      </c>
      <c r="O55" s="5">
        <v>6</v>
      </c>
      <c r="P55" s="3" t="s">
        <v>25</v>
      </c>
      <c r="Q55" s="2">
        <v>182.91</v>
      </c>
      <c r="R55" s="3" t="s">
        <v>43</v>
      </c>
      <c r="S55">
        <f>COUNTIF(A:A,A55)</f>
        <v>1</v>
      </c>
      <c r="T55" t="str">
        <f>IF(OR(H55="",LOWER(TRIM(H55&amp;""))="missing",LOWER(TRIM(H55&amp;""))=""),"Missing/",IFERROR(IF(OR(VALUE(H55)&lt;0,VALUE(H55)&gt;110),"Invalid","Valid"),"Check Format"))</f>
        <v>Missing/</v>
      </c>
      <c r="U55" t="str">
        <f>IF(Raw_Data[[#This Row],[Age_Check]]="Valid",H55,"")</f>
        <v/>
      </c>
      <c r="V55" t="str">
        <f>IF(OR(K55="",UPPER(TRIM(K55&amp;""))="",LOWER(TRIM(K55&amp;""))="",LOWER(TRIM(K55&amp;""))="",LOWER(TRIM(K55&amp;""))="missing"),"Missing/",IFERROR(IF(VALUE(K55)&lt;0,"Invalid","Valid"),"Check Format"))</f>
        <v>Valid</v>
      </c>
      <c r="W55" t="str">
        <f>IF(OR(E55="",F55=""),"Missing Date/Time",IFERROR(IF(F55&gt;E55,"Arrival After Appointment","OK"),"Check Format"))</f>
        <v>OK</v>
      </c>
      <c r="X55" t="str">
        <f>IF(OR(F55="",G55=""),"Missing Date/Time",IFERROR(IF(G55&lt;F55,"Discharge Before Arrival","OK"),"Check Format"))</f>
        <v>OK</v>
      </c>
    </row>
    <row r="56" spans="1:24" x14ac:dyDescent="0.25">
      <c r="A56" s="2" t="s">
        <v>191</v>
      </c>
      <c r="B56" s="2" t="s">
        <v>192</v>
      </c>
      <c r="C56" s="3" t="s">
        <v>37</v>
      </c>
      <c r="D56" s="3" t="s">
        <v>174</v>
      </c>
      <c r="E56" s="4">
        <v>45570.618055555555</v>
      </c>
      <c r="F56" s="4">
        <v>45570.615972222222</v>
      </c>
      <c r="G56" s="4">
        <v>45570.65902777778</v>
      </c>
      <c r="J56" s="3" t="s">
        <v>67</v>
      </c>
      <c r="K56" s="5">
        <v>1440</v>
      </c>
      <c r="L56" s="5">
        <v>43</v>
      </c>
      <c r="M56" s="3" t="s">
        <v>32</v>
      </c>
      <c r="O56" s="5">
        <v>1</v>
      </c>
      <c r="P56" s="3" t="s">
        <v>80</v>
      </c>
      <c r="Q56" s="2">
        <v>67.03</v>
      </c>
      <c r="R56" s="3" t="s">
        <v>58</v>
      </c>
      <c r="S56">
        <f>COUNTIF(A:A,A56)</f>
        <v>1</v>
      </c>
      <c r="T56" t="str">
        <f>IF(OR(H56="",LOWER(TRIM(H56&amp;""))="missing",LOWER(TRIM(H56&amp;""))=""),"Missing/",IFERROR(IF(OR(VALUE(H56)&lt;0,VALUE(H56)&gt;110),"Invalid","Valid"),"Check Format"))</f>
        <v>Missing/</v>
      </c>
      <c r="U56" t="str">
        <f>IF(Raw_Data[[#This Row],[Age_Check]]="Valid",H56,"")</f>
        <v/>
      </c>
      <c r="V56" t="str">
        <f>IF(OR(K56="",UPPER(TRIM(K56&amp;""))="",LOWER(TRIM(K56&amp;""))="",LOWER(TRIM(K56&amp;""))="",LOWER(TRIM(K56&amp;""))="missing"),"Missing/",IFERROR(IF(VALUE(K56)&lt;0,"Invalid","Valid"),"Check Format"))</f>
        <v>Valid</v>
      </c>
      <c r="W56" t="str">
        <f>IF(OR(E56="",F56=""),"Missing Date/Time",IFERROR(IF(F56&gt;E56,"Arrival After Appointment","OK"),"Check Format"))</f>
        <v>OK</v>
      </c>
      <c r="X56" t="str">
        <f>IF(OR(F56="",G56=""),"Missing Date/Time",IFERROR(IF(G56&lt;F56,"Discharge Before Arrival","OK"),"Check Format"))</f>
        <v>OK</v>
      </c>
    </row>
    <row r="57" spans="1:24" x14ac:dyDescent="0.25">
      <c r="A57" s="2" t="s">
        <v>193</v>
      </c>
      <c r="B57" s="2" t="s">
        <v>194</v>
      </c>
      <c r="C57" s="3" t="s">
        <v>94</v>
      </c>
      <c r="D57" s="3" t="s">
        <v>23</v>
      </c>
      <c r="E57" s="4">
        <v>45553.475694444445</v>
      </c>
      <c r="F57" s="4">
        <v>45553.463888888888</v>
      </c>
      <c r="G57" s="4">
        <v>45553.570833333331</v>
      </c>
      <c r="I57" s="3" t="s">
        <v>39</v>
      </c>
      <c r="J57" s="3" t="s">
        <v>62</v>
      </c>
      <c r="K57" s="5">
        <v>85</v>
      </c>
      <c r="L57" s="5">
        <v>52</v>
      </c>
      <c r="M57" s="3" t="s">
        <v>23</v>
      </c>
      <c r="N57" t="s">
        <v>69</v>
      </c>
      <c r="O57" s="5">
        <v>1</v>
      </c>
      <c r="P57" s="3" t="s">
        <v>80</v>
      </c>
      <c r="Q57" s="2">
        <v>79.349999999999994</v>
      </c>
      <c r="R57" s="3" t="s">
        <v>75</v>
      </c>
      <c r="S57">
        <f>COUNTIF(A:A,A57)</f>
        <v>1</v>
      </c>
      <c r="T57" t="str">
        <f>IF(OR(H57="",LOWER(TRIM(H57&amp;""))="missing",LOWER(TRIM(H57&amp;""))=""),"Missing/",IFERROR(IF(OR(VALUE(H57)&lt;0,VALUE(H57)&gt;110),"Invalid","Valid"),"Check Format"))</f>
        <v>Missing/</v>
      </c>
      <c r="U57" t="str">
        <f>IF(Raw_Data[[#This Row],[Age_Check]]="Valid",H57,"")</f>
        <v/>
      </c>
      <c r="V57" t="str">
        <f>IF(OR(K57="",UPPER(TRIM(K57&amp;""))="",LOWER(TRIM(K57&amp;""))="",LOWER(TRIM(K57&amp;""))="",LOWER(TRIM(K57&amp;""))="missing"),"Missing/",IFERROR(IF(VALUE(K57)&lt;0,"Invalid","Valid"),"Check Format"))</f>
        <v>Valid</v>
      </c>
      <c r="W57" t="str">
        <f>IF(OR(E57="",F57=""),"Missing Date/Time",IFERROR(IF(F57&gt;E57,"Arrival After Appointment","OK"),"Check Format"))</f>
        <v>OK</v>
      </c>
      <c r="X57" t="str">
        <f>IF(OR(F57="",G57=""),"Missing Date/Time",IFERROR(IF(G57&lt;F57,"Discharge Before Arrival","OK"),"Check Format"))</f>
        <v>OK</v>
      </c>
    </row>
    <row r="58" spans="1:24" x14ac:dyDescent="0.25">
      <c r="A58" s="2" t="s">
        <v>195</v>
      </c>
      <c r="B58" s="2" t="s">
        <v>196</v>
      </c>
      <c r="D58" s="3" t="s">
        <v>23</v>
      </c>
      <c r="E58" s="4">
        <v>45719.461805555555</v>
      </c>
      <c r="F58" s="4">
        <v>45719.441666666666</v>
      </c>
      <c r="G58" s="4">
        <v>45719.552083333336</v>
      </c>
      <c r="H58" s="5">
        <v>13</v>
      </c>
      <c r="I58" s="3" t="s">
        <v>95</v>
      </c>
      <c r="J58" s="3" t="s">
        <v>67</v>
      </c>
      <c r="K58" s="5">
        <v>91</v>
      </c>
      <c r="L58" s="5">
        <v>39</v>
      </c>
      <c r="P58" s="3" t="s">
        <v>42</v>
      </c>
      <c r="Q58" s="2">
        <v>210.76</v>
      </c>
      <c r="R58" s="3" t="s">
        <v>75</v>
      </c>
      <c r="S58">
        <f>COUNTIF(A:A,A58)</f>
        <v>2</v>
      </c>
      <c r="T58" t="str">
        <f>IF(OR(H58="",LOWER(TRIM(H58&amp;""))="missing",LOWER(TRIM(H58&amp;""))=""),"Missing/",IFERROR(IF(OR(VALUE(H58)&lt;0,VALUE(H58)&gt;110),"Invalid","Valid"),"Check Format"))</f>
        <v>Valid</v>
      </c>
      <c r="U58">
        <f>IF(Raw_Data[[#This Row],[Age_Check]]="Valid",H58,"")</f>
        <v>13</v>
      </c>
      <c r="V58" t="str">
        <f>IF(OR(K58="",UPPER(TRIM(K58&amp;""))="",LOWER(TRIM(K58&amp;""))="",LOWER(TRIM(K58&amp;""))="",LOWER(TRIM(K58&amp;""))="missing"),"Missing/",IFERROR(IF(VALUE(K58)&lt;0,"Invalid","Valid"),"Check Format"))</f>
        <v>Valid</v>
      </c>
      <c r="W58" t="str">
        <f>IF(OR(E58="",F58=""),"Missing Date/Time",IFERROR(IF(F58&gt;E58,"Arrival After Appointment","OK"),"Check Format"))</f>
        <v>OK</v>
      </c>
      <c r="X58" t="str">
        <f>IF(OR(F58="",G58=""),"Missing Date/Time",IFERROR(IF(G58&lt;F58,"Discharge Before Arrival","OK"),"Check Format"))</f>
        <v>OK</v>
      </c>
    </row>
    <row r="59" spans="1:24" x14ac:dyDescent="0.25">
      <c r="A59" s="2" t="s">
        <v>198</v>
      </c>
      <c r="B59" s="2" t="s">
        <v>199</v>
      </c>
      <c r="C59" s="3" t="s">
        <v>46</v>
      </c>
      <c r="D59" s="3" t="s">
        <v>47</v>
      </c>
      <c r="E59" s="4" t="s">
        <v>200</v>
      </c>
      <c r="F59" s="4">
        <v>45742.356249999997</v>
      </c>
      <c r="G59" s="4">
        <v>45742.387499999997</v>
      </c>
      <c r="H59" s="5">
        <v>57</v>
      </c>
      <c r="I59" s="3" t="s">
        <v>39</v>
      </c>
      <c r="J59" s="3" t="s">
        <v>62</v>
      </c>
      <c r="K59" s="5">
        <v>26</v>
      </c>
      <c r="L59" s="5">
        <v>17</v>
      </c>
      <c r="M59" s="3" t="s">
        <v>63</v>
      </c>
      <c r="N59" t="s">
        <v>100</v>
      </c>
      <c r="O59" s="5">
        <v>6</v>
      </c>
      <c r="P59" s="3" t="s">
        <v>25</v>
      </c>
      <c r="Q59" s="2">
        <v>138.83000000000001</v>
      </c>
      <c r="R59" s="3" t="s">
        <v>26</v>
      </c>
      <c r="S59">
        <f>COUNTIF(A:A,A59)</f>
        <v>1</v>
      </c>
      <c r="T59" t="str">
        <f>IF(OR(H59="",LOWER(TRIM(H59&amp;""))="missing",LOWER(TRIM(H59&amp;""))=""),"Missing/",IFERROR(IF(OR(VALUE(H59)&lt;0,VALUE(H59)&gt;110),"Invalid","Valid"),"Check Format"))</f>
        <v>Valid</v>
      </c>
      <c r="U59">
        <f>IF(Raw_Data[[#This Row],[Age_Check]]="Valid",H59,"")</f>
        <v>57</v>
      </c>
      <c r="V59" t="str">
        <f>IF(OR(K59="",UPPER(TRIM(K59&amp;""))="",LOWER(TRIM(K59&amp;""))="",LOWER(TRIM(K59&amp;""))="",LOWER(TRIM(K59&amp;""))="missing"),"Missing/",IFERROR(IF(VALUE(K59)&lt;0,"Invalid","Valid"),"Check Format"))</f>
        <v>Valid</v>
      </c>
      <c r="W59" t="str">
        <f>IF(OR(E59="",F59=""),"Missing Date/Time",IFERROR(IF(F59&gt;E59,"Arrival After Appointment","OK"),"Check Format"))</f>
        <v>OK</v>
      </c>
      <c r="X59" t="str">
        <f>IF(OR(F59="",G59=""),"Missing Date/Time",IFERROR(IF(G59&lt;F59,"Discharge Before Arrival","OK"),"Check Format"))</f>
        <v>OK</v>
      </c>
    </row>
    <row r="60" spans="1:24" x14ac:dyDescent="0.25">
      <c r="A60" s="2" t="s">
        <v>201</v>
      </c>
      <c r="B60" s="2" t="s">
        <v>202</v>
      </c>
      <c r="C60" s="3" t="s">
        <v>46</v>
      </c>
      <c r="D60" s="3" t="s">
        <v>30</v>
      </c>
      <c r="E60" s="4">
        <v>45752.701388888891</v>
      </c>
      <c r="F60" s="4">
        <v>45752.684027777781</v>
      </c>
      <c r="G60" s="4">
        <v>45752.774305555555</v>
      </c>
      <c r="H60" s="5">
        <v>43</v>
      </c>
      <c r="J60" s="3" t="s">
        <v>2639</v>
      </c>
      <c r="K60" s="5">
        <v>69</v>
      </c>
      <c r="L60" s="5">
        <v>36</v>
      </c>
      <c r="M60" s="3" t="s">
        <v>68</v>
      </c>
      <c r="N60" t="s">
        <v>74</v>
      </c>
      <c r="O60" s="5">
        <v>0</v>
      </c>
      <c r="P60" s="3" t="s">
        <v>25</v>
      </c>
      <c r="Q60" s="2">
        <v>211.17</v>
      </c>
      <c r="R60" s="3" t="s">
        <v>43</v>
      </c>
      <c r="S60">
        <f>COUNTIF(A:A,A60)</f>
        <v>1</v>
      </c>
      <c r="T60" t="str">
        <f>IF(OR(H60="",LOWER(TRIM(H60&amp;""))="missing",LOWER(TRIM(H60&amp;""))=""),"Missing/",IFERROR(IF(OR(VALUE(H60)&lt;0,VALUE(H60)&gt;110),"Invalid","Valid"),"Check Format"))</f>
        <v>Valid</v>
      </c>
      <c r="U60">
        <f>IF(Raw_Data[[#This Row],[Age_Check]]="Valid",H60,"")</f>
        <v>43</v>
      </c>
      <c r="V60" t="str">
        <f>IF(OR(K60="",UPPER(TRIM(K60&amp;""))="",LOWER(TRIM(K60&amp;""))="",LOWER(TRIM(K60&amp;""))="",LOWER(TRIM(K60&amp;""))="missing"),"Missing/",IFERROR(IF(VALUE(K60)&lt;0,"Invalid","Valid"),"Check Format"))</f>
        <v>Valid</v>
      </c>
      <c r="W60" t="str">
        <f>IF(OR(E60="",F60=""),"Missing Date/Time",IFERROR(IF(F60&gt;E60,"Arrival After Appointment","OK"),"Check Format"))</f>
        <v>OK</v>
      </c>
      <c r="X60" t="str">
        <f>IF(OR(F60="",G60=""),"Missing Date/Time",IFERROR(IF(G60&lt;F60,"Discharge Before Arrival","OK"),"Check Format"))</f>
        <v>OK</v>
      </c>
    </row>
    <row r="61" spans="1:24" x14ac:dyDescent="0.25">
      <c r="A61" s="2" t="s">
        <v>203</v>
      </c>
      <c r="B61" s="2" t="s">
        <v>204</v>
      </c>
      <c r="C61" s="3" t="s">
        <v>19</v>
      </c>
      <c r="D61" s="3" t="s">
        <v>38</v>
      </c>
      <c r="E61" s="4">
        <v>45638.739583333336</v>
      </c>
      <c r="F61" s="4">
        <v>45638.731249999997</v>
      </c>
      <c r="G61" s="4">
        <v>45638.820138888892</v>
      </c>
      <c r="H61" s="5">
        <v>145</v>
      </c>
      <c r="I61" s="3" t="s">
        <v>95</v>
      </c>
      <c r="J61" s="3" t="s">
        <v>67</v>
      </c>
      <c r="K61" s="5">
        <v>58</v>
      </c>
      <c r="L61" s="5">
        <v>58</v>
      </c>
      <c r="M61" s="3" t="s">
        <v>41</v>
      </c>
      <c r="N61" t="s">
        <v>100</v>
      </c>
      <c r="P61" s="3" t="s">
        <v>25</v>
      </c>
      <c r="Q61" s="2">
        <v>123.83</v>
      </c>
      <c r="R61" s="3" t="s">
        <v>58</v>
      </c>
      <c r="S61">
        <f>COUNTIF(A:A,A61)</f>
        <v>1</v>
      </c>
      <c r="T61" t="str">
        <f>IF(OR(H61="",LOWER(TRIM(H61&amp;""))="missing",LOWER(TRIM(H61&amp;""))=""),"Missing/",IFERROR(IF(OR(VALUE(H61)&lt;0,VALUE(H61)&gt;110),"Invalid","Valid"),"Check Format"))</f>
        <v>Invalid</v>
      </c>
      <c r="U61" t="str">
        <f>IF(Raw_Data[[#This Row],[Age_Check]]="Valid",H61,"")</f>
        <v/>
      </c>
      <c r="V61" t="str">
        <f>IF(OR(K61="",UPPER(TRIM(K61&amp;""))="",LOWER(TRIM(K61&amp;""))="",LOWER(TRIM(K61&amp;""))="",LOWER(TRIM(K61&amp;""))="missing"),"Missing/",IFERROR(IF(VALUE(K61)&lt;0,"Invalid","Valid"),"Check Format"))</f>
        <v>Valid</v>
      </c>
      <c r="W61" t="str">
        <f>IF(OR(E61="",F61=""),"Missing Date/Time",IFERROR(IF(F61&gt;E61,"Arrival After Appointment","OK"),"Check Format"))</f>
        <v>OK</v>
      </c>
      <c r="X61" t="str">
        <f>IF(OR(F61="",G61=""),"Missing Date/Time",IFERROR(IF(G61&lt;F61,"Discharge Before Arrival","OK"),"Check Format"))</f>
        <v>OK</v>
      </c>
    </row>
    <row r="62" spans="1:24" x14ac:dyDescent="0.25">
      <c r="A62" s="2" t="s">
        <v>205</v>
      </c>
      <c r="B62" s="2" t="s">
        <v>206</v>
      </c>
      <c r="C62" s="3" t="s">
        <v>19</v>
      </c>
      <c r="D62" s="3" t="s">
        <v>106</v>
      </c>
      <c r="E62" s="4">
        <v>45864.576388888891</v>
      </c>
      <c r="F62" s="4">
        <v>45864.567361111112</v>
      </c>
      <c r="G62" s="4">
        <v>45864.712500000001</v>
      </c>
      <c r="I62" s="3" t="s">
        <v>95</v>
      </c>
      <c r="J62" s="3" t="s">
        <v>150</v>
      </c>
      <c r="K62" s="5">
        <v>153</v>
      </c>
      <c r="L62" s="5">
        <v>43</v>
      </c>
      <c r="M62" s="3" t="s">
        <v>50</v>
      </c>
      <c r="N62" t="s">
        <v>91</v>
      </c>
      <c r="O62" s="5">
        <v>2</v>
      </c>
      <c r="P62" s="3" t="s">
        <v>80</v>
      </c>
      <c r="Q62" s="2">
        <v>76.430000000000007</v>
      </c>
      <c r="R62" s="3" t="s">
        <v>75</v>
      </c>
      <c r="S62">
        <f>COUNTIF(A:A,A62)</f>
        <v>1</v>
      </c>
      <c r="T62" t="str">
        <f>IF(OR(H62="",LOWER(TRIM(H62&amp;""))="missing",LOWER(TRIM(H62&amp;""))=""),"Missing/",IFERROR(IF(OR(VALUE(H62)&lt;0,VALUE(H62)&gt;110),"Invalid","Valid"),"Check Format"))</f>
        <v>Missing/</v>
      </c>
      <c r="U62" t="str">
        <f>IF(Raw_Data[[#This Row],[Age_Check]]="Valid",H62,"")</f>
        <v/>
      </c>
      <c r="V62" t="str">
        <f>IF(OR(K62="",UPPER(TRIM(K62&amp;""))="",LOWER(TRIM(K62&amp;""))="",LOWER(TRIM(K62&amp;""))="",LOWER(TRIM(K62&amp;""))="missing"),"Missing/",IFERROR(IF(VALUE(K62)&lt;0,"Invalid","Valid"),"Check Format"))</f>
        <v>Valid</v>
      </c>
      <c r="W62" t="str">
        <f>IF(OR(E62="",F62=""),"Missing Date/Time",IFERROR(IF(F62&gt;E62,"Arrival After Appointment","OK"),"Check Format"))</f>
        <v>OK</v>
      </c>
      <c r="X62" t="str">
        <f>IF(OR(F62="",G62=""),"Missing Date/Time",IFERROR(IF(G62&lt;F62,"Discharge Before Arrival","OK"),"Check Format"))</f>
        <v>OK</v>
      </c>
    </row>
    <row r="63" spans="1:24" x14ac:dyDescent="0.25">
      <c r="A63" s="2" t="s">
        <v>207</v>
      </c>
      <c r="B63" s="2" t="s">
        <v>208</v>
      </c>
      <c r="C63" s="3" t="s">
        <v>94</v>
      </c>
      <c r="D63" s="3" t="s">
        <v>209</v>
      </c>
      <c r="E63" s="4">
        <v>45831.326388888891</v>
      </c>
      <c r="F63" s="4">
        <v>45831.308333333334</v>
      </c>
      <c r="G63" s="4">
        <v>45831.368055555555</v>
      </c>
      <c r="I63" s="3" t="s">
        <v>73</v>
      </c>
      <c r="J63" s="3" t="s">
        <v>150</v>
      </c>
      <c r="K63" s="5">
        <v>20</v>
      </c>
      <c r="L63" s="5">
        <v>40</v>
      </c>
      <c r="M63" s="3" t="s">
        <v>87</v>
      </c>
      <c r="N63" t="s">
        <v>69</v>
      </c>
      <c r="O63" s="5">
        <v>0</v>
      </c>
      <c r="P63" s="3" t="s">
        <v>25</v>
      </c>
      <c r="Q63" s="2">
        <v>127.12</v>
      </c>
      <c r="R63" s="3" t="s">
        <v>58</v>
      </c>
      <c r="S63">
        <f>COUNTIF(A:A,A63)</f>
        <v>1</v>
      </c>
      <c r="T63" t="str">
        <f>IF(OR(H63="",LOWER(TRIM(H63&amp;""))="missing",LOWER(TRIM(H63&amp;""))=""),"Missing/",IFERROR(IF(OR(VALUE(H63)&lt;0,VALUE(H63)&gt;110),"Invalid","Valid"),"Check Format"))</f>
        <v>Missing/</v>
      </c>
      <c r="U63" t="str">
        <f>IF(Raw_Data[[#This Row],[Age_Check]]="Valid",H63,"")</f>
        <v/>
      </c>
      <c r="V63" t="str">
        <f>IF(OR(K63="",UPPER(TRIM(K63&amp;""))="",LOWER(TRIM(K63&amp;""))="",LOWER(TRIM(K63&amp;""))="",LOWER(TRIM(K63&amp;""))="missing"),"Missing/",IFERROR(IF(VALUE(K63)&lt;0,"Invalid","Valid"),"Check Format"))</f>
        <v>Valid</v>
      </c>
      <c r="W63" t="str">
        <f>IF(OR(E63="",F63=""),"Missing Date/Time",IFERROR(IF(F63&gt;E63,"Arrival After Appointment","OK"),"Check Format"))</f>
        <v>OK</v>
      </c>
      <c r="X63" t="str">
        <f>IF(OR(F63="",G63=""),"Missing Date/Time",IFERROR(IF(G63&lt;F63,"Discharge Before Arrival","OK"),"Check Format"))</f>
        <v>OK</v>
      </c>
    </row>
    <row r="64" spans="1:24" x14ac:dyDescent="0.25">
      <c r="A64" s="2" t="s">
        <v>210</v>
      </c>
      <c r="B64" s="2" t="s">
        <v>211</v>
      </c>
      <c r="C64" s="3" t="s">
        <v>94</v>
      </c>
      <c r="D64" s="3" t="s">
        <v>174</v>
      </c>
      <c r="E64" s="4" t="s">
        <v>212</v>
      </c>
      <c r="F64" s="4">
        <v>45772.415972222225</v>
      </c>
      <c r="G64" s="4">
        <v>45772.518750000003</v>
      </c>
      <c r="I64" s="3" t="s">
        <v>95</v>
      </c>
      <c r="J64" s="3" t="s">
        <v>62</v>
      </c>
      <c r="K64" s="5">
        <v>82</v>
      </c>
      <c r="L64" s="5">
        <v>40</v>
      </c>
      <c r="M64" s="3" t="s">
        <v>32</v>
      </c>
      <c r="N64" t="s">
        <v>91</v>
      </c>
      <c r="Q64" s="2">
        <v>139.16999999999999</v>
      </c>
      <c r="R64" s="3" t="s">
        <v>58</v>
      </c>
      <c r="S64">
        <f>COUNTIF(A:A,A64)</f>
        <v>1</v>
      </c>
      <c r="T64" t="str">
        <f>IF(OR(H64="",LOWER(TRIM(H64&amp;""))="missing",LOWER(TRIM(H64&amp;""))=""),"Missing/",IFERROR(IF(OR(VALUE(H64)&lt;0,VALUE(H64)&gt;110),"Invalid","Valid"),"Check Format"))</f>
        <v>Missing/</v>
      </c>
      <c r="U64" t="str">
        <f>IF(Raw_Data[[#This Row],[Age_Check]]="Valid",H64,"")</f>
        <v/>
      </c>
      <c r="V64" t="str">
        <f>IF(OR(K64="",UPPER(TRIM(K64&amp;""))="",LOWER(TRIM(K64&amp;""))="",LOWER(TRIM(K64&amp;""))="",LOWER(TRIM(K64&amp;""))="missing"),"Missing/",IFERROR(IF(VALUE(K64)&lt;0,"Invalid","Valid"),"Check Format"))</f>
        <v>Valid</v>
      </c>
      <c r="W64" t="str">
        <f>IF(OR(E64="",F64=""),"Missing Date/Time",IFERROR(IF(F64&gt;E64,"Arrival After Appointment","OK"),"Check Format"))</f>
        <v>OK</v>
      </c>
      <c r="X64" t="str">
        <f>IF(OR(F64="",G64=""),"Missing Date/Time",IFERROR(IF(G64&lt;F64,"Discharge Before Arrival","OK"),"Check Format"))</f>
        <v>OK</v>
      </c>
    </row>
    <row r="65" spans="1:24" x14ac:dyDescent="0.25">
      <c r="A65" s="2" t="s">
        <v>213</v>
      </c>
      <c r="B65" s="2" t="s">
        <v>214</v>
      </c>
      <c r="C65" s="3" t="s">
        <v>46</v>
      </c>
      <c r="D65" s="3" t="s">
        <v>209</v>
      </c>
      <c r="E65" s="4">
        <v>45817.395833333336</v>
      </c>
      <c r="F65" s="4">
        <v>45817.387499999997</v>
      </c>
      <c r="G65" s="4">
        <v>45817.418749999997</v>
      </c>
      <c r="H65" s="5">
        <v>30</v>
      </c>
      <c r="I65" s="3" t="s">
        <v>39</v>
      </c>
      <c r="J65" s="3" t="s">
        <v>62</v>
      </c>
      <c r="K65" s="5">
        <v>28</v>
      </c>
      <c r="L65" s="5">
        <v>5</v>
      </c>
      <c r="M65" s="3" t="s">
        <v>50</v>
      </c>
      <c r="N65" t="s">
        <v>74</v>
      </c>
      <c r="P65" s="3" t="s">
        <v>42</v>
      </c>
      <c r="Q65" s="2">
        <v>109.28</v>
      </c>
      <c r="R65" s="3" t="s">
        <v>43</v>
      </c>
      <c r="S65">
        <f>COUNTIF(A:A,A65)</f>
        <v>1</v>
      </c>
      <c r="T65" t="str">
        <f>IF(OR(H65="",LOWER(TRIM(H65&amp;""))="missing",LOWER(TRIM(H65&amp;""))=""),"Missing/",IFERROR(IF(OR(VALUE(H65)&lt;0,VALUE(H65)&gt;110),"Invalid","Valid"),"Check Format"))</f>
        <v>Valid</v>
      </c>
      <c r="U65">
        <f>IF(Raw_Data[[#This Row],[Age_Check]]="Valid",H65,"")</f>
        <v>30</v>
      </c>
      <c r="V65" t="str">
        <f>IF(OR(K65="",UPPER(TRIM(K65&amp;""))="",LOWER(TRIM(K65&amp;""))="",LOWER(TRIM(K65&amp;""))="",LOWER(TRIM(K65&amp;""))="missing"),"Missing/",IFERROR(IF(VALUE(K65)&lt;0,"Invalid","Valid"),"Check Format"))</f>
        <v>Valid</v>
      </c>
      <c r="W65" t="str">
        <f>IF(OR(E65="",F65=""),"Missing Date/Time",IFERROR(IF(F65&gt;E65,"Arrival After Appointment","OK"),"Check Format"))</f>
        <v>OK</v>
      </c>
      <c r="X65" t="str">
        <f>IF(OR(F65="",G65=""),"Missing Date/Time",IFERROR(IF(G65&lt;F65,"Discharge Before Arrival","OK"),"Check Format"))</f>
        <v>OK</v>
      </c>
    </row>
    <row r="66" spans="1:24" x14ac:dyDescent="0.25">
      <c r="A66" s="2" t="s">
        <v>215</v>
      </c>
      <c r="B66" s="2" t="s">
        <v>216</v>
      </c>
      <c r="C66" s="3" t="s">
        <v>46</v>
      </c>
      <c r="D66" s="3" t="s">
        <v>174</v>
      </c>
      <c r="E66" s="4">
        <v>46004.413194444445</v>
      </c>
      <c r="F66" s="4">
        <v>46004.410416666666</v>
      </c>
      <c r="G66" s="4">
        <v>46004.497916666667</v>
      </c>
      <c r="H66" s="5">
        <v>145</v>
      </c>
      <c r="I66" s="3" t="s">
        <v>95</v>
      </c>
      <c r="J66" s="3" t="s">
        <v>62</v>
      </c>
      <c r="K66" s="5">
        <v>87</v>
      </c>
      <c r="L66" s="5">
        <v>35</v>
      </c>
      <c r="M66" s="3" t="s">
        <v>23</v>
      </c>
      <c r="N66" t="s">
        <v>103</v>
      </c>
      <c r="O66" s="5">
        <v>2</v>
      </c>
      <c r="P66" s="3" t="s">
        <v>25</v>
      </c>
      <c r="Q66" s="2">
        <v>45.34</v>
      </c>
      <c r="R66" s="3" t="s">
        <v>26</v>
      </c>
      <c r="S66">
        <f>COUNTIF(A:A,A66)</f>
        <v>1</v>
      </c>
      <c r="T66" t="str">
        <f>IF(OR(H66="",LOWER(TRIM(H66&amp;""))="missing",LOWER(TRIM(H66&amp;""))=""),"Missing/",IFERROR(IF(OR(VALUE(H66)&lt;0,VALUE(H66)&gt;110),"Invalid","Valid"),"Check Format"))</f>
        <v>Invalid</v>
      </c>
      <c r="U66" t="str">
        <f>IF(Raw_Data[[#This Row],[Age_Check]]="Valid",H66,"")</f>
        <v/>
      </c>
      <c r="V66" t="str">
        <f>IF(OR(K66="",UPPER(TRIM(K66&amp;""))="",LOWER(TRIM(K66&amp;""))="",LOWER(TRIM(K66&amp;""))="",LOWER(TRIM(K66&amp;""))="missing"),"Missing/",IFERROR(IF(VALUE(K66)&lt;0,"Invalid","Valid"),"Check Format"))</f>
        <v>Valid</v>
      </c>
      <c r="W66" t="str">
        <f>IF(OR(E66="",F66=""),"Missing Date/Time",IFERROR(IF(F66&gt;E66,"Arrival After Appointment","OK"),"Check Format"))</f>
        <v>OK</v>
      </c>
      <c r="X66" t="str">
        <f>IF(OR(F66="",G66=""),"Missing Date/Time",IFERROR(IF(G66&lt;F66,"Discharge Before Arrival","OK"),"Check Format"))</f>
        <v>OK</v>
      </c>
    </row>
    <row r="67" spans="1:24" x14ac:dyDescent="0.25">
      <c r="A67" s="2" t="s">
        <v>217</v>
      </c>
      <c r="B67" s="2" t="s">
        <v>218</v>
      </c>
      <c r="C67" s="3" t="s">
        <v>46</v>
      </c>
      <c r="D67" s="3" t="s">
        <v>149</v>
      </c>
      <c r="E67" s="4">
        <v>45903.625</v>
      </c>
      <c r="F67" s="4">
        <v>45903.611805555556</v>
      </c>
      <c r="G67" s="4">
        <v>45903.695833333331</v>
      </c>
      <c r="H67" s="5">
        <v>53</v>
      </c>
      <c r="I67" s="3" t="s">
        <v>73</v>
      </c>
      <c r="K67" s="5">
        <v>64</v>
      </c>
      <c r="L67" s="5">
        <v>38</v>
      </c>
      <c r="M67" s="3" t="s">
        <v>41</v>
      </c>
      <c r="N67" t="s">
        <v>100</v>
      </c>
      <c r="O67" s="5">
        <v>6</v>
      </c>
      <c r="Q67" s="2">
        <v>74.290000000000006</v>
      </c>
      <c r="R67" s="3" t="s">
        <v>26</v>
      </c>
      <c r="S67">
        <f>COUNTIF(A:A,A67)</f>
        <v>1</v>
      </c>
      <c r="T67" t="str">
        <f>IF(OR(H67="",LOWER(TRIM(H67&amp;""))="missing",LOWER(TRIM(H67&amp;""))=""),"Missing/",IFERROR(IF(OR(VALUE(H67)&lt;0,VALUE(H67)&gt;110),"Invalid","Valid"),"Check Format"))</f>
        <v>Valid</v>
      </c>
      <c r="U67">
        <f>IF(Raw_Data[[#This Row],[Age_Check]]="Valid",H67,"")</f>
        <v>53</v>
      </c>
      <c r="V67" t="str">
        <f>IF(OR(K67="",UPPER(TRIM(K67&amp;""))="",LOWER(TRIM(K67&amp;""))="",LOWER(TRIM(K67&amp;""))="",LOWER(TRIM(K67&amp;""))="missing"),"Missing/",IFERROR(IF(VALUE(K67)&lt;0,"Invalid","Valid"),"Check Format"))</f>
        <v>Valid</v>
      </c>
      <c r="W67" t="str">
        <f>IF(OR(E67="",F67=""),"Missing Date/Time",IFERROR(IF(F67&gt;E67,"Arrival After Appointment","OK"),"Check Format"))</f>
        <v>OK</v>
      </c>
      <c r="X67" t="str">
        <f>IF(OR(F67="",G67=""),"Missing Date/Time",IFERROR(IF(G67&lt;F67,"Discharge Before Arrival","OK"),"Check Format"))</f>
        <v>OK</v>
      </c>
    </row>
    <row r="68" spans="1:24" x14ac:dyDescent="0.25">
      <c r="A68" s="2" t="s">
        <v>219</v>
      </c>
      <c r="B68" s="2" t="s">
        <v>220</v>
      </c>
      <c r="C68" s="3" t="s">
        <v>19</v>
      </c>
      <c r="D68" s="3" t="s">
        <v>30</v>
      </c>
      <c r="E68" s="4">
        <v>45688.513888888891</v>
      </c>
      <c r="F68" s="4">
        <v>45688.497916666667</v>
      </c>
      <c r="G68" s="4">
        <v>45688.580555555556</v>
      </c>
      <c r="J68" s="3" t="s">
        <v>67</v>
      </c>
      <c r="K68" s="5">
        <v>63</v>
      </c>
      <c r="L68" s="5">
        <v>33</v>
      </c>
      <c r="M68" s="3" t="s">
        <v>41</v>
      </c>
      <c r="N68" t="s">
        <v>69</v>
      </c>
      <c r="P68" s="3" t="s">
        <v>80</v>
      </c>
      <c r="Q68" s="2">
        <v>53.56</v>
      </c>
      <c r="R68" s="3" t="s">
        <v>58</v>
      </c>
      <c r="S68">
        <f>COUNTIF(A:A,A68)</f>
        <v>1</v>
      </c>
      <c r="T68" t="str">
        <f>IF(OR(H68="",LOWER(TRIM(H68&amp;""))="missing",LOWER(TRIM(H68&amp;""))=""),"Missing/",IFERROR(IF(OR(VALUE(H68)&lt;0,VALUE(H68)&gt;110),"Invalid","Valid"),"Check Format"))</f>
        <v>Missing/</v>
      </c>
      <c r="U68" t="str">
        <f>IF(Raw_Data[[#This Row],[Age_Check]]="Valid",H68,"")</f>
        <v/>
      </c>
      <c r="V68" t="str">
        <f>IF(OR(K68="",UPPER(TRIM(K68&amp;""))="",LOWER(TRIM(K68&amp;""))="",LOWER(TRIM(K68&amp;""))="",LOWER(TRIM(K68&amp;""))="missing"),"Missing/",IFERROR(IF(VALUE(K68)&lt;0,"Invalid","Valid"),"Check Format"))</f>
        <v>Valid</v>
      </c>
      <c r="W68" t="str">
        <f>IF(OR(E68="",F68=""),"Missing Date/Time",IFERROR(IF(F68&gt;E68,"Arrival After Appointment","OK"),"Check Format"))</f>
        <v>OK</v>
      </c>
      <c r="X68" t="str">
        <f>IF(OR(F68="",G68=""),"Missing Date/Time",IFERROR(IF(G68&lt;F68,"Discharge Before Arrival","OK"),"Check Format"))</f>
        <v>OK</v>
      </c>
    </row>
    <row r="69" spans="1:24" x14ac:dyDescent="0.25">
      <c r="A69" s="2" t="s">
        <v>221</v>
      </c>
      <c r="B69" s="2" t="s">
        <v>222</v>
      </c>
      <c r="D69" s="3" t="s">
        <v>30</v>
      </c>
      <c r="E69" s="4" t="s">
        <v>223</v>
      </c>
      <c r="F69" s="4">
        <v>45498.285416666666</v>
      </c>
      <c r="G69" s="4">
        <v>45498.379861111112</v>
      </c>
      <c r="H69" s="5">
        <v>36</v>
      </c>
      <c r="I69" s="3" t="s">
        <v>39</v>
      </c>
      <c r="J69" s="3" t="s">
        <v>67</v>
      </c>
      <c r="K69" s="5">
        <v>70</v>
      </c>
      <c r="L69" s="5">
        <v>42</v>
      </c>
      <c r="M69" s="3" t="s">
        <v>63</v>
      </c>
      <c r="N69" t="s">
        <v>100</v>
      </c>
      <c r="O69" s="5">
        <v>0</v>
      </c>
      <c r="P69" s="3" t="s">
        <v>42</v>
      </c>
      <c r="Q69" s="2">
        <v>231.64</v>
      </c>
      <c r="R69" s="3" t="s">
        <v>58</v>
      </c>
      <c r="S69">
        <f>COUNTIF(A:A,A69)</f>
        <v>1</v>
      </c>
      <c r="T69" t="str">
        <f>IF(OR(H69="",LOWER(TRIM(H69&amp;""))="missing",LOWER(TRIM(H69&amp;""))=""),"Missing/",IFERROR(IF(OR(VALUE(H69)&lt;0,VALUE(H69)&gt;110),"Invalid","Valid"),"Check Format"))</f>
        <v>Valid</v>
      </c>
      <c r="U69">
        <f>IF(Raw_Data[[#This Row],[Age_Check]]="Valid",H69,"")</f>
        <v>36</v>
      </c>
      <c r="V69" t="str">
        <f>IF(OR(K69="",UPPER(TRIM(K69&amp;""))="",LOWER(TRIM(K69&amp;""))="",LOWER(TRIM(K69&amp;""))="",LOWER(TRIM(K69&amp;""))="missing"),"Missing/",IFERROR(IF(VALUE(K69)&lt;0,"Invalid","Valid"),"Check Format"))</f>
        <v>Valid</v>
      </c>
      <c r="W69" t="str">
        <f>IF(OR(E69="",F69=""),"Missing Date/Time",IFERROR(IF(F69&gt;E69,"Arrival After Appointment","OK"),"Check Format"))</f>
        <v>OK</v>
      </c>
      <c r="X69" t="str">
        <f>IF(OR(F69="",G69=""),"Missing Date/Time",IFERROR(IF(G69&lt;F69,"Discharge Before Arrival","OK"),"Check Format"))</f>
        <v>OK</v>
      </c>
    </row>
    <row r="70" spans="1:24" x14ac:dyDescent="0.25">
      <c r="A70" s="2" t="s">
        <v>224</v>
      </c>
      <c r="B70" s="2" t="s">
        <v>194</v>
      </c>
      <c r="C70" s="3" t="s">
        <v>94</v>
      </c>
      <c r="D70" s="3" t="s">
        <v>99</v>
      </c>
      <c r="E70" s="4">
        <v>45668.638888888891</v>
      </c>
      <c r="F70" s="4">
        <v>45668.631944444445</v>
      </c>
      <c r="I70" s="3" t="s">
        <v>90</v>
      </c>
      <c r="J70" s="3" t="s">
        <v>62</v>
      </c>
      <c r="K70" s="5">
        <v>94</v>
      </c>
      <c r="L70" s="5">
        <v>7</v>
      </c>
      <c r="M70" s="3" t="s">
        <v>32</v>
      </c>
      <c r="P70" s="3" t="s">
        <v>80</v>
      </c>
      <c r="Q70" s="2">
        <v>69.97</v>
      </c>
      <c r="R70" s="3" t="s">
        <v>58</v>
      </c>
      <c r="S70">
        <f>COUNTIF(A:A,A70)</f>
        <v>1</v>
      </c>
      <c r="T70" t="str">
        <f>IF(OR(H70="",LOWER(TRIM(H70&amp;""))="missing",LOWER(TRIM(H70&amp;""))=""),"Missing/",IFERROR(IF(OR(VALUE(H70)&lt;0,VALUE(H70)&gt;110),"Invalid","Valid"),"Check Format"))</f>
        <v>Missing/</v>
      </c>
      <c r="U70" t="str">
        <f>IF(Raw_Data[[#This Row],[Age_Check]]="Valid",H70,"")</f>
        <v/>
      </c>
      <c r="V70" t="str">
        <f>IF(OR(K70="",UPPER(TRIM(K70&amp;""))="",LOWER(TRIM(K70&amp;""))="",LOWER(TRIM(K70&amp;""))="",LOWER(TRIM(K70&amp;""))="missing"),"Missing/",IFERROR(IF(VALUE(K70)&lt;0,"Invalid","Valid"),"Check Format"))</f>
        <v>Valid</v>
      </c>
      <c r="W70" t="str">
        <f>IF(OR(E70="",F70=""),"Missing Date/Time",IFERROR(IF(F70&gt;E70,"Arrival After Appointment","OK"),"Check Format"))</f>
        <v>OK</v>
      </c>
      <c r="X70" t="str">
        <f>IF(OR(F70="",G70=""),"Missing Date/Time",IFERROR(IF(G70&lt;F70,"Discharge Before Arrival","OK"),"Check Format"))</f>
        <v>Missing Date/Time</v>
      </c>
    </row>
    <row r="71" spans="1:24" x14ac:dyDescent="0.25">
      <c r="A71" s="2" t="s">
        <v>225</v>
      </c>
      <c r="B71" s="2" t="s">
        <v>226</v>
      </c>
      <c r="C71" s="3" t="s">
        <v>94</v>
      </c>
      <c r="D71" s="3" t="s">
        <v>66</v>
      </c>
      <c r="E71" s="4">
        <v>45737.493055555555</v>
      </c>
      <c r="F71" s="4">
        <v>45737.490277777775</v>
      </c>
      <c r="G71" s="4">
        <v>45737.574305555558</v>
      </c>
      <c r="H71" s="5">
        <v>86</v>
      </c>
      <c r="I71" s="3" t="s">
        <v>95</v>
      </c>
      <c r="J71" s="3" t="s">
        <v>67</v>
      </c>
      <c r="K71" s="5">
        <v>76</v>
      </c>
      <c r="L71" s="5">
        <v>41</v>
      </c>
      <c r="M71" s="3" t="s">
        <v>23</v>
      </c>
      <c r="N71" t="s">
        <v>24</v>
      </c>
      <c r="O71" s="5">
        <v>0</v>
      </c>
      <c r="P71" s="3" t="s">
        <v>25</v>
      </c>
      <c r="R71" s="3" t="s">
        <v>43</v>
      </c>
      <c r="S71">
        <f>COUNTIF(A:A,A71)</f>
        <v>1</v>
      </c>
      <c r="T71" t="str">
        <f>IF(OR(H71="",LOWER(TRIM(H71&amp;""))="missing",LOWER(TRIM(H71&amp;""))=""),"Missing/",IFERROR(IF(OR(VALUE(H71)&lt;0,VALUE(H71)&gt;110),"Invalid","Valid"),"Check Format"))</f>
        <v>Valid</v>
      </c>
      <c r="U71">
        <f>IF(Raw_Data[[#This Row],[Age_Check]]="Valid",H71,"")</f>
        <v>86</v>
      </c>
      <c r="V71" t="str">
        <f>IF(OR(K71="",UPPER(TRIM(K71&amp;""))="",LOWER(TRIM(K71&amp;""))="",LOWER(TRIM(K71&amp;""))="",LOWER(TRIM(K71&amp;""))="missing"),"Missing/",IFERROR(IF(VALUE(K71)&lt;0,"Invalid","Valid"),"Check Format"))</f>
        <v>Valid</v>
      </c>
      <c r="W71" t="str">
        <f>IF(OR(E71="",F71=""),"Missing Date/Time",IFERROR(IF(F71&gt;E71,"Arrival After Appointment","OK"),"Check Format"))</f>
        <v>OK</v>
      </c>
      <c r="X71" t="str">
        <f>IF(OR(F71="",G71=""),"Missing Date/Time",IFERROR(IF(G71&lt;F71,"Discharge Before Arrival","OK"),"Check Format"))</f>
        <v>OK</v>
      </c>
    </row>
    <row r="72" spans="1:24" x14ac:dyDescent="0.25">
      <c r="A72" s="2" t="s">
        <v>227</v>
      </c>
      <c r="B72" s="2" t="s">
        <v>127</v>
      </c>
      <c r="C72" s="3" t="s">
        <v>46</v>
      </c>
      <c r="D72" s="3" t="s">
        <v>30</v>
      </c>
      <c r="E72" s="4">
        <v>45370.673611111109</v>
      </c>
      <c r="F72" s="4">
        <v>45370.671527777777</v>
      </c>
      <c r="H72" s="5">
        <v>145</v>
      </c>
      <c r="I72" s="3" t="s">
        <v>95</v>
      </c>
      <c r="K72" s="5">
        <v>76</v>
      </c>
      <c r="L72" s="5">
        <v>101</v>
      </c>
      <c r="M72" s="3" t="s">
        <v>23</v>
      </c>
      <c r="N72" t="s">
        <v>103</v>
      </c>
      <c r="O72" s="5">
        <v>4</v>
      </c>
      <c r="P72" s="3" t="s">
        <v>25</v>
      </c>
      <c r="Q72" s="2">
        <v>190.67</v>
      </c>
      <c r="R72" s="3" t="s">
        <v>58</v>
      </c>
      <c r="S72">
        <f>COUNTIF(A:A,A72)</f>
        <v>1</v>
      </c>
      <c r="T72" t="str">
        <f>IF(OR(H72="",LOWER(TRIM(H72&amp;""))="missing",LOWER(TRIM(H72&amp;""))=""),"Missing/",IFERROR(IF(OR(VALUE(H72)&lt;0,VALUE(H72)&gt;110),"Invalid","Valid"),"Check Format"))</f>
        <v>Invalid</v>
      </c>
      <c r="U72" t="str">
        <f>IF(Raw_Data[[#This Row],[Age_Check]]="Valid",H72,"")</f>
        <v/>
      </c>
      <c r="V72" t="str">
        <f>IF(OR(K72="",UPPER(TRIM(K72&amp;""))="",LOWER(TRIM(K72&amp;""))="",LOWER(TRIM(K72&amp;""))="",LOWER(TRIM(K72&amp;""))="missing"),"Missing/",IFERROR(IF(VALUE(K72)&lt;0,"Invalid","Valid"),"Check Format"))</f>
        <v>Valid</v>
      </c>
      <c r="W72" t="str">
        <f>IF(OR(E72="",F72=""),"Missing Date/Time",IFERROR(IF(F72&gt;E72,"Arrival After Appointment","OK"),"Check Format"))</f>
        <v>OK</v>
      </c>
      <c r="X72" t="str">
        <f>IF(OR(F72="",G72=""),"Missing Date/Time",IFERROR(IF(G72&lt;F72,"Discharge Before Arrival","OK"),"Check Format"))</f>
        <v>Missing Date/Time</v>
      </c>
    </row>
    <row r="73" spans="1:24" x14ac:dyDescent="0.25">
      <c r="A73" s="2" t="s">
        <v>228</v>
      </c>
      <c r="B73" s="2" t="s">
        <v>229</v>
      </c>
      <c r="C73" s="3" t="s">
        <v>19</v>
      </c>
      <c r="D73" s="3" t="s">
        <v>38</v>
      </c>
      <c r="E73" s="4" t="s">
        <v>230</v>
      </c>
      <c r="F73" s="4">
        <v>45468.768055555556</v>
      </c>
      <c r="G73" s="4">
        <v>45468.875694444447</v>
      </c>
      <c r="I73" s="3" t="s">
        <v>95</v>
      </c>
      <c r="J73" s="3" t="s">
        <v>62</v>
      </c>
      <c r="K73" s="5">
        <v>97</v>
      </c>
      <c r="L73" s="5">
        <v>49</v>
      </c>
      <c r="M73" s="3" t="s">
        <v>41</v>
      </c>
      <c r="O73" s="5">
        <v>1</v>
      </c>
      <c r="Q73" s="2">
        <v>197.11</v>
      </c>
      <c r="R73" s="3" t="s">
        <v>58</v>
      </c>
      <c r="S73">
        <f>COUNTIF(A:A,A73)</f>
        <v>1</v>
      </c>
      <c r="T73" t="str">
        <f>IF(OR(H73="",LOWER(TRIM(H73&amp;""))="missing",LOWER(TRIM(H73&amp;""))=""),"Missing/",IFERROR(IF(OR(VALUE(H73)&lt;0,VALUE(H73)&gt;110),"Invalid","Valid"),"Check Format"))</f>
        <v>Missing/</v>
      </c>
      <c r="U73" t="str">
        <f>IF(Raw_Data[[#This Row],[Age_Check]]="Valid",H73,"")</f>
        <v/>
      </c>
      <c r="V73" t="str">
        <f>IF(OR(K73="",UPPER(TRIM(K73&amp;""))="",LOWER(TRIM(K73&amp;""))="",LOWER(TRIM(K73&amp;""))="",LOWER(TRIM(K73&amp;""))="missing"),"Missing/",IFERROR(IF(VALUE(K73)&lt;0,"Invalid","Valid"),"Check Format"))</f>
        <v>Valid</v>
      </c>
      <c r="W73" t="str">
        <f>IF(OR(E73="",F73=""),"Missing Date/Time",IFERROR(IF(F73&gt;E73,"Arrival After Appointment","OK"),"Check Format"))</f>
        <v>OK</v>
      </c>
      <c r="X73" t="str">
        <f>IF(OR(F73="",G73=""),"Missing Date/Time",IFERROR(IF(G73&lt;F73,"Discharge Before Arrival","OK"),"Check Format"))</f>
        <v>OK</v>
      </c>
    </row>
    <row r="74" spans="1:24" x14ac:dyDescent="0.25">
      <c r="A74" s="2" t="s">
        <v>231</v>
      </c>
      <c r="B74" s="2" t="s">
        <v>232</v>
      </c>
      <c r="D74" s="3" t="s">
        <v>66</v>
      </c>
      <c r="E74" s="4" t="s">
        <v>233</v>
      </c>
      <c r="F74" s="4">
        <v>45856.38958333333</v>
      </c>
      <c r="G74" s="4">
        <v>45856.469444444447</v>
      </c>
      <c r="H74" s="5">
        <v>9</v>
      </c>
      <c r="I74" s="3" t="s">
        <v>39</v>
      </c>
      <c r="J74" s="3" t="s">
        <v>62</v>
      </c>
      <c r="K74" s="5">
        <v>46</v>
      </c>
      <c r="L74" s="5">
        <v>45</v>
      </c>
      <c r="M74" s="3" t="s">
        <v>23</v>
      </c>
      <c r="N74" t="s">
        <v>24</v>
      </c>
      <c r="P74" s="3" t="s">
        <v>80</v>
      </c>
      <c r="Q74" s="2">
        <v>83.17</v>
      </c>
      <c r="R74" s="3" t="s">
        <v>26</v>
      </c>
      <c r="S74">
        <f>COUNTIF(A:A,A74)</f>
        <v>1</v>
      </c>
      <c r="T74" t="str">
        <f>IF(OR(H74="",LOWER(TRIM(H74&amp;""))="missing",LOWER(TRIM(H74&amp;""))=""),"Missing/",IFERROR(IF(OR(VALUE(H74)&lt;0,VALUE(H74)&gt;110),"Invalid","Valid"),"Check Format"))</f>
        <v>Valid</v>
      </c>
      <c r="U74">
        <f>IF(Raw_Data[[#This Row],[Age_Check]]="Valid",H74,"")</f>
        <v>9</v>
      </c>
      <c r="V74" t="str">
        <f>IF(OR(K74="",UPPER(TRIM(K74&amp;""))="",LOWER(TRIM(K74&amp;""))="",LOWER(TRIM(K74&amp;""))="",LOWER(TRIM(K74&amp;""))="missing"),"Missing/",IFERROR(IF(VALUE(K74)&lt;0,"Invalid","Valid"),"Check Format"))</f>
        <v>Valid</v>
      </c>
      <c r="W74" t="str">
        <f>IF(OR(E74="",F74=""),"Missing Date/Time",IFERROR(IF(F74&gt;E74,"Arrival After Appointment","OK"),"Check Format"))</f>
        <v>OK</v>
      </c>
      <c r="X74" t="str">
        <f>IF(OR(F74="",G74=""),"Missing Date/Time",IFERROR(IF(G74&lt;F74,"Discharge Before Arrival","OK"),"Check Format"))</f>
        <v>OK</v>
      </c>
    </row>
    <row r="75" spans="1:24" x14ac:dyDescent="0.25">
      <c r="A75" s="2" t="s">
        <v>234</v>
      </c>
      <c r="B75" s="2" t="s">
        <v>235</v>
      </c>
      <c r="C75" s="3" t="s">
        <v>94</v>
      </c>
      <c r="D75" s="3" t="s">
        <v>115</v>
      </c>
      <c r="E75" s="4">
        <v>45735.625</v>
      </c>
      <c r="F75" s="4">
        <v>45735.609722222223</v>
      </c>
      <c r="G75" s="4">
        <v>45735.675000000003</v>
      </c>
      <c r="H75" s="5">
        <v>66</v>
      </c>
      <c r="I75" s="3" t="s">
        <v>90</v>
      </c>
      <c r="J75" s="3" t="s">
        <v>62</v>
      </c>
      <c r="K75" s="5">
        <v>49</v>
      </c>
      <c r="L75" s="5">
        <v>23</v>
      </c>
      <c r="M75" s="3" t="s">
        <v>50</v>
      </c>
      <c r="P75" s="3" t="s">
        <v>25</v>
      </c>
      <c r="Q75" s="2">
        <v>151.55000000000001</v>
      </c>
      <c r="R75" s="3" t="s">
        <v>58</v>
      </c>
      <c r="S75">
        <f>COUNTIF(A:A,A75)</f>
        <v>1</v>
      </c>
      <c r="T75" t="str">
        <f>IF(OR(H75="",LOWER(TRIM(H75&amp;""))="missing",LOWER(TRIM(H75&amp;""))=""),"Missing/",IFERROR(IF(OR(VALUE(H75)&lt;0,VALUE(H75)&gt;110),"Invalid","Valid"),"Check Format"))</f>
        <v>Valid</v>
      </c>
      <c r="U75">
        <f>IF(Raw_Data[[#This Row],[Age_Check]]="Valid",H75,"")</f>
        <v>66</v>
      </c>
      <c r="V75" t="str">
        <f>IF(OR(K75="",UPPER(TRIM(K75&amp;""))="",LOWER(TRIM(K75&amp;""))="",LOWER(TRIM(K75&amp;""))="",LOWER(TRIM(K75&amp;""))="missing"),"Missing/",IFERROR(IF(VALUE(K75)&lt;0,"Invalid","Valid"),"Check Format"))</f>
        <v>Valid</v>
      </c>
      <c r="W75" t="str">
        <f>IF(OR(E75="",F75=""),"Missing Date/Time",IFERROR(IF(F75&gt;E75,"Arrival After Appointment","OK"),"Check Format"))</f>
        <v>OK</v>
      </c>
      <c r="X75" t="str">
        <f>IF(OR(F75="",G75=""),"Missing Date/Time",IFERROR(IF(G75&lt;F75,"Discharge Before Arrival","OK"),"Check Format"))</f>
        <v>OK</v>
      </c>
    </row>
    <row r="76" spans="1:24" x14ac:dyDescent="0.25">
      <c r="A76" s="2" t="s">
        <v>236</v>
      </c>
      <c r="B76" s="2" t="s">
        <v>237</v>
      </c>
      <c r="C76" s="3" t="s">
        <v>46</v>
      </c>
      <c r="D76" s="3" t="s">
        <v>106</v>
      </c>
      <c r="E76" s="4">
        <v>45449.409722222219</v>
      </c>
      <c r="F76" s="4">
        <v>45449.393055555556</v>
      </c>
      <c r="G76" s="4">
        <v>45449.509722222225</v>
      </c>
      <c r="H76" s="5">
        <v>145</v>
      </c>
      <c r="I76" s="3" t="s">
        <v>95</v>
      </c>
      <c r="J76" s="3" t="s">
        <v>150</v>
      </c>
      <c r="K76" s="5">
        <v>139</v>
      </c>
      <c r="L76" s="5">
        <v>5</v>
      </c>
      <c r="M76" s="3" t="s">
        <v>87</v>
      </c>
      <c r="N76" t="s">
        <v>24</v>
      </c>
      <c r="P76" s="3" t="s">
        <v>25</v>
      </c>
      <c r="Q76" s="2">
        <v>199.9</v>
      </c>
      <c r="R76" s="3" t="s">
        <v>58</v>
      </c>
      <c r="S76">
        <f>COUNTIF(A:A,A76)</f>
        <v>1</v>
      </c>
      <c r="T76" t="str">
        <f>IF(OR(H76="",LOWER(TRIM(H76&amp;""))="missing",LOWER(TRIM(H76&amp;""))=""),"Missing/",IFERROR(IF(OR(VALUE(H76)&lt;0,VALUE(H76)&gt;110),"Invalid","Valid"),"Check Format"))</f>
        <v>Invalid</v>
      </c>
      <c r="U76" t="str">
        <f>IF(Raw_Data[[#This Row],[Age_Check]]="Valid",H76,"")</f>
        <v/>
      </c>
      <c r="V76" t="str">
        <f>IF(OR(K76="",UPPER(TRIM(K76&amp;""))="",LOWER(TRIM(K76&amp;""))="",LOWER(TRIM(K76&amp;""))="",LOWER(TRIM(K76&amp;""))="missing"),"Missing/",IFERROR(IF(VALUE(K76)&lt;0,"Invalid","Valid"),"Check Format"))</f>
        <v>Valid</v>
      </c>
      <c r="W76" t="str">
        <f>IF(OR(E76="",F76=""),"Missing Date/Time",IFERROR(IF(F76&gt;E76,"Arrival After Appointment","OK"),"Check Format"))</f>
        <v>OK</v>
      </c>
      <c r="X76" t="str">
        <f>IF(OR(F76="",G76=""),"Missing Date/Time",IFERROR(IF(G76&lt;F76,"Discharge Before Arrival","OK"),"Check Format"))</f>
        <v>OK</v>
      </c>
    </row>
    <row r="77" spans="1:24" x14ac:dyDescent="0.25">
      <c r="A77" s="2" t="s">
        <v>238</v>
      </c>
      <c r="B77" s="2" t="s">
        <v>218</v>
      </c>
      <c r="C77" s="3" t="s">
        <v>29</v>
      </c>
      <c r="D77" s="3" t="s">
        <v>20</v>
      </c>
      <c r="E77" s="4" t="s">
        <v>239</v>
      </c>
      <c r="F77" s="4">
        <v>45742.559027777781</v>
      </c>
      <c r="G77" s="4">
        <v>45742.582638888889</v>
      </c>
      <c r="H77" s="5">
        <v>51</v>
      </c>
      <c r="I77" s="3" t="s">
        <v>39</v>
      </c>
      <c r="J77" s="3" t="s">
        <v>62</v>
      </c>
      <c r="K77" s="5">
        <v>1</v>
      </c>
      <c r="L77" s="5">
        <v>23</v>
      </c>
      <c r="M77" s="3" t="s">
        <v>23</v>
      </c>
      <c r="N77" t="s">
        <v>91</v>
      </c>
      <c r="O77" s="5">
        <v>2</v>
      </c>
      <c r="P77" s="3" t="s">
        <v>25</v>
      </c>
      <c r="Q77" s="2">
        <v>232.12</v>
      </c>
      <c r="R77" s="3" t="s">
        <v>43</v>
      </c>
      <c r="S77">
        <f>COUNTIF(A:A,A77)</f>
        <v>1</v>
      </c>
      <c r="T77" t="str">
        <f>IF(OR(H77="",LOWER(TRIM(H77&amp;""))="missing",LOWER(TRIM(H77&amp;""))=""),"Missing/",IFERROR(IF(OR(VALUE(H77)&lt;0,VALUE(H77)&gt;110),"Invalid","Valid"),"Check Format"))</f>
        <v>Valid</v>
      </c>
      <c r="U77">
        <f>IF(Raw_Data[[#This Row],[Age_Check]]="Valid",H77,"")</f>
        <v>51</v>
      </c>
      <c r="V77" t="str">
        <f>IF(OR(K77="",UPPER(TRIM(K77&amp;""))="",LOWER(TRIM(K77&amp;""))="",LOWER(TRIM(K77&amp;""))="",LOWER(TRIM(K77&amp;""))="missing"),"Missing/",IFERROR(IF(VALUE(K77)&lt;0,"Invalid","Valid"),"Check Format"))</f>
        <v>Valid</v>
      </c>
      <c r="W77" t="str">
        <f>IF(OR(E77="",F77=""),"Missing Date/Time",IFERROR(IF(F77&gt;E77,"Arrival After Appointment","OK"),"Check Format"))</f>
        <v>OK</v>
      </c>
      <c r="X77" t="str">
        <f>IF(OR(F77="",G77=""),"Missing Date/Time",IFERROR(IF(G77&lt;F77,"Discharge Before Arrival","OK"),"Check Format"))</f>
        <v>OK</v>
      </c>
    </row>
    <row r="78" spans="1:24" x14ac:dyDescent="0.25">
      <c r="A78" s="2" t="s">
        <v>240</v>
      </c>
      <c r="B78" s="2" t="s">
        <v>241</v>
      </c>
      <c r="C78" s="3" t="s">
        <v>29</v>
      </c>
      <c r="D78" s="3" t="s">
        <v>106</v>
      </c>
      <c r="E78" s="4" t="s">
        <v>242</v>
      </c>
      <c r="F78" s="4">
        <v>45922.548611111109</v>
      </c>
      <c r="G78" s="4">
        <v>45922.602083333331</v>
      </c>
      <c r="I78" s="3" t="s">
        <v>90</v>
      </c>
      <c r="J78" s="3" t="s">
        <v>171</v>
      </c>
      <c r="K78" s="5">
        <v>60</v>
      </c>
      <c r="L78" s="5">
        <v>12</v>
      </c>
      <c r="M78" s="3" t="s">
        <v>32</v>
      </c>
      <c r="N78" t="s">
        <v>74</v>
      </c>
      <c r="O78" s="5">
        <v>6</v>
      </c>
      <c r="P78" s="3" t="s">
        <v>80</v>
      </c>
      <c r="Q78" s="2">
        <v>87.78</v>
      </c>
      <c r="R78" s="3" t="s">
        <v>43</v>
      </c>
      <c r="S78">
        <f>COUNTIF(A:A,A78)</f>
        <v>1</v>
      </c>
      <c r="T78" t="str">
        <f>IF(OR(H78="",LOWER(TRIM(H78&amp;""))="missing",LOWER(TRIM(H78&amp;""))=""),"Missing/",IFERROR(IF(OR(VALUE(H78)&lt;0,VALUE(H78)&gt;110),"Invalid","Valid"),"Check Format"))</f>
        <v>Missing/</v>
      </c>
      <c r="U78" t="str">
        <f>IF(Raw_Data[[#This Row],[Age_Check]]="Valid",H78,"")</f>
        <v/>
      </c>
      <c r="V78" t="str">
        <f>IF(OR(K78="",UPPER(TRIM(K78&amp;""))="",LOWER(TRIM(K78&amp;""))="",LOWER(TRIM(K78&amp;""))="",LOWER(TRIM(K78&amp;""))="missing"),"Missing/",IFERROR(IF(VALUE(K78)&lt;0,"Invalid","Valid"),"Check Format"))</f>
        <v>Valid</v>
      </c>
      <c r="W78" t="str">
        <f>IF(OR(E78="",F78=""),"Missing Date/Time",IFERROR(IF(F78&gt;E78,"Arrival After Appointment","OK"),"Check Format"))</f>
        <v>OK</v>
      </c>
      <c r="X78" t="str">
        <f>IF(OR(F78="",G78=""),"Missing Date/Time",IFERROR(IF(G78&lt;F78,"Discharge Before Arrival","OK"),"Check Format"))</f>
        <v>OK</v>
      </c>
    </row>
    <row r="79" spans="1:24" x14ac:dyDescent="0.25">
      <c r="A79" s="2" t="s">
        <v>243</v>
      </c>
      <c r="B79" s="2" t="s">
        <v>194</v>
      </c>
      <c r="C79" s="3" t="s">
        <v>94</v>
      </c>
      <c r="D79" s="3" t="s">
        <v>61</v>
      </c>
      <c r="E79" s="4">
        <v>45903.743055555555</v>
      </c>
      <c r="F79" s="4">
        <v>45903.727083333331</v>
      </c>
      <c r="G79" s="4">
        <v>45903.811805555553</v>
      </c>
      <c r="H79" s="5">
        <v>51</v>
      </c>
      <c r="I79" s="3" t="s">
        <v>95</v>
      </c>
      <c r="J79" s="3" t="s">
        <v>62</v>
      </c>
      <c r="K79" s="5">
        <v>81</v>
      </c>
      <c r="L79" s="5">
        <v>18</v>
      </c>
      <c r="M79" s="3" t="s">
        <v>87</v>
      </c>
      <c r="P79" s="3" t="s">
        <v>25</v>
      </c>
      <c r="Q79" s="2">
        <v>162.32</v>
      </c>
      <c r="R79" s="3" t="s">
        <v>58</v>
      </c>
      <c r="S79">
        <f>COUNTIF(A:A,A79)</f>
        <v>1</v>
      </c>
      <c r="T79" t="str">
        <f>IF(OR(H79="",LOWER(TRIM(H79&amp;""))="missing",LOWER(TRIM(H79&amp;""))=""),"Missing/",IFERROR(IF(OR(VALUE(H79)&lt;0,VALUE(H79)&gt;110),"Invalid","Valid"),"Check Format"))</f>
        <v>Valid</v>
      </c>
      <c r="U79">
        <f>IF(Raw_Data[[#This Row],[Age_Check]]="Valid",H79,"")</f>
        <v>51</v>
      </c>
      <c r="V79" t="str">
        <f>IF(OR(K79="",UPPER(TRIM(K79&amp;""))="",LOWER(TRIM(K79&amp;""))="",LOWER(TRIM(K79&amp;""))="",LOWER(TRIM(K79&amp;""))="missing"),"Missing/",IFERROR(IF(VALUE(K79)&lt;0,"Invalid","Valid"),"Check Format"))</f>
        <v>Valid</v>
      </c>
      <c r="W79" t="str">
        <f>IF(OR(E79="",F79=""),"Missing Date/Time",IFERROR(IF(F79&gt;E79,"Arrival After Appointment","OK"),"Check Format"))</f>
        <v>OK</v>
      </c>
      <c r="X79" t="str">
        <f>IF(OR(F79="",G79=""),"Missing Date/Time",IFERROR(IF(G79&lt;F79,"Discharge Before Arrival","OK"),"Check Format"))</f>
        <v>OK</v>
      </c>
    </row>
    <row r="80" spans="1:24" x14ac:dyDescent="0.25">
      <c r="A80" s="2" t="s">
        <v>244</v>
      </c>
      <c r="B80" s="2" t="s">
        <v>245</v>
      </c>
      <c r="C80" s="3" t="s">
        <v>29</v>
      </c>
      <c r="D80" s="3" t="s">
        <v>55</v>
      </c>
      <c r="E80" s="4">
        <v>45930.739583333336</v>
      </c>
      <c r="F80" s="4">
        <v>45930.731944444444</v>
      </c>
      <c r="G80" s="4">
        <v>45930.794444444444</v>
      </c>
      <c r="H80" s="5">
        <v>145</v>
      </c>
      <c r="I80" s="3" t="s">
        <v>95</v>
      </c>
      <c r="J80" s="3" t="s">
        <v>62</v>
      </c>
      <c r="K80" s="5">
        <v>59</v>
      </c>
      <c r="L80" s="5">
        <v>20</v>
      </c>
      <c r="M80" s="3" t="s">
        <v>87</v>
      </c>
      <c r="N80" t="s">
        <v>74</v>
      </c>
      <c r="P80" s="3" t="s">
        <v>25</v>
      </c>
      <c r="Q80" s="2">
        <v>316.52</v>
      </c>
      <c r="R80" s="3" t="s">
        <v>26</v>
      </c>
      <c r="S80">
        <f>COUNTIF(A:A,A80)</f>
        <v>1</v>
      </c>
      <c r="T80" t="str">
        <f>IF(OR(H80="",LOWER(TRIM(H80&amp;""))="missing",LOWER(TRIM(H80&amp;""))=""),"Missing/",IFERROR(IF(OR(VALUE(H80)&lt;0,VALUE(H80)&gt;110),"Invalid","Valid"),"Check Format"))</f>
        <v>Invalid</v>
      </c>
      <c r="U80" t="str">
        <f>IF(Raw_Data[[#This Row],[Age_Check]]="Valid",H80,"")</f>
        <v/>
      </c>
      <c r="V80" t="str">
        <f>IF(OR(K80="",UPPER(TRIM(K80&amp;""))="",LOWER(TRIM(K80&amp;""))="",LOWER(TRIM(K80&amp;""))="",LOWER(TRIM(K80&amp;""))="missing"),"Missing/",IFERROR(IF(VALUE(K80)&lt;0,"Invalid","Valid"),"Check Format"))</f>
        <v>Valid</v>
      </c>
      <c r="W80" t="str">
        <f>IF(OR(E80="",F80=""),"Missing Date/Time",IFERROR(IF(F80&gt;E80,"Arrival After Appointment","OK"),"Check Format"))</f>
        <v>OK</v>
      </c>
      <c r="X80" t="str">
        <f>IF(OR(F80="",G80=""),"Missing Date/Time",IFERROR(IF(G80&lt;F80,"Discharge Before Arrival","OK"),"Check Format"))</f>
        <v>OK</v>
      </c>
    </row>
    <row r="81" spans="1:24" x14ac:dyDescent="0.25">
      <c r="A81" s="2" t="s">
        <v>246</v>
      </c>
      <c r="B81" s="2" t="s">
        <v>247</v>
      </c>
      <c r="D81" s="3" t="s">
        <v>72</v>
      </c>
      <c r="E81" s="4">
        <v>45303.684027777781</v>
      </c>
      <c r="F81" s="4">
        <v>45627.677777777775</v>
      </c>
      <c r="G81" s="4">
        <v>45627.743055555555</v>
      </c>
      <c r="I81" s="3" t="s">
        <v>73</v>
      </c>
      <c r="J81" s="3" t="s">
        <v>171</v>
      </c>
      <c r="K81" s="5">
        <v>80</v>
      </c>
      <c r="L81" s="5">
        <v>5</v>
      </c>
      <c r="O81" s="5">
        <v>6</v>
      </c>
      <c r="P81" s="3" t="s">
        <v>80</v>
      </c>
      <c r="Q81" s="2">
        <v>159.91999999999999</v>
      </c>
      <c r="R81" s="3" t="s">
        <v>26</v>
      </c>
      <c r="S81">
        <f>COUNTIF(A:A,A81)</f>
        <v>1</v>
      </c>
      <c r="T81" t="str">
        <f>IF(OR(H81="",LOWER(TRIM(H81&amp;""))="missing",LOWER(TRIM(H81&amp;""))=""),"Missing/",IFERROR(IF(OR(VALUE(H81)&lt;0,VALUE(H81)&gt;110),"Invalid","Valid"),"Check Format"))</f>
        <v>Missing/</v>
      </c>
      <c r="U81" t="str">
        <f>IF(Raw_Data[[#This Row],[Age_Check]]="Valid",H81,"")</f>
        <v/>
      </c>
      <c r="V81" t="str">
        <f>IF(OR(K81="",UPPER(TRIM(K81&amp;""))="",LOWER(TRIM(K81&amp;""))="",LOWER(TRIM(K81&amp;""))="",LOWER(TRIM(K81&amp;""))="missing"),"Missing/",IFERROR(IF(VALUE(K81)&lt;0,"Invalid","Valid"),"Check Format"))</f>
        <v>Valid</v>
      </c>
      <c r="W81" t="str">
        <f>IF(OR(E81="",F81=""),"Missing Date/Time",IFERROR(IF(F81&gt;E81,"Arrival After Appointment","OK"),"Check Format"))</f>
        <v>Arrival After Appointment</v>
      </c>
      <c r="X81" t="str">
        <f>IF(OR(F81="",G81=""),"Missing Date/Time",IFERROR(IF(G81&lt;F81,"Discharge Before Arrival","OK"),"Check Format"))</f>
        <v>OK</v>
      </c>
    </row>
    <row r="82" spans="1:24" x14ac:dyDescent="0.25">
      <c r="A82" s="2" t="s">
        <v>248</v>
      </c>
      <c r="B82" s="2" t="s">
        <v>249</v>
      </c>
      <c r="C82" s="3" t="s">
        <v>19</v>
      </c>
      <c r="D82" s="3" t="s">
        <v>55</v>
      </c>
      <c r="E82" s="4">
        <v>45466.659722222219</v>
      </c>
      <c r="F82" s="4">
        <v>45466.65</v>
      </c>
      <c r="G82" s="4">
        <v>45466.71597222222</v>
      </c>
      <c r="I82" s="3" t="s">
        <v>73</v>
      </c>
      <c r="J82" s="3" t="s">
        <v>67</v>
      </c>
      <c r="K82" s="5">
        <v>34</v>
      </c>
      <c r="L82" s="5">
        <v>47</v>
      </c>
      <c r="P82" s="3" t="s">
        <v>42</v>
      </c>
      <c r="R82" s="3" t="s">
        <v>43</v>
      </c>
      <c r="S82">
        <f>COUNTIF(A:A,A82)</f>
        <v>1</v>
      </c>
      <c r="T82" t="str">
        <f>IF(OR(H82="",LOWER(TRIM(H82&amp;""))="missing",LOWER(TRIM(H82&amp;""))=""),"Missing/",IFERROR(IF(OR(VALUE(H82)&lt;0,VALUE(H82)&gt;110),"Invalid","Valid"),"Check Format"))</f>
        <v>Missing/</v>
      </c>
      <c r="U82" t="str">
        <f>IF(Raw_Data[[#This Row],[Age_Check]]="Valid",H82,"")</f>
        <v/>
      </c>
      <c r="V82" t="str">
        <f>IF(OR(K82="",UPPER(TRIM(K82&amp;""))="",LOWER(TRIM(K82&amp;""))="",LOWER(TRIM(K82&amp;""))="",LOWER(TRIM(K82&amp;""))="missing"),"Missing/",IFERROR(IF(VALUE(K82)&lt;0,"Invalid","Valid"),"Check Format"))</f>
        <v>Valid</v>
      </c>
      <c r="W82" t="str">
        <f>IF(OR(E82="",F82=""),"Missing Date/Time",IFERROR(IF(F82&gt;E82,"Arrival After Appointment","OK"),"Check Format"))</f>
        <v>OK</v>
      </c>
      <c r="X82" t="str">
        <f>IF(OR(F82="",G82=""),"Missing Date/Time",IFERROR(IF(G82&lt;F82,"Discharge Before Arrival","OK"),"Check Format"))</f>
        <v>OK</v>
      </c>
    </row>
    <row r="83" spans="1:24" x14ac:dyDescent="0.25">
      <c r="A83" s="2" t="s">
        <v>250</v>
      </c>
      <c r="B83" s="2" t="s">
        <v>251</v>
      </c>
      <c r="C83" s="3" t="s">
        <v>29</v>
      </c>
      <c r="D83" s="3" t="s">
        <v>55</v>
      </c>
      <c r="E83" s="4">
        <v>45781.645833333336</v>
      </c>
      <c r="F83" s="4">
        <v>45781.627083333333</v>
      </c>
      <c r="G83" s="4">
        <v>45781.686805555553</v>
      </c>
      <c r="J83" s="3" t="s">
        <v>150</v>
      </c>
      <c r="K83" s="5">
        <v>30</v>
      </c>
      <c r="L83" s="5">
        <v>29</v>
      </c>
      <c r="M83" s="3" t="s">
        <v>32</v>
      </c>
      <c r="N83" t="s">
        <v>24</v>
      </c>
      <c r="O83" s="5">
        <v>6</v>
      </c>
      <c r="P83" s="3" t="s">
        <v>25</v>
      </c>
      <c r="Q83" s="2">
        <v>185.4</v>
      </c>
      <c r="R83" s="3" t="s">
        <v>75</v>
      </c>
      <c r="S83">
        <f>COUNTIF(A:A,A83)</f>
        <v>1</v>
      </c>
      <c r="T83" t="str">
        <f>IF(OR(H83="",LOWER(TRIM(H83&amp;""))="missing",LOWER(TRIM(H83&amp;""))=""),"Missing/",IFERROR(IF(OR(VALUE(H83)&lt;0,VALUE(H83)&gt;110),"Invalid","Valid"),"Check Format"))</f>
        <v>Missing/</v>
      </c>
      <c r="U83" t="str">
        <f>IF(Raw_Data[[#This Row],[Age_Check]]="Valid",H83,"")</f>
        <v/>
      </c>
      <c r="V83" t="str">
        <f>IF(OR(K83="",UPPER(TRIM(K83&amp;""))="",LOWER(TRIM(K83&amp;""))="",LOWER(TRIM(K83&amp;""))="",LOWER(TRIM(K83&amp;""))="missing"),"Missing/",IFERROR(IF(VALUE(K83)&lt;0,"Invalid","Valid"),"Check Format"))</f>
        <v>Valid</v>
      </c>
      <c r="W83" t="str">
        <f>IF(OR(E83="",F83=""),"Missing Date/Time",IFERROR(IF(F83&gt;E83,"Arrival After Appointment","OK"),"Check Format"))</f>
        <v>OK</v>
      </c>
      <c r="X83" t="str">
        <f>IF(OR(F83="",G83=""),"Missing Date/Time",IFERROR(IF(G83&lt;F83,"Discharge Before Arrival","OK"),"Check Format"))</f>
        <v>OK</v>
      </c>
    </row>
    <row r="84" spans="1:24" x14ac:dyDescent="0.25">
      <c r="A84" s="2" t="s">
        <v>252</v>
      </c>
      <c r="B84" s="2" t="s">
        <v>253</v>
      </c>
      <c r="C84" s="3" t="s">
        <v>94</v>
      </c>
      <c r="D84" s="3" t="s">
        <v>115</v>
      </c>
      <c r="E84" s="4" t="s">
        <v>254</v>
      </c>
      <c r="F84" s="4">
        <v>45792.515972222223</v>
      </c>
      <c r="G84" s="4">
        <v>45792.592361111114</v>
      </c>
      <c r="H84" s="5">
        <v>18</v>
      </c>
      <c r="I84" s="3" t="s">
        <v>90</v>
      </c>
      <c r="J84" s="3" t="s">
        <v>150</v>
      </c>
      <c r="K84" s="5">
        <v>88</v>
      </c>
      <c r="L84" s="5">
        <v>10</v>
      </c>
      <c r="M84" s="3" t="s">
        <v>23</v>
      </c>
      <c r="N84" t="s">
        <v>91</v>
      </c>
      <c r="P84" s="3" t="s">
        <v>80</v>
      </c>
      <c r="Q84" s="2">
        <v>118.24</v>
      </c>
      <c r="R84" s="3" t="s">
        <v>26</v>
      </c>
      <c r="S84">
        <f>COUNTIF(A:A,A84)</f>
        <v>1</v>
      </c>
      <c r="T84" t="str">
        <f>IF(OR(H84="",LOWER(TRIM(H84&amp;""))="missing",LOWER(TRIM(H84&amp;""))=""),"Missing/",IFERROR(IF(OR(VALUE(H84)&lt;0,VALUE(H84)&gt;110),"Invalid","Valid"),"Check Format"))</f>
        <v>Valid</v>
      </c>
      <c r="U84">
        <f>IF(Raw_Data[[#This Row],[Age_Check]]="Valid",H84,"")</f>
        <v>18</v>
      </c>
      <c r="V84" t="str">
        <f>IF(OR(K84="",UPPER(TRIM(K84&amp;""))="",LOWER(TRIM(K84&amp;""))="",LOWER(TRIM(K84&amp;""))="",LOWER(TRIM(K84&amp;""))="missing"),"Missing/",IFERROR(IF(VALUE(K84)&lt;0,"Invalid","Valid"),"Check Format"))</f>
        <v>Valid</v>
      </c>
      <c r="W84" t="str">
        <f>IF(OR(E84="",F84=""),"Missing Date/Time",IFERROR(IF(F84&gt;E84,"Arrival After Appointment","OK"),"Check Format"))</f>
        <v>OK</v>
      </c>
      <c r="X84" t="str">
        <f>IF(OR(F84="",G84=""),"Missing Date/Time",IFERROR(IF(G84&lt;F84,"Discharge Before Arrival","OK"),"Check Format"))</f>
        <v>OK</v>
      </c>
    </row>
    <row r="85" spans="1:24" x14ac:dyDescent="0.25">
      <c r="A85" s="2" t="s">
        <v>255</v>
      </c>
      <c r="B85" s="2" t="s">
        <v>256</v>
      </c>
      <c r="C85" s="3" t="s">
        <v>37</v>
      </c>
      <c r="D85" s="3" t="s">
        <v>20</v>
      </c>
      <c r="E85" s="4">
        <v>45403.704861111109</v>
      </c>
      <c r="F85" s="4">
        <v>45403.70416666667</v>
      </c>
      <c r="I85" s="3" t="s">
        <v>73</v>
      </c>
      <c r="J85" s="3" t="s">
        <v>2639</v>
      </c>
      <c r="K85" s="5">
        <v>41</v>
      </c>
      <c r="L85" s="5">
        <v>20</v>
      </c>
      <c r="M85" s="3" t="s">
        <v>68</v>
      </c>
      <c r="N85" t="s">
        <v>74</v>
      </c>
      <c r="O85" s="5">
        <v>0</v>
      </c>
      <c r="P85" s="3" t="s">
        <v>42</v>
      </c>
      <c r="Q85" s="2">
        <v>286.24</v>
      </c>
      <c r="R85" s="3" t="s">
        <v>58</v>
      </c>
      <c r="S85">
        <f>COUNTIF(A:A,A85)</f>
        <v>1</v>
      </c>
      <c r="T85" t="str">
        <f>IF(OR(H85="",LOWER(TRIM(H85&amp;""))="missing",LOWER(TRIM(H85&amp;""))=""),"Missing/",IFERROR(IF(OR(VALUE(H85)&lt;0,VALUE(H85)&gt;110),"Invalid","Valid"),"Check Format"))</f>
        <v>Missing/</v>
      </c>
      <c r="U85" t="str">
        <f>IF(Raw_Data[[#This Row],[Age_Check]]="Valid",H85,"")</f>
        <v/>
      </c>
      <c r="V85" t="str">
        <f>IF(OR(K85="",UPPER(TRIM(K85&amp;""))="",LOWER(TRIM(K85&amp;""))="",LOWER(TRIM(K85&amp;""))="",LOWER(TRIM(K85&amp;""))="missing"),"Missing/",IFERROR(IF(VALUE(K85)&lt;0,"Invalid","Valid"),"Check Format"))</f>
        <v>Valid</v>
      </c>
      <c r="W85" t="str">
        <f>IF(OR(E85="",F85=""),"Missing Date/Time",IFERROR(IF(F85&gt;E85,"Arrival After Appointment","OK"),"Check Format"))</f>
        <v>OK</v>
      </c>
      <c r="X85" t="str">
        <f>IF(OR(F85="",G85=""),"Missing Date/Time",IFERROR(IF(G85&lt;F85,"Discharge Before Arrival","OK"),"Check Format"))</f>
        <v>Missing Date/Time</v>
      </c>
    </row>
    <row r="86" spans="1:24" x14ac:dyDescent="0.25">
      <c r="A86" s="2" t="s">
        <v>257</v>
      </c>
      <c r="B86" s="2" t="s">
        <v>249</v>
      </c>
      <c r="C86" s="3" t="s">
        <v>37</v>
      </c>
      <c r="D86" s="3" t="s">
        <v>209</v>
      </c>
      <c r="E86" s="4">
        <v>45620.493055555555</v>
      </c>
      <c r="F86" s="4">
        <v>45620.477083333331</v>
      </c>
      <c r="G86" s="4">
        <v>45620.549305555556</v>
      </c>
      <c r="I86" s="3" t="s">
        <v>95</v>
      </c>
      <c r="J86" s="3" t="s">
        <v>67</v>
      </c>
      <c r="L86" s="5">
        <v>9</v>
      </c>
      <c r="M86" s="3" t="s">
        <v>87</v>
      </c>
      <c r="N86" t="s">
        <v>69</v>
      </c>
      <c r="Q86" s="2">
        <v>218.43</v>
      </c>
      <c r="R86" s="3" t="s">
        <v>58</v>
      </c>
      <c r="S86">
        <f>COUNTIF(A:A,A86)</f>
        <v>1</v>
      </c>
      <c r="T86" t="str">
        <f>IF(OR(H86="",LOWER(TRIM(H86&amp;""))="missing",LOWER(TRIM(H86&amp;""))=""),"Missing/",IFERROR(IF(OR(VALUE(H86)&lt;0,VALUE(H86)&gt;110),"Invalid","Valid"),"Check Format"))</f>
        <v>Missing/</v>
      </c>
      <c r="U86" t="str">
        <f>IF(Raw_Data[[#This Row],[Age_Check]]="Valid",H86,"")</f>
        <v/>
      </c>
      <c r="V86" t="str">
        <f>IF(OR(K86="",UPPER(TRIM(K86&amp;""))="",LOWER(TRIM(K86&amp;""))="",LOWER(TRIM(K86&amp;""))="",LOWER(TRIM(K86&amp;""))="missing"),"Missing/",IFERROR(IF(VALUE(K86)&lt;0,"Invalid","Valid"),"Check Format"))</f>
        <v>Missing/</v>
      </c>
      <c r="W86" t="str">
        <f>IF(OR(E86="",F86=""),"Missing Date/Time",IFERROR(IF(F86&gt;E86,"Arrival After Appointment","OK"),"Check Format"))</f>
        <v>OK</v>
      </c>
      <c r="X86" t="str">
        <f>IF(OR(F86="",G86=""),"Missing Date/Time",IFERROR(IF(G86&lt;F86,"Discharge Before Arrival","OK"),"Check Format"))</f>
        <v>OK</v>
      </c>
    </row>
    <row r="87" spans="1:24" x14ac:dyDescent="0.25">
      <c r="A87" s="2" t="s">
        <v>258</v>
      </c>
      <c r="B87" s="2" t="s">
        <v>259</v>
      </c>
      <c r="C87" s="3" t="s">
        <v>46</v>
      </c>
      <c r="D87" s="3" t="s">
        <v>174</v>
      </c>
      <c r="E87" s="4">
        <v>45757.736111111109</v>
      </c>
      <c r="F87" s="4">
        <v>45757.734027777777</v>
      </c>
      <c r="G87" s="4">
        <v>45757.862500000003</v>
      </c>
      <c r="I87" s="3" t="s">
        <v>90</v>
      </c>
      <c r="K87" s="5">
        <v>132</v>
      </c>
      <c r="L87" s="5">
        <v>50</v>
      </c>
      <c r="M87" s="3" t="s">
        <v>68</v>
      </c>
      <c r="N87" t="s">
        <v>74</v>
      </c>
      <c r="O87" s="5">
        <v>6</v>
      </c>
      <c r="P87" s="3" t="s">
        <v>42</v>
      </c>
      <c r="Q87" s="2">
        <v>23.45</v>
      </c>
      <c r="R87" s="3" t="s">
        <v>43</v>
      </c>
      <c r="S87">
        <f>COUNTIF(A:A,A87)</f>
        <v>1</v>
      </c>
      <c r="T87" t="str">
        <f>IF(OR(H87="",LOWER(TRIM(H87&amp;""))="missing",LOWER(TRIM(H87&amp;""))=""),"Missing/",IFERROR(IF(OR(VALUE(H87)&lt;0,VALUE(H87)&gt;110),"Invalid","Valid"),"Check Format"))</f>
        <v>Missing/</v>
      </c>
      <c r="U87" t="str">
        <f>IF(Raw_Data[[#This Row],[Age_Check]]="Valid",H87,"")</f>
        <v/>
      </c>
      <c r="V87" t="str">
        <f>IF(OR(K87="",UPPER(TRIM(K87&amp;""))="",LOWER(TRIM(K87&amp;""))="",LOWER(TRIM(K87&amp;""))="",LOWER(TRIM(K87&amp;""))="missing"),"Missing/",IFERROR(IF(VALUE(K87)&lt;0,"Invalid","Valid"),"Check Format"))</f>
        <v>Valid</v>
      </c>
      <c r="W87" t="str">
        <f>IF(OR(E87="",F87=""),"Missing Date/Time",IFERROR(IF(F87&gt;E87,"Arrival After Appointment","OK"),"Check Format"))</f>
        <v>OK</v>
      </c>
      <c r="X87" t="str">
        <f>IF(OR(F87="",G87=""),"Missing Date/Time",IFERROR(IF(G87&lt;F87,"Discharge Before Arrival","OK"),"Check Format"))</f>
        <v>OK</v>
      </c>
    </row>
    <row r="88" spans="1:24" x14ac:dyDescent="0.25">
      <c r="A88" s="2" t="s">
        <v>260</v>
      </c>
      <c r="B88" s="2" t="s">
        <v>261</v>
      </c>
      <c r="D88" s="3" t="s">
        <v>72</v>
      </c>
      <c r="E88" s="4">
        <v>45729.642361111109</v>
      </c>
      <c r="F88" s="4">
        <v>45729.637499999997</v>
      </c>
      <c r="I88" s="3" t="s">
        <v>90</v>
      </c>
      <c r="J88" s="3" t="s">
        <v>62</v>
      </c>
      <c r="K88" s="5">
        <v>41</v>
      </c>
      <c r="L88" s="5">
        <v>54</v>
      </c>
      <c r="M88" s="3" t="s">
        <v>41</v>
      </c>
      <c r="N88" t="s">
        <v>103</v>
      </c>
      <c r="O88" s="5">
        <v>5</v>
      </c>
      <c r="P88" s="3" t="s">
        <v>25</v>
      </c>
      <c r="Q88" s="2">
        <v>88.39</v>
      </c>
      <c r="R88" s="3" t="s">
        <v>43</v>
      </c>
      <c r="S88">
        <f>COUNTIF(A:A,A88)</f>
        <v>1</v>
      </c>
      <c r="T88" t="str">
        <f>IF(OR(H88="",LOWER(TRIM(H88&amp;""))="missing",LOWER(TRIM(H88&amp;""))=""),"Missing/",IFERROR(IF(OR(VALUE(H88)&lt;0,VALUE(H88)&gt;110),"Invalid","Valid"),"Check Format"))</f>
        <v>Missing/</v>
      </c>
      <c r="U88" t="str">
        <f>IF(Raw_Data[[#This Row],[Age_Check]]="Valid",H88,"")</f>
        <v/>
      </c>
      <c r="V88" t="str">
        <f>IF(OR(K88="",UPPER(TRIM(K88&amp;""))="",LOWER(TRIM(K88&amp;""))="",LOWER(TRIM(K88&amp;""))="",LOWER(TRIM(K88&amp;""))="missing"),"Missing/",IFERROR(IF(VALUE(K88)&lt;0,"Invalid","Valid"),"Check Format"))</f>
        <v>Valid</v>
      </c>
      <c r="W88" t="str">
        <f>IF(OR(E88="",F88=""),"Missing Date/Time",IFERROR(IF(F88&gt;E88,"Arrival After Appointment","OK"),"Check Format"))</f>
        <v>OK</v>
      </c>
      <c r="X88" t="str">
        <f>IF(OR(F88="",G88=""),"Missing Date/Time",IFERROR(IF(G88&lt;F88,"Discharge Before Arrival","OK"),"Check Format"))</f>
        <v>Missing Date/Time</v>
      </c>
    </row>
    <row r="89" spans="1:24" x14ac:dyDescent="0.25">
      <c r="A89" s="2" t="s">
        <v>262</v>
      </c>
      <c r="B89" s="2" t="s">
        <v>263</v>
      </c>
      <c r="C89" s="3" t="s">
        <v>29</v>
      </c>
      <c r="D89" s="3" t="s">
        <v>99</v>
      </c>
      <c r="E89" s="4">
        <v>45707.736111111109</v>
      </c>
      <c r="F89" s="4">
        <v>45707.731249999997</v>
      </c>
      <c r="G89" s="4">
        <v>45707.818055555559</v>
      </c>
      <c r="J89" s="3" t="s">
        <v>22</v>
      </c>
      <c r="K89" s="5">
        <v>73</v>
      </c>
      <c r="L89" s="5">
        <v>45</v>
      </c>
      <c r="M89" s="3" t="s">
        <v>41</v>
      </c>
      <c r="N89" t="s">
        <v>69</v>
      </c>
      <c r="O89" s="5">
        <v>6</v>
      </c>
      <c r="Q89" s="2">
        <v>70.849999999999994</v>
      </c>
      <c r="R89" s="3" t="s">
        <v>43</v>
      </c>
      <c r="S89">
        <f>COUNTIF(A:A,A89)</f>
        <v>1</v>
      </c>
      <c r="T89" t="str">
        <f>IF(OR(H89="",LOWER(TRIM(H89&amp;""))="missing",LOWER(TRIM(H89&amp;""))=""),"Missing/",IFERROR(IF(OR(VALUE(H89)&lt;0,VALUE(H89)&gt;110),"Invalid","Valid"),"Check Format"))</f>
        <v>Missing/</v>
      </c>
      <c r="U89" t="str">
        <f>IF(Raw_Data[[#This Row],[Age_Check]]="Valid",H89,"")</f>
        <v/>
      </c>
      <c r="V89" t="str">
        <f>IF(OR(K89="",UPPER(TRIM(K89&amp;""))="",LOWER(TRIM(K89&amp;""))="",LOWER(TRIM(K89&amp;""))="",LOWER(TRIM(K89&amp;""))="missing"),"Missing/",IFERROR(IF(VALUE(K89)&lt;0,"Invalid","Valid"),"Check Format"))</f>
        <v>Valid</v>
      </c>
      <c r="W89" t="str">
        <f>IF(OR(E89="",F89=""),"Missing Date/Time",IFERROR(IF(F89&gt;E89,"Arrival After Appointment","OK"),"Check Format"))</f>
        <v>OK</v>
      </c>
      <c r="X89" t="str">
        <f>IF(OR(F89="",G89=""),"Missing Date/Time",IFERROR(IF(G89&lt;F89,"Discharge Before Arrival","OK"),"Check Format"))</f>
        <v>OK</v>
      </c>
    </row>
    <row r="90" spans="1:24" x14ac:dyDescent="0.25">
      <c r="A90" s="2" t="s">
        <v>264</v>
      </c>
      <c r="B90" s="2" t="s">
        <v>125</v>
      </c>
      <c r="C90" s="3" t="s">
        <v>19</v>
      </c>
      <c r="D90" s="3" t="s">
        <v>99</v>
      </c>
      <c r="E90" s="4" t="s">
        <v>265</v>
      </c>
      <c r="F90" s="4">
        <v>45375.637499999997</v>
      </c>
      <c r="G90" s="4">
        <v>45375.690972222219</v>
      </c>
      <c r="H90" s="5">
        <v>145</v>
      </c>
      <c r="I90" s="3" t="s">
        <v>95</v>
      </c>
      <c r="K90" s="5">
        <v>55</v>
      </c>
      <c r="L90" s="5">
        <v>5</v>
      </c>
      <c r="M90" s="3" t="s">
        <v>68</v>
      </c>
      <c r="N90" t="s">
        <v>91</v>
      </c>
      <c r="O90" s="5">
        <v>5</v>
      </c>
      <c r="P90" s="3" t="s">
        <v>42</v>
      </c>
      <c r="Q90" s="2">
        <v>63.05</v>
      </c>
      <c r="R90" s="3" t="s">
        <v>26</v>
      </c>
      <c r="S90">
        <f>COUNTIF(A:A,A90)</f>
        <v>1</v>
      </c>
      <c r="T90" t="str">
        <f>IF(OR(H90="",LOWER(TRIM(H90&amp;""))="missing",LOWER(TRIM(H90&amp;""))=""),"Missing/",IFERROR(IF(OR(VALUE(H90)&lt;0,VALUE(H90)&gt;110),"Invalid","Valid"),"Check Format"))</f>
        <v>Invalid</v>
      </c>
      <c r="U90" t="str">
        <f>IF(Raw_Data[[#This Row],[Age_Check]]="Valid",H90,"")</f>
        <v/>
      </c>
      <c r="V90" t="str">
        <f>IF(OR(K90="",UPPER(TRIM(K90&amp;""))="",LOWER(TRIM(K90&amp;""))="",LOWER(TRIM(K90&amp;""))="",LOWER(TRIM(K90&amp;""))="missing"),"Missing/",IFERROR(IF(VALUE(K90)&lt;0,"Invalid","Valid"),"Check Format"))</f>
        <v>Valid</v>
      </c>
      <c r="W90" t="str">
        <f>IF(OR(E90="",F90=""),"Missing Date/Time",IFERROR(IF(F90&gt;E90,"Arrival After Appointment","OK"),"Check Format"))</f>
        <v>OK</v>
      </c>
      <c r="X90" t="str">
        <f>IF(OR(F90="",G90=""),"Missing Date/Time",IFERROR(IF(G90&lt;F90,"Discharge Before Arrival","OK"),"Check Format"))</f>
        <v>OK</v>
      </c>
    </row>
    <row r="91" spans="1:24" x14ac:dyDescent="0.25">
      <c r="A91" s="2" t="s">
        <v>266</v>
      </c>
      <c r="B91" s="2" t="s">
        <v>267</v>
      </c>
      <c r="D91" s="3" t="s">
        <v>72</v>
      </c>
      <c r="E91" s="4">
        <v>45348.590277777781</v>
      </c>
      <c r="F91" s="4">
        <v>45348.584027777775</v>
      </c>
      <c r="G91" s="4">
        <v>45348.630555555559</v>
      </c>
      <c r="H91" s="5">
        <v>50</v>
      </c>
      <c r="I91" s="3" t="s">
        <v>73</v>
      </c>
      <c r="K91" s="5">
        <v>49</v>
      </c>
      <c r="L91" s="5">
        <v>9</v>
      </c>
      <c r="M91" s="3" t="s">
        <v>23</v>
      </c>
      <c r="N91" t="s">
        <v>74</v>
      </c>
      <c r="P91" s="3" t="s">
        <v>25</v>
      </c>
      <c r="Q91" s="2">
        <v>275.58999999999997</v>
      </c>
      <c r="R91" s="3" t="s">
        <v>58</v>
      </c>
      <c r="S91">
        <f>COUNTIF(A:A,A91)</f>
        <v>1</v>
      </c>
      <c r="T91" t="str">
        <f>IF(OR(H91="",LOWER(TRIM(H91&amp;""))="missing",LOWER(TRIM(H91&amp;""))=""),"Missing/",IFERROR(IF(OR(VALUE(H91)&lt;0,VALUE(H91)&gt;110),"Invalid","Valid"),"Check Format"))</f>
        <v>Valid</v>
      </c>
      <c r="U91">
        <f>IF(Raw_Data[[#This Row],[Age_Check]]="Valid",H91,"")</f>
        <v>50</v>
      </c>
      <c r="V91" t="str">
        <f>IF(OR(K91="",UPPER(TRIM(K91&amp;""))="",LOWER(TRIM(K91&amp;""))="",LOWER(TRIM(K91&amp;""))="",LOWER(TRIM(K91&amp;""))="missing"),"Missing/",IFERROR(IF(VALUE(K91)&lt;0,"Invalid","Valid"),"Check Format"))</f>
        <v>Valid</v>
      </c>
      <c r="W91" t="str">
        <f>IF(OR(E91="",F91=""),"Missing Date/Time",IFERROR(IF(F91&gt;E91,"Arrival After Appointment","OK"),"Check Format"))</f>
        <v>OK</v>
      </c>
      <c r="X91" t="str">
        <f>IF(OR(F91="",G91=""),"Missing Date/Time",IFERROR(IF(G91&lt;F91,"Discharge Before Arrival","OK"),"Check Format"))</f>
        <v>OK</v>
      </c>
    </row>
    <row r="92" spans="1:24" x14ac:dyDescent="0.25">
      <c r="A92" s="2" t="s">
        <v>268</v>
      </c>
      <c r="B92" s="2" t="s">
        <v>269</v>
      </c>
      <c r="C92" s="3" t="s">
        <v>94</v>
      </c>
      <c r="D92" s="3" t="s">
        <v>38</v>
      </c>
      <c r="E92" s="4">
        <v>45324.479166666664</v>
      </c>
      <c r="F92" s="4">
        <v>45324.459722222222</v>
      </c>
      <c r="G92" s="4">
        <v>45324.500694444447</v>
      </c>
      <c r="H92" s="5">
        <v>48</v>
      </c>
      <c r="J92" s="3" t="s">
        <v>171</v>
      </c>
      <c r="K92" s="5">
        <v>7</v>
      </c>
      <c r="L92" s="5">
        <v>24</v>
      </c>
      <c r="M92" s="3" t="s">
        <v>68</v>
      </c>
      <c r="N92" t="s">
        <v>91</v>
      </c>
      <c r="O92" s="5">
        <v>6</v>
      </c>
      <c r="P92" s="3" t="s">
        <v>80</v>
      </c>
      <c r="Q92" s="2">
        <v>155.46</v>
      </c>
      <c r="R92" s="3" t="s">
        <v>43</v>
      </c>
      <c r="S92">
        <f>COUNTIF(A:A,A92)</f>
        <v>1</v>
      </c>
      <c r="T92" t="str">
        <f>IF(OR(H92="",LOWER(TRIM(H92&amp;""))="missing",LOWER(TRIM(H92&amp;""))=""),"Missing/",IFERROR(IF(OR(VALUE(H92)&lt;0,VALUE(H92)&gt;110),"Invalid","Valid"),"Check Format"))</f>
        <v>Valid</v>
      </c>
      <c r="U92">
        <f>IF(Raw_Data[[#This Row],[Age_Check]]="Valid",H92,"")</f>
        <v>48</v>
      </c>
      <c r="V92" t="str">
        <f>IF(OR(K92="",UPPER(TRIM(K92&amp;""))="",LOWER(TRIM(K92&amp;""))="",LOWER(TRIM(K92&amp;""))="",LOWER(TRIM(K92&amp;""))="missing"),"Missing/",IFERROR(IF(VALUE(K92)&lt;0,"Invalid","Valid"),"Check Format"))</f>
        <v>Valid</v>
      </c>
      <c r="W92" t="str">
        <f>IF(OR(E92="",F92=""),"Missing Date/Time",IFERROR(IF(F92&gt;E92,"Arrival After Appointment","OK"),"Check Format"))</f>
        <v>OK</v>
      </c>
      <c r="X92" t="str">
        <f>IF(OR(F92="",G92=""),"Missing Date/Time",IFERROR(IF(G92&lt;F92,"Discharge Before Arrival","OK"),"Check Format"))</f>
        <v>OK</v>
      </c>
    </row>
    <row r="93" spans="1:24" x14ac:dyDescent="0.25">
      <c r="A93" s="2" t="s">
        <v>270</v>
      </c>
      <c r="B93" s="2" t="s">
        <v>89</v>
      </c>
      <c r="D93" s="3" t="s">
        <v>72</v>
      </c>
      <c r="E93" s="4">
        <v>45766.746527777781</v>
      </c>
      <c r="F93" s="4">
        <v>45766.740972222222</v>
      </c>
      <c r="G93" s="4">
        <v>45766.825694444444</v>
      </c>
      <c r="H93" s="5">
        <v>92</v>
      </c>
      <c r="I93" s="3" t="s">
        <v>95</v>
      </c>
      <c r="K93" s="5">
        <v>108</v>
      </c>
      <c r="L93" s="5">
        <v>6</v>
      </c>
      <c r="M93" s="3" t="s">
        <v>87</v>
      </c>
      <c r="N93" t="s">
        <v>24</v>
      </c>
      <c r="O93" s="5">
        <v>2</v>
      </c>
      <c r="P93" s="3" t="s">
        <v>25</v>
      </c>
      <c r="R93" s="3" t="s">
        <v>26</v>
      </c>
      <c r="S93">
        <f>COUNTIF(A:A,A93)</f>
        <v>1</v>
      </c>
      <c r="T93" t="str">
        <f>IF(OR(H93="",LOWER(TRIM(H93&amp;""))="missing",LOWER(TRIM(H93&amp;""))=""),"Missing/",IFERROR(IF(OR(VALUE(H93)&lt;0,VALUE(H93)&gt;110),"Invalid","Valid"),"Check Format"))</f>
        <v>Valid</v>
      </c>
      <c r="U93">
        <f>IF(Raw_Data[[#This Row],[Age_Check]]="Valid",H93,"")</f>
        <v>92</v>
      </c>
      <c r="V93" t="str">
        <f>IF(OR(K93="",UPPER(TRIM(K93&amp;""))="",LOWER(TRIM(K93&amp;""))="",LOWER(TRIM(K93&amp;""))="",LOWER(TRIM(K93&amp;""))="missing"),"Missing/",IFERROR(IF(VALUE(K93)&lt;0,"Invalid","Valid"),"Check Format"))</f>
        <v>Valid</v>
      </c>
      <c r="W93" t="str">
        <f>IF(OR(E93="",F93=""),"Missing Date/Time",IFERROR(IF(F93&gt;E93,"Arrival After Appointment","OK"),"Check Format"))</f>
        <v>OK</v>
      </c>
      <c r="X93" t="str">
        <f>IF(OR(F93="",G93=""),"Missing Date/Time",IFERROR(IF(G93&lt;F93,"Discharge Before Arrival","OK"),"Check Format"))</f>
        <v>OK</v>
      </c>
    </row>
    <row r="94" spans="1:24" x14ac:dyDescent="0.25">
      <c r="A94" s="2" t="s">
        <v>271</v>
      </c>
      <c r="B94" s="2" t="s">
        <v>261</v>
      </c>
      <c r="C94" s="3" t="s">
        <v>46</v>
      </c>
      <c r="D94" s="3" t="s">
        <v>115</v>
      </c>
      <c r="E94" s="4">
        <v>45337.565972222219</v>
      </c>
      <c r="F94" s="4">
        <v>45337.54583333333</v>
      </c>
      <c r="G94" s="4">
        <v>45337.65625</v>
      </c>
      <c r="H94" s="5">
        <v>145</v>
      </c>
      <c r="I94" s="3" t="s">
        <v>39</v>
      </c>
      <c r="J94" s="3" t="s">
        <v>2639</v>
      </c>
      <c r="K94" s="5">
        <v>98</v>
      </c>
      <c r="L94" s="5">
        <v>32</v>
      </c>
      <c r="M94" s="3" t="s">
        <v>50</v>
      </c>
      <c r="N94" t="s">
        <v>103</v>
      </c>
      <c r="O94" s="5">
        <v>5</v>
      </c>
      <c r="P94" s="3" t="s">
        <v>80</v>
      </c>
      <c r="Q94" s="2">
        <v>66.48</v>
      </c>
      <c r="R94" s="3" t="s">
        <v>58</v>
      </c>
      <c r="S94">
        <f>COUNTIF(A:A,A94)</f>
        <v>1</v>
      </c>
      <c r="T94" t="str">
        <f>IF(OR(H94="",LOWER(TRIM(H94&amp;""))="missing",LOWER(TRIM(H94&amp;""))=""),"Missing/",IFERROR(IF(OR(VALUE(H94)&lt;0,VALUE(H94)&gt;110),"Invalid","Valid"),"Check Format"))</f>
        <v>Invalid</v>
      </c>
      <c r="U94" t="str">
        <f>IF(Raw_Data[[#This Row],[Age_Check]]="Valid",H94,"")</f>
        <v/>
      </c>
      <c r="V94" t="str">
        <f>IF(OR(K94="",UPPER(TRIM(K94&amp;""))="",LOWER(TRIM(K94&amp;""))="",LOWER(TRIM(K94&amp;""))="",LOWER(TRIM(K94&amp;""))="missing"),"Missing/",IFERROR(IF(VALUE(K94)&lt;0,"Invalid","Valid"),"Check Format"))</f>
        <v>Valid</v>
      </c>
      <c r="W94" t="str">
        <f>IF(OR(E94="",F94=""),"Missing Date/Time",IFERROR(IF(F94&gt;E94,"Arrival After Appointment","OK"),"Check Format"))</f>
        <v>OK</v>
      </c>
      <c r="X94" t="str">
        <f>IF(OR(F94="",G94=""),"Missing Date/Time",IFERROR(IF(G94&lt;F94,"Discharge Before Arrival","OK"),"Check Format"))</f>
        <v>OK</v>
      </c>
    </row>
    <row r="95" spans="1:24" x14ac:dyDescent="0.25">
      <c r="A95" s="2" t="s">
        <v>272</v>
      </c>
      <c r="B95" s="2" t="s">
        <v>273</v>
      </c>
      <c r="C95" s="3" t="s">
        <v>94</v>
      </c>
      <c r="D95" s="3" t="s">
        <v>115</v>
      </c>
      <c r="E95" s="4">
        <v>45471.743055555555</v>
      </c>
      <c r="F95" s="4">
        <v>45471.736111111109</v>
      </c>
      <c r="G95" s="4">
        <v>45471.818749999999</v>
      </c>
      <c r="I95" s="3" t="s">
        <v>95</v>
      </c>
      <c r="J95" s="3" t="s">
        <v>67</v>
      </c>
      <c r="K95" s="5">
        <v>74</v>
      </c>
      <c r="L95" s="5">
        <v>35</v>
      </c>
      <c r="M95" s="3" t="s">
        <v>68</v>
      </c>
      <c r="O95" s="5">
        <v>2</v>
      </c>
      <c r="P95" s="3" t="s">
        <v>25</v>
      </c>
      <c r="Q95" s="2">
        <v>96.98</v>
      </c>
      <c r="R95" s="3" t="s">
        <v>43</v>
      </c>
      <c r="S95">
        <f>COUNTIF(A:A,A95)</f>
        <v>1</v>
      </c>
      <c r="T95" t="str">
        <f>IF(OR(H95="",LOWER(TRIM(H95&amp;""))="missing",LOWER(TRIM(H95&amp;""))=""),"Missing/",IFERROR(IF(OR(VALUE(H95)&lt;0,VALUE(H95)&gt;110),"Invalid","Valid"),"Check Format"))</f>
        <v>Missing/</v>
      </c>
      <c r="U95" t="str">
        <f>IF(Raw_Data[[#This Row],[Age_Check]]="Valid",H95,"")</f>
        <v/>
      </c>
      <c r="V95" t="str">
        <f>IF(OR(K95="",UPPER(TRIM(K95&amp;""))="",LOWER(TRIM(K95&amp;""))="",LOWER(TRIM(K95&amp;""))="",LOWER(TRIM(K95&amp;""))="missing"),"Missing/",IFERROR(IF(VALUE(K95)&lt;0,"Invalid","Valid"),"Check Format"))</f>
        <v>Valid</v>
      </c>
      <c r="W95" t="str">
        <f>IF(OR(E95="",F95=""),"Missing Date/Time",IFERROR(IF(F95&gt;E95,"Arrival After Appointment","OK"),"Check Format"))</f>
        <v>OK</v>
      </c>
      <c r="X95" t="str">
        <f>IF(OR(F95="",G95=""),"Missing Date/Time",IFERROR(IF(G95&lt;F95,"Discharge Before Arrival","OK"),"Check Format"))</f>
        <v>OK</v>
      </c>
    </row>
    <row r="96" spans="1:24" x14ac:dyDescent="0.25">
      <c r="A96" s="2" t="s">
        <v>274</v>
      </c>
      <c r="B96" s="2" t="s">
        <v>275</v>
      </c>
      <c r="C96" s="3" t="s">
        <v>29</v>
      </c>
      <c r="D96" s="3" t="s">
        <v>72</v>
      </c>
      <c r="E96" s="4">
        <v>45718.652777777781</v>
      </c>
      <c r="F96" s="4">
        <v>45718.632638888892</v>
      </c>
      <c r="G96" s="4">
        <v>45718.711805555555</v>
      </c>
      <c r="H96" s="5">
        <v>145</v>
      </c>
      <c r="I96" s="3" t="s">
        <v>73</v>
      </c>
      <c r="J96" s="3" t="s">
        <v>171</v>
      </c>
      <c r="K96" s="5">
        <v>60</v>
      </c>
      <c r="L96" s="5">
        <v>25</v>
      </c>
      <c r="M96" s="3" t="s">
        <v>87</v>
      </c>
      <c r="N96" t="s">
        <v>103</v>
      </c>
      <c r="O96" s="5">
        <v>6</v>
      </c>
      <c r="P96" s="3" t="s">
        <v>25</v>
      </c>
      <c r="Q96" s="2">
        <v>154.08000000000001</v>
      </c>
      <c r="R96" s="3" t="s">
        <v>43</v>
      </c>
      <c r="S96">
        <f>COUNTIF(A:A,A96)</f>
        <v>1</v>
      </c>
      <c r="T96" t="str">
        <f>IF(OR(H96="",LOWER(TRIM(H96&amp;""))="missing",LOWER(TRIM(H96&amp;""))=""),"Missing/",IFERROR(IF(OR(VALUE(H96)&lt;0,VALUE(H96)&gt;110),"Invalid","Valid"),"Check Format"))</f>
        <v>Invalid</v>
      </c>
      <c r="U96" t="str">
        <f>IF(Raw_Data[[#This Row],[Age_Check]]="Valid",H96,"")</f>
        <v/>
      </c>
      <c r="V96" t="str">
        <f>IF(OR(K96="",UPPER(TRIM(K96&amp;""))="",LOWER(TRIM(K96&amp;""))="",LOWER(TRIM(K96&amp;""))="",LOWER(TRIM(K96&amp;""))="missing"),"Missing/",IFERROR(IF(VALUE(K96)&lt;0,"Invalid","Valid"),"Check Format"))</f>
        <v>Valid</v>
      </c>
      <c r="W96" t="str">
        <f>IF(OR(E96="",F96=""),"Missing Date/Time",IFERROR(IF(F96&gt;E96,"Arrival After Appointment","OK"),"Check Format"))</f>
        <v>OK</v>
      </c>
      <c r="X96" t="str">
        <f>IF(OR(F96="",G96=""),"Missing Date/Time",IFERROR(IF(G96&lt;F96,"Discharge Before Arrival","OK"),"Check Format"))</f>
        <v>OK</v>
      </c>
    </row>
    <row r="97" spans="1:24" x14ac:dyDescent="0.25">
      <c r="A97" s="2" t="s">
        <v>276</v>
      </c>
      <c r="B97" s="2" t="s">
        <v>77</v>
      </c>
      <c r="C97" s="3" t="s">
        <v>19</v>
      </c>
      <c r="D97" s="3" t="s">
        <v>61</v>
      </c>
      <c r="E97" s="4">
        <v>45514.59375</v>
      </c>
      <c r="F97" s="4">
        <v>45514.57708333333</v>
      </c>
      <c r="G97" s="4">
        <v>45514.691666666666</v>
      </c>
      <c r="H97" s="5">
        <v>145</v>
      </c>
      <c r="I97" s="3" t="s">
        <v>73</v>
      </c>
      <c r="J97" s="3" t="s">
        <v>150</v>
      </c>
      <c r="K97" s="5">
        <v>81</v>
      </c>
      <c r="L97" s="5">
        <v>60</v>
      </c>
      <c r="N97" t="s">
        <v>24</v>
      </c>
      <c r="P97" s="3" t="s">
        <v>80</v>
      </c>
      <c r="Q97" s="2">
        <v>45.97</v>
      </c>
      <c r="R97" s="3" t="s">
        <v>75</v>
      </c>
      <c r="S97">
        <f>COUNTIF(A:A,A97)</f>
        <v>1</v>
      </c>
      <c r="T97" t="str">
        <f>IF(OR(H97="",LOWER(TRIM(H97&amp;""))="missing",LOWER(TRIM(H97&amp;""))=""),"Missing/",IFERROR(IF(OR(VALUE(H97)&lt;0,VALUE(H97)&gt;110),"Invalid","Valid"),"Check Format"))</f>
        <v>Invalid</v>
      </c>
      <c r="U97" t="str">
        <f>IF(Raw_Data[[#This Row],[Age_Check]]="Valid",H97,"")</f>
        <v/>
      </c>
      <c r="V97" t="str">
        <f>IF(OR(K97="",UPPER(TRIM(K97&amp;""))="",LOWER(TRIM(K97&amp;""))="",LOWER(TRIM(K97&amp;""))="",LOWER(TRIM(K97&amp;""))="missing"),"Missing/",IFERROR(IF(VALUE(K97)&lt;0,"Invalid","Valid"),"Check Format"))</f>
        <v>Valid</v>
      </c>
      <c r="W97" t="str">
        <f>IF(OR(E97="",F97=""),"Missing Date/Time",IFERROR(IF(F97&gt;E97,"Arrival After Appointment","OK"),"Check Format"))</f>
        <v>OK</v>
      </c>
      <c r="X97" t="str">
        <f>IF(OR(F97="",G97=""),"Missing Date/Time",IFERROR(IF(G97&lt;F97,"Discharge Before Arrival","OK"),"Check Format"))</f>
        <v>OK</v>
      </c>
    </row>
    <row r="98" spans="1:24" x14ac:dyDescent="0.25">
      <c r="A98" s="2" t="s">
        <v>277</v>
      </c>
      <c r="B98" s="2" t="s">
        <v>278</v>
      </c>
      <c r="C98" s="3" t="s">
        <v>29</v>
      </c>
      <c r="D98" s="3" t="s">
        <v>38</v>
      </c>
      <c r="E98" s="4" t="s">
        <v>279</v>
      </c>
      <c r="F98" s="4">
        <v>45769.359027777777</v>
      </c>
      <c r="G98" s="4">
        <v>45769.466666666667</v>
      </c>
      <c r="H98" s="5">
        <v>94</v>
      </c>
      <c r="I98" s="3" t="s">
        <v>90</v>
      </c>
      <c r="J98" s="3" t="s">
        <v>62</v>
      </c>
      <c r="K98" s="5">
        <v>132</v>
      </c>
      <c r="L98" s="5">
        <v>5</v>
      </c>
      <c r="N98" t="s">
        <v>103</v>
      </c>
      <c r="P98" s="3" t="s">
        <v>80</v>
      </c>
      <c r="Q98" s="2">
        <v>132.86000000000001</v>
      </c>
      <c r="R98" s="3" t="s">
        <v>43</v>
      </c>
      <c r="S98">
        <f>COUNTIF(A:A,A98)</f>
        <v>1</v>
      </c>
      <c r="T98" t="str">
        <f>IF(OR(H98="",LOWER(TRIM(H98&amp;""))="missing",LOWER(TRIM(H98&amp;""))=""),"Missing/",IFERROR(IF(OR(VALUE(H98)&lt;0,VALUE(H98)&gt;110),"Invalid","Valid"),"Check Format"))</f>
        <v>Valid</v>
      </c>
      <c r="U98">
        <f>IF(Raw_Data[[#This Row],[Age_Check]]="Valid",H98,"")</f>
        <v>94</v>
      </c>
      <c r="V98" t="str">
        <f>IF(OR(K98="",UPPER(TRIM(K98&amp;""))="",LOWER(TRIM(K98&amp;""))="",LOWER(TRIM(K98&amp;""))="",LOWER(TRIM(K98&amp;""))="missing"),"Missing/",IFERROR(IF(VALUE(K98)&lt;0,"Invalid","Valid"),"Check Format"))</f>
        <v>Valid</v>
      </c>
      <c r="W98" t="str">
        <f>IF(OR(E98="",F98=""),"Missing Date/Time",IFERROR(IF(F98&gt;E98,"Arrival After Appointment","OK"),"Check Format"))</f>
        <v>OK</v>
      </c>
      <c r="X98" t="str">
        <f>IF(OR(F98="",G98=""),"Missing Date/Time",IFERROR(IF(G98&lt;F98,"Discharge Before Arrival","OK"),"Check Format"))</f>
        <v>OK</v>
      </c>
    </row>
    <row r="99" spans="1:24" x14ac:dyDescent="0.25">
      <c r="A99" s="2" t="s">
        <v>280</v>
      </c>
      <c r="B99" s="2" t="s">
        <v>281</v>
      </c>
      <c r="C99" s="3" t="s">
        <v>29</v>
      </c>
      <c r="D99" s="3" t="s">
        <v>174</v>
      </c>
      <c r="E99" s="4">
        <v>45555.621527777781</v>
      </c>
      <c r="F99" s="4">
        <v>45555.605555555558</v>
      </c>
      <c r="G99" s="4">
        <v>45555.701388888891</v>
      </c>
      <c r="I99" s="3" t="s">
        <v>95</v>
      </c>
      <c r="J99" s="3" t="s">
        <v>62</v>
      </c>
      <c r="K99" s="5">
        <v>78</v>
      </c>
      <c r="L99" s="5">
        <v>37</v>
      </c>
      <c r="M99" s="3" t="s">
        <v>87</v>
      </c>
      <c r="N99" t="s">
        <v>100</v>
      </c>
      <c r="O99" s="5">
        <v>0</v>
      </c>
      <c r="P99" s="3" t="s">
        <v>80</v>
      </c>
      <c r="Q99" s="2">
        <v>95.18</v>
      </c>
      <c r="R99" s="3" t="s">
        <v>43</v>
      </c>
      <c r="S99">
        <f>COUNTIF(A:A,A99)</f>
        <v>1</v>
      </c>
      <c r="T99" t="str">
        <f>IF(OR(H99="",LOWER(TRIM(H99&amp;""))="missing",LOWER(TRIM(H99&amp;""))=""),"Missing/",IFERROR(IF(OR(VALUE(H99)&lt;0,VALUE(H99)&gt;110),"Invalid","Valid"),"Check Format"))</f>
        <v>Missing/</v>
      </c>
      <c r="U99" t="str">
        <f>IF(Raw_Data[[#This Row],[Age_Check]]="Valid",H99,"")</f>
        <v/>
      </c>
      <c r="V99" t="str">
        <f>IF(OR(K99="",UPPER(TRIM(K99&amp;""))="",LOWER(TRIM(K99&amp;""))="",LOWER(TRIM(K99&amp;""))="",LOWER(TRIM(K99&amp;""))="missing"),"Missing/",IFERROR(IF(VALUE(K99)&lt;0,"Invalid","Valid"),"Check Format"))</f>
        <v>Valid</v>
      </c>
      <c r="W99" t="str">
        <f>IF(OR(E99="",F99=""),"Missing Date/Time",IFERROR(IF(F99&gt;E99,"Arrival After Appointment","OK"),"Check Format"))</f>
        <v>OK</v>
      </c>
      <c r="X99" t="str">
        <f>IF(OR(F99="",G99=""),"Missing Date/Time",IFERROR(IF(G99&lt;F99,"Discharge Before Arrival","OK"),"Check Format"))</f>
        <v>OK</v>
      </c>
    </row>
    <row r="100" spans="1:24" x14ac:dyDescent="0.25">
      <c r="A100" s="2" t="s">
        <v>282</v>
      </c>
      <c r="B100" s="2" t="s">
        <v>283</v>
      </c>
      <c r="C100" s="3" t="s">
        <v>94</v>
      </c>
      <c r="D100" s="3" t="s">
        <v>47</v>
      </c>
      <c r="E100" s="4">
        <v>45758.5</v>
      </c>
      <c r="G100" s="4">
        <v>45758.550694444442</v>
      </c>
      <c r="I100" s="3" t="s">
        <v>95</v>
      </c>
      <c r="J100" s="3" t="s">
        <v>62</v>
      </c>
      <c r="K100" s="5">
        <v>50</v>
      </c>
      <c r="L100" s="5">
        <v>23</v>
      </c>
      <c r="N100" t="s">
        <v>69</v>
      </c>
      <c r="O100" s="5">
        <v>6</v>
      </c>
      <c r="P100" s="3" t="s">
        <v>80</v>
      </c>
      <c r="Q100" s="2">
        <v>97.85</v>
      </c>
      <c r="R100" s="3" t="s">
        <v>26</v>
      </c>
      <c r="S100">
        <f>COUNTIF(A:A,A100)</f>
        <v>1</v>
      </c>
      <c r="T100" t="str">
        <f>IF(OR(H100="",LOWER(TRIM(H100&amp;""))="missing",LOWER(TRIM(H100&amp;""))=""),"Missing/",IFERROR(IF(OR(VALUE(H100)&lt;0,VALUE(H100)&gt;110),"Invalid","Valid"),"Check Format"))</f>
        <v>Missing/</v>
      </c>
      <c r="U100" t="str">
        <f>IF(Raw_Data[[#This Row],[Age_Check]]="Valid",H100,"")</f>
        <v/>
      </c>
      <c r="V100" t="str">
        <f>IF(OR(K100="",UPPER(TRIM(K100&amp;""))="",LOWER(TRIM(K100&amp;""))="",LOWER(TRIM(K100&amp;""))="",LOWER(TRIM(K100&amp;""))="missing"),"Missing/",IFERROR(IF(VALUE(K100)&lt;0,"Invalid","Valid"),"Check Format"))</f>
        <v>Valid</v>
      </c>
      <c r="W100" t="str">
        <f>IF(OR(E100="",F100=""),"Missing Date/Time",IFERROR(IF(F100&gt;E100,"Arrival After Appointment","OK"),"Check Format"))</f>
        <v>Missing Date/Time</v>
      </c>
      <c r="X100" t="str">
        <f>IF(OR(F100="",G100=""),"Missing Date/Time",IFERROR(IF(G100&lt;F100,"Discharge Before Arrival","OK"),"Check Format"))</f>
        <v>Missing Date/Time</v>
      </c>
    </row>
    <row r="101" spans="1:24" x14ac:dyDescent="0.25">
      <c r="A101" s="2" t="s">
        <v>284</v>
      </c>
      <c r="B101" s="2" t="s">
        <v>146</v>
      </c>
      <c r="C101" s="3" t="s">
        <v>46</v>
      </c>
      <c r="D101" s="3" t="s">
        <v>174</v>
      </c>
      <c r="E101" s="4">
        <v>45698.350694444445</v>
      </c>
      <c r="F101" s="4">
        <v>45698.331944444442</v>
      </c>
      <c r="H101" s="5">
        <v>83</v>
      </c>
      <c r="I101" s="3" t="s">
        <v>95</v>
      </c>
      <c r="J101" s="3" t="s">
        <v>67</v>
      </c>
      <c r="K101" s="5">
        <v>87</v>
      </c>
      <c r="L101" s="5">
        <v>38</v>
      </c>
      <c r="N101" t="s">
        <v>69</v>
      </c>
      <c r="O101" s="5">
        <v>5</v>
      </c>
      <c r="P101" s="3" t="s">
        <v>42</v>
      </c>
      <c r="R101" s="3" t="s">
        <v>43</v>
      </c>
      <c r="S101">
        <f>COUNTIF(A:A,A101)</f>
        <v>1</v>
      </c>
      <c r="T101" t="str">
        <f>IF(OR(H101="",LOWER(TRIM(H101&amp;""))="missing",LOWER(TRIM(H101&amp;""))=""),"Missing/",IFERROR(IF(OR(VALUE(H101)&lt;0,VALUE(H101)&gt;110),"Invalid","Valid"),"Check Format"))</f>
        <v>Valid</v>
      </c>
      <c r="U101">
        <f>IF(Raw_Data[[#This Row],[Age_Check]]="Valid",H101,"")</f>
        <v>83</v>
      </c>
      <c r="V101" t="str">
        <f>IF(OR(K101="",UPPER(TRIM(K101&amp;""))="",LOWER(TRIM(K101&amp;""))="",LOWER(TRIM(K101&amp;""))="",LOWER(TRIM(K101&amp;""))="missing"),"Missing/",IFERROR(IF(VALUE(K101)&lt;0,"Invalid","Valid"),"Check Format"))</f>
        <v>Valid</v>
      </c>
      <c r="W101" t="str">
        <f>IF(OR(E101="",F101=""),"Missing Date/Time",IFERROR(IF(F101&gt;E101,"Arrival After Appointment","OK"),"Check Format"))</f>
        <v>OK</v>
      </c>
      <c r="X101" t="str">
        <f>IF(OR(F101="",G101=""),"Missing Date/Time",IFERROR(IF(G101&lt;F101,"Discharge Before Arrival","OK"),"Check Format"))</f>
        <v>Missing Date/Time</v>
      </c>
    </row>
    <row r="102" spans="1:24" x14ac:dyDescent="0.25">
      <c r="A102" s="2" t="s">
        <v>285</v>
      </c>
      <c r="B102" s="2" t="s">
        <v>286</v>
      </c>
      <c r="D102" s="3" t="s">
        <v>209</v>
      </c>
      <c r="E102" s="4">
        <v>45631.670138888891</v>
      </c>
      <c r="F102" s="4">
        <v>45631.65</v>
      </c>
      <c r="H102" s="5">
        <v>145</v>
      </c>
      <c r="I102" s="3" t="s">
        <v>95</v>
      </c>
      <c r="K102" s="5">
        <v>33</v>
      </c>
      <c r="L102" s="5">
        <v>48</v>
      </c>
      <c r="M102" s="3" t="s">
        <v>68</v>
      </c>
      <c r="N102" t="s">
        <v>91</v>
      </c>
      <c r="O102" s="5">
        <v>6</v>
      </c>
      <c r="P102" s="3" t="s">
        <v>80</v>
      </c>
      <c r="Q102" s="2">
        <v>169.58</v>
      </c>
      <c r="R102" s="3" t="s">
        <v>58</v>
      </c>
      <c r="S102">
        <f>COUNTIF(A:A,A102)</f>
        <v>1</v>
      </c>
      <c r="T102" t="str">
        <f>IF(OR(H102="",LOWER(TRIM(H102&amp;""))="missing",LOWER(TRIM(H102&amp;""))=""),"Missing/",IFERROR(IF(OR(VALUE(H102)&lt;0,VALUE(H102)&gt;110),"Invalid","Valid"),"Check Format"))</f>
        <v>Invalid</v>
      </c>
      <c r="U102" t="str">
        <f>IF(Raw_Data[[#This Row],[Age_Check]]="Valid",H102,"")</f>
        <v/>
      </c>
      <c r="V102" t="str">
        <f>IF(OR(K102="",UPPER(TRIM(K102&amp;""))="",LOWER(TRIM(K102&amp;""))="",LOWER(TRIM(K102&amp;""))="",LOWER(TRIM(K102&amp;""))="missing"),"Missing/",IFERROR(IF(VALUE(K102)&lt;0,"Invalid","Valid"),"Check Format"))</f>
        <v>Valid</v>
      </c>
      <c r="W102" t="str">
        <f>IF(OR(E102="",F102=""),"Missing Date/Time",IFERROR(IF(F102&gt;E102,"Arrival After Appointment","OK"),"Check Format"))</f>
        <v>OK</v>
      </c>
      <c r="X102" t="str">
        <f>IF(OR(F102="",G102=""),"Missing Date/Time",IFERROR(IF(G102&lt;F102,"Discharge Before Arrival","OK"),"Check Format"))</f>
        <v>Missing Date/Time</v>
      </c>
    </row>
    <row r="103" spans="1:24" x14ac:dyDescent="0.25">
      <c r="A103" s="2" t="s">
        <v>287</v>
      </c>
      <c r="B103" s="2" t="s">
        <v>261</v>
      </c>
      <c r="C103" s="3" t="s">
        <v>19</v>
      </c>
      <c r="D103" s="3" t="s">
        <v>30</v>
      </c>
      <c r="E103" s="4">
        <v>45872.576388888891</v>
      </c>
      <c r="F103" s="4">
        <v>45872.568749999999</v>
      </c>
      <c r="H103" s="5">
        <v>55</v>
      </c>
      <c r="I103" s="3" t="s">
        <v>39</v>
      </c>
      <c r="K103" s="5">
        <v>86</v>
      </c>
      <c r="L103" s="5">
        <v>43</v>
      </c>
      <c r="N103" t="s">
        <v>91</v>
      </c>
      <c r="O103" s="5">
        <v>0</v>
      </c>
      <c r="P103" s="3" t="s">
        <v>80</v>
      </c>
      <c r="Q103" s="2">
        <v>78.680000000000007</v>
      </c>
      <c r="R103" s="3" t="s">
        <v>26</v>
      </c>
      <c r="S103">
        <f>COUNTIF(A:A,A103)</f>
        <v>1</v>
      </c>
      <c r="T103" t="str">
        <f>IF(OR(H103="",LOWER(TRIM(H103&amp;""))="missing",LOWER(TRIM(H103&amp;""))=""),"Missing/",IFERROR(IF(OR(VALUE(H103)&lt;0,VALUE(H103)&gt;110),"Invalid","Valid"),"Check Format"))</f>
        <v>Valid</v>
      </c>
      <c r="U103">
        <f>IF(Raw_Data[[#This Row],[Age_Check]]="Valid",H103,"")</f>
        <v>55</v>
      </c>
      <c r="V103" t="str">
        <f>IF(OR(K103="",UPPER(TRIM(K103&amp;""))="",LOWER(TRIM(K103&amp;""))="",LOWER(TRIM(K103&amp;""))="",LOWER(TRIM(K103&amp;""))="missing"),"Missing/",IFERROR(IF(VALUE(K103)&lt;0,"Invalid","Valid"),"Check Format"))</f>
        <v>Valid</v>
      </c>
      <c r="W103" t="str">
        <f>IF(OR(E103="",F103=""),"Missing Date/Time",IFERROR(IF(F103&gt;E103,"Arrival After Appointment","OK"),"Check Format"))</f>
        <v>OK</v>
      </c>
      <c r="X103" t="str">
        <f>IF(OR(F103="",G103=""),"Missing Date/Time",IFERROR(IF(G103&lt;F103,"Discharge Before Arrival","OK"),"Check Format"))</f>
        <v>Missing Date/Time</v>
      </c>
    </row>
    <row r="104" spans="1:24" x14ac:dyDescent="0.25">
      <c r="A104" s="2" t="s">
        <v>288</v>
      </c>
      <c r="B104" s="2" t="s">
        <v>289</v>
      </c>
      <c r="C104" s="3" t="s">
        <v>19</v>
      </c>
      <c r="D104" s="3" t="s">
        <v>38</v>
      </c>
      <c r="E104" s="4">
        <v>45968.545138888891</v>
      </c>
      <c r="F104" s="4">
        <v>45968.536805555559</v>
      </c>
      <c r="G104" s="4">
        <v>45968.602777777778</v>
      </c>
      <c r="I104" s="3" t="s">
        <v>95</v>
      </c>
      <c r="J104" s="3" t="s">
        <v>22</v>
      </c>
      <c r="K104" s="5">
        <v>38</v>
      </c>
      <c r="L104" s="5">
        <v>45</v>
      </c>
      <c r="M104" s="3" t="s">
        <v>41</v>
      </c>
      <c r="N104" t="s">
        <v>91</v>
      </c>
      <c r="O104" s="5">
        <v>1</v>
      </c>
      <c r="P104" s="3" t="s">
        <v>25</v>
      </c>
      <c r="Q104" s="2">
        <v>193.83</v>
      </c>
      <c r="R104" s="3" t="s">
        <v>75</v>
      </c>
      <c r="S104">
        <f>COUNTIF(A:A,A104)</f>
        <v>1</v>
      </c>
      <c r="T104" t="str">
        <f>IF(OR(H104="",LOWER(TRIM(H104&amp;""))="missing",LOWER(TRIM(H104&amp;""))=""),"Missing/",IFERROR(IF(OR(VALUE(H104)&lt;0,VALUE(H104)&gt;110),"Invalid","Valid"),"Check Format"))</f>
        <v>Missing/</v>
      </c>
      <c r="U104" t="str">
        <f>IF(Raw_Data[[#This Row],[Age_Check]]="Valid",H104,"")</f>
        <v/>
      </c>
      <c r="V104" t="str">
        <f>IF(OR(K104="",UPPER(TRIM(K104&amp;""))="",LOWER(TRIM(K104&amp;""))="",LOWER(TRIM(K104&amp;""))="",LOWER(TRIM(K104&amp;""))="missing"),"Missing/",IFERROR(IF(VALUE(K104)&lt;0,"Invalid","Valid"),"Check Format"))</f>
        <v>Valid</v>
      </c>
      <c r="W104" t="str">
        <f>IF(OR(E104="",F104=""),"Missing Date/Time",IFERROR(IF(F104&gt;E104,"Arrival After Appointment","OK"),"Check Format"))</f>
        <v>OK</v>
      </c>
      <c r="X104" t="str">
        <f>IF(OR(F104="",G104=""),"Missing Date/Time",IFERROR(IF(G104&lt;F104,"Discharge Before Arrival","OK"),"Check Format"))</f>
        <v>OK</v>
      </c>
    </row>
    <row r="105" spans="1:24" x14ac:dyDescent="0.25">
      <c r="A105" s="2" t="s">
        <v>290</v>
      </c>
      <c r="B105" s="2" t="s">
        <v>291</v>
      </c>
      <c r="C105" s="3" t="s">
        <v>19</v>
      </c>
      <c r="D105" s="3" t="s">
        <v>66</v>
      </c>
      <c r="E105" s="4">
        <v>45862.652777777781</v>
      </c>
      <c r="F105" s="4">
        <v>45862.635416666664</v>
      </c>
      <c r="G105" s="4">
        <v>45862.71597222222</v>
      </c>
      <c r="I105" s="3" t="s">
        <v>95</v>
      </c>
      <c r="J105" s="3" t="s">
        <v>67</v>
      </c>
      <c r="K105" s="5">
        <v>57</v>
      </c>
      <c r="L105" s="5">
        <v>34</v>
      </c>
      <c r="N105" t="s">
        <v>100</v>
      </c>
      <c r="O105" s="5">
        <v>6</v>
      </c>
      <c r="P105" s="3" t="s">
        <v>25</v>
      </c>
      <c r="Q105" s="2">
        <v>247.21</v>
      </c>
      <c r="R105" s="3" t="s">
        <v>58</v>
      </c>
      <c r="S105">
        <f>COUNTIF(A:A,A105)</f>
        <v>1</v>
      </c>
      <c r="T105" t="str">
        <f>IF(OR(H105="",LOWER(TRIM(H105&amp;""))="missing",LOWER(TRIM(H105&amp;""))=""),"Missing/",IFERROR(IF(OR(VALUE(H105)&lt;0,VALUE(H105)&gt;110),"Invalid","Valid"),"Check Format"))</f>
        <v>Missing/</v>
      </c>
      <c r="U105" t="str">
        <f>IF(Raw_Data[[#This Row],[Age_Check]]="Valid",H105,"")</f>
        <v/>
      </c>
      <c r="V105" t="str">
        <f>IF(OR(K105="",UPPER(TRIM(K105&amp;""))="",LOWER(TRIM(K105&amp;""))="",LOWER(TRIM(K105&amp;""))="",LOWER(TRIM(K105&amp;""))="missing"),"Missing/",IFERROR(IF(VALUE(K105)&lt;0,"Invalid","Valid"),"Check Format"))</f>
        <v>Valid</v>
      </c>
      <c r="W105" t="str">
        <f>IF(OR(E105="",F105=""),"Missing Date/Time",IFERROR(IF(F105&gt;E105,"Arrival After Appointment","OK"),"Check Format"))</f>
        <v>OK</v>
      </c>
      <c r="X105" t="str">
        <f>IF(OR(F105="",G105=""),"Missing Date/Time",IFERROR(IF(G105&lt;F105,"Discharge Before Arrival","OK"),"Check Format"))</f>
        <v>OK</v>
      </c>
    </row>
    <row r="106" spans="1:24" x14ac:dyDescent="0.25">
      <c r="A106" s="2" t="s">
        <v>292</v>
      </c>
      <c r="B106" s="2" t="s">
        <v>293</v>
      </c>
      <c r="C106" s="3" t="s">
        <v>19</v>
      </c>
      <c r="D106" s="3" t="s">
        <v>61</v>
      </c>
      <c r="E106" s="4">
        <v>45441.340277777781</v>
      </c>
      <c r="F106" s="4">
        <v>45441.319444444445</v>
      </c>
      <c r="G106" s="4">
        <v>45441.394444444442</v>
      </c>
      <c r="H106" s="5">
        <v>145</v>
      </c>
      <c r="J106" s="3" t="s">
        <v>67</v>
      </c>
      <c r="K106" s="5">
        <v>37</v>
      </c>
      <c r="L106" s="5">
        <v>41</v>
      </c>
      <c r="M106" s="3" t="s">
        <v>50</v>
      </c>
      <c r="N106" t="s">
        <v>24</v>
      </c>
      <c r="P106" s="3" t="s">
        <v>25</v>
      </c>
      <c r="Q106" s="2">
        <v>128.82</v>
      </c>
      <c r="R106" s="3" t="s">
        <v>75</v>
      </c>
      <c r="S106">
        <f>COUNTIF(A:A,A106)</f>
        <v>1</v>
      </c>
      <c r="T106" t="str">
        <f>IF(OR(H106="",LOWER(TRIM(H106&amp;""))="missing",LOWER(TRIM(H106&amp;""))=""),"Missing/",IFERROR(IF(OR(VALUE(H106)&lt;0,VALUE(H106)&gt;110),"Invalid","Valid"),"Check Format"))</f>
        <v>Invalid</v>
      </c>
      <c r="U106" t="str">
        <f>IF(Raw_Data[[#This Row],[Age_Check]]="Valid",H106,"")</f>
        <v/>
      </c>
      <c r="V106" t="str">
        <f>IF(OR(K106="",UPPER(TRIM(K106&amp;""))="",LOWER(TRIM(K106&amp;""))="",LOWER(TRIM(K106&amp;""))="",LOWER(TRIM(K106&amp;""))="missing"),"Missing/",IFERROR(IF(VALUE(K106)&lt;0,"Invalid","Valid"),"Check Format"))</f>
        <v>Valid</v>
      </c>
      <c r="W106" t="str">
        <f>IF(OR(E106="",F106=""),"Missing Date/Time",IFERROR(IF(F106&gt;E106,"Arrival After Appointment","OK"),"Check Format"))</f>
        <v>OK</v>
      </c>
      <c r="X106" t="str">
        <f>IF(OR(F106="",G106=""),"Missing Date/Time",IFERROR(IF(G106&lt;F106,"Discharge Before Arrival","OK"),"Check Format"))</f>
        <v>OK</v>
      </c>
    </row>
    <row r="107" spans="1:24" x14ac:dyDescent="0.25">
      <c r="A107" s="2" t="s">
        <v>294</v>
      </c>
      <c r="B107" s="2" t="s">
        <v>295</v>
      </c>
      <c r="C107" s="3" t="s">
        <v>37</v>
      </c>
      <c r="D107" s="3" t="s">
        <v>61</v>
      </c>
      <c r="E107" s="4" t="s">
        <v>296</v>
      </c>
      <c r="F107" s="4">
        <v>45742.517361111109</v>
      </c>
      <c r="G107" s="4">
        <v>45742.59097222222</v>
      </c>
      <c r="I107" s="3" t="s">
        <v>73</v>
      </c>
      <c r="J107" s="3" t="s">
        <v>171</v>
      </c>
      <c r="K107" s="5">
        <v>50</v>
      </c>
      <c r="L107" s="5">
        <v>51</v>
      </c>
      <c r="M107" s="3" t="s">
        <v>50</v>
      </c>
      <c r="N107" t="s">
        <v>91</v>
      </c>
      <c r="O107" s="5">
        <v>0</v>
      </c>
      <c r="P107" s="3" t="s">
        <v>25</v>
      </c>
      <c r="Q107" s="2">
        <v>211.03</v>
      </c>
      <c r="R107" s="3" t="s">
        <v>26</v>
      </c>
      <c r="S107">
        <f>COUNTIF(A:A,A107)</f>
        <v>1</v>
      </c>
      <c r="T107" t="str">
        <f>IF(OR(H107="",LOWER(TRIM(H107&amp;""))="missing",LOWER(TRIM(H107&amp;""))=""),"Missing/",IFERROR(IF(OR(VALUE(H107)&lt;0,VALUE(H107)&gt;110),"Invalid","Valid"),"Check Format"))</f>
        <v>Missing/</v>
      </c>
      <c r="U107" t="str">
        <f>IF(Raw_Data[[#This Row],[Age_Check]]="Valid",H107,"")</f>
        <v/>
      </c>
      <c r="V107" t="str">
        <f>IF(OR(K107="",UPPER(TRIM(K107&amp;""))="",LOWER(TRIM(K107&amp;""))="",LOWER(TRIM(K107&amp;""))="",LOWER(TRIM(K107&amp;""))="missing"),"Missing/",IFERROR(IF(VALUE(K107)&lt;0,"Invalid","Valid"),"Check Format"))</f>
        <v>Valid</v>
      </c>
      <c r="W107" t="str">
        <f>IF(OR(E107="",F107=""),"Missing Date/Time",IFERROR(IF(F107&gt;E107,"Arrival After Appointment","OK"),"Check Format"))</f>
        <v>OK</v>
      </c>
      <c r="X107" t="str">
        <f>IF(OR(F107="",G107=""),"Missing Date/Time",IFERROR(IF(G107&lt;F107,"Discharge Before Arrival","OK"),"Check Format"))</f>
        <v>OK</v>
      </c>
    </row>
    <row r="108" spans="1:24" x14ac:dyDescent="0.25">
      <c r="A108" s="2" t="s">
        <v>297</v>
      </c>
      <c r="B108" s="2" t="s">
        <v>298</v>
      </c>
      <c r="C108" s="3" t="s">
        <v>46</v>
      </c>
      <c r="D108" s="3" t="s">
        <v>99</v>
      </c>
      <c r="E108" s="4">
        <v>45855.329861111109</v>
      </c>
      <c r="F108" s="4">
        <v>45855.328472222223</v>
      </c>
      <c r="G108" s="4">
        <v>45855.427777777775</v>
      </c>
      <c r="I108" s="3" t="s">
        <v>95</v>
      </c>
      <c r="J108" s="3" t="s">
        <v>62</v>
      </c>
      <c r="K108" s="5">
        <v>86</v>
      </c>
      <c r="L108" s="5">
        <v>55</v>
      </c>
      <c r="M108" s="3" t="s">
        <v>63</v>
      </c>
      <c r="N108" t="s">
        <v>24</v>
      </c>
      <c r="P108" s="3" t="s">
        <v>80</v>
      </c>
      <c r="Q108" s="2">
        <v>146.68</v>
      </c>
      <c r="R108" s="3" t="s">
        <v>58</v>
      </c>
      <c r="S108">
        <f>COUNTIF(A:A,A108)</f>
        <v>1</v>
      </c>
      <c r="T108" t="str">
        <f>IF(OR(H108="",LOWER(TRIM(H108&amp;""))="missing",LOWER(TRIM(H108&amp;""))=""),"Missing/",IFERROR(IF(OR(VALUE(H108)&lt;0,VALUE(H108)&gt;110),"Invalid","Valid"),"Check Format"))</f>
        <v>Missing/</v>
      </c>
      <c r="U108" t="str">
        <f>IF(Raw_Data[[#This Row],[Age_Check]]="Valid",H108,"")</f>
        <v/>
      </c>
      <c r="V108" t="str">
        <f>IF(OR(K108="",UPPER(TRIM(K108&amp;""))="",LOWER(TRIM(K108&amp;""))="",LOWER(TRIM(K108&amp;""))="",LOWER(TRIM(K108&amp;""))="missing"),"Missing/",IFERROR(IF(VALUE(K108)&lt;0,"Invalid","Valid"),"Check Format"))</f>
        <v>Valid</v>
      </c>
      <c r="W108" t="str">
        <f>IF(OR(E108="",F108=""),"Missing Date/Time",IFERROR(IF(F108&gt;E108,"Arrival After Appointment","OK"),"Check Format"))</f>
        <v>OK</v>
      </c>
      <c r="X108" t="str">
        <f>IF(OR(F108="",G108=""),"Missing Date/Time",IFERROR(IF(G108&lt;F108,"Discharge Before Arrival","OK"),"Check Format"))</f>
        <v>OK</v>
      </c>
    </row>
    <row r="109" spans="1:24" x14ac:dyDescent="0.25">
      <c r="A109" s="2" t="s">
        <v>299</v>
      </c>
      <c r="B109" s="2" t="s">
        <v>206</v>
      </c>
      <c r="C109" s="3" t="s">
        <v>19</v>
      </c>
      <c r="D109" s="3" t="s">
        <v>115</v>
      </c>
      <c r="E109" s="4">
        <v>45839.663194444445</v>
      </c>
      <c r="F109" s="4">
        <v>45839.658333333333</v>
      </c>
      <c r="G109" s="4">
        <v>45839.737500000003</v>
      </c>
      <c r="J109" s="3" t="s">
        <v>67</v>
      </c>
      <c r="K109" s="5">
        <v>81</v>
      </c>
      <c r="L109" s="5">
        <v>26</v>
      </c>
      <c r="M109" s="3" t="s">
        <v>87</v>
      </c>
      <c r="O109" s="5">
        <v>0</v>
      </c>
      <c r="P109" s="3" t="s">
        <v>25</v>
      </c>
      <c r="R109" s="3" t="s">
        <v>75</v>
      </c>
      <c r="S109">
        <f>COUNTIF(A:A,A109)</f>
        <v>1</v>
      </c>
      <c r="T109" t="str">
        <f>IF(OR(H109="",LOWER(TRIM(H109&amp;""))="missing",LOWER(TRIM(H109&amp;""))=""),"Missing/",IFERROR(IF(OR(VALUE(H109)&lt;0,VALUE(H109)&gt;110),"Invalid","Valid"),"Check Format"))</f>
        <v>Missing/</v>
      </c>
      <c r="U109" t="str">
        <f>IF(Raw_Data[[#This Row],[Age_Check]]="Valid",H109,"")</f>
        <v/>
      </c>
      <c r="V109" t="str">
        <f>IF(OR(K109="",UPPER(TRIM(K109&amp;""))="",LOWER(TRIM(K109&amp;""))="",LOWER(TRIM(K109&amp;""))="",LOWER(TRIM(K109&amp;""))="missing"),"Missing/",IFERROR(IF(VALUE(K109)&lt;0,"Invalid","Valid"),"Check Format"))</f>
        <v>Valid</v>
      </c>
      <c r="W109" t="str">
        <f>IF(OR(E109="",F109=""),"Missing Date/Time",IFERROR(IF(F109&gt;E109,"Arrival After Appointment","OK"),"Check Format"))</f>
        <v>OK</v>
      </c>
      <c r="X109" t="str">
        <f>IF(OR(F109="",G109=""),"Missing Date/Time",IFERROR(IF(G109&lt;F109,"Discharge Before Arrival","OK"),"Check Format"))</f>
        <v>OK</v>
      </c>
    </row>
    <row r="110" spans="1:24" x14ac:dyDescent="0.25">
      <c r="A110" s="2" t="s">
        <v>300</v>
      </c>
      <c r="B110" s="2" t="s">
        <v>301</v>
      </c>
      <c r="C110" s="3" t="s">
        <v>94</v>
      </c>
      <c r="D110" s="3" t="s">
        <v>30</v>
      </c>
      <c r="E110" s="4">
        <v>45996.677083333336</v>
      </c>
      <c r="F110" s="4">
        <v>45996.677083333336</v>
      </c>
      <c r="G110" s="4">
        <v>45996.745138888888</v>
      </c>
      <c r="H110" s="5">
        <v>37</v>
      </c>
      <c r="I110" s="3" t="s">
        <v>73</v>
      </c>
      <c r="J110" s="3" t="s">
        <v>62</v>
      </c>
      <c r="K110" s="5">
        <v>69</v>
      </c>
      <c r="L110" s="5">
        <v>29</v>
      </c>
      <c r="M110" s="3" t="s">
        <v>68</v>
      </c>
      <c r="N110" t="s">
        <v>91</v>
      </c>
      <c r="O110" s="5">
        <v>0</v>
      </c>
      <c r="Q110" s="2">
        <v>152.76</v>
      </c>
      <c r="R110" s="3" t="s">
        <v>58</v>
      </c>
      <c r="S110">
        <f>COUNTIF(A:A,A110)</f>
        <v>1</v>
      </c>
      <c r="T110" t="str">
        <f>IF(OR(H110="",LOWER(TRIM(H110&amp;""))="missing",LOWER(TRIM(H110&amp;""))=""),"Missing/",IFERROR(IF(OR(VALUE(H110)&lt;0,VALUE(H110)&gt;110),"Invalid","Valid"),"Check Format"))</f>
        <v>Valid</v>
      </c>
      <c r="U110">
        <f>IF(Raw_Data[[#This Row],[Age_Check]]="Valid",H110,"")</f>
        <v>37</v>
      </c>
      <c r="V110" t="str">
        <f>IF(OR(K110="",UPPER(TRIM(K110&amp;""))="",LOWER(TRIM(K110&amp;""))="",LOWER(TRIM(K110&amp;""))="",LOWER(TRIM(K110&amp;""))="missing"),"Missing/",IFERROR(IF(VALUE(K110)&lt;0,"Invalid","Valid"),"Check Format"))</f>
        <v>Valid</v>
      </c>
      <c r="W110" t="str">
        <f>IF(OR(E110="",F110=""),"Missing Date/Time",IFERROR(IF(F110&gt;E110,"Arrival After Appointment","OK"),"Check Format"))</f>
        <v>OK</v>
      </c>
      <c r="X110" t="str">
        <f>IF(OR(F110="",G110=""),"Missing Date/Time",IFERROR(IF(G110&lt;F110,"Discharge Before Arrival","OK"),"Check Format"))</f>
        <v>OK</v>
      </c>
    </row>
    <row r="111" spans="1:24" x14ac:dyDescent="0.25">
      <c r="A111" s="2" t="s">
        <v>302</v>
      </c>
      <c r="B111" s="2" t="s">
        <v>303</v>
      </c>
      <c r="C111" s="3" t="s">
        <v>29</v>
      </c>
      <c r="D111" s="3" t="s">
        <v>23</v>
      </c>
      <c r="E111" s="4">
        <v>45755.503472222219</v>
      </c>
      <c r="F111" s="4">
        <v>45755.488888888889</v>
      </c>
      <c r="G111" s="4">
        <v>45755.569444444445</v>
      </c>
      <c r="H111" s="5">
        <v>145</v>
      </c>
      <c r="I111" s="3" t="s">
        <v>95</v>
      </c>
      <c r="J111" s="3" t="s">
        <v>22</v>
      </c>
      <c r="K111" s="5">
        <v>78</v>
      </c>
      <c r="L111" s="5">
        <v>17</v>
      </c>
      <c r="M111" s="3" t="s">
        <v>68</v>
      </c>
      <c r="N111" t="s">
        <v>91</v>
      </c>
      <c r="O111" s="5">
        <v>0</v>
      </c>
      <c r="P111" s="3" t="s">
        <v>80</v>
      </c>
      <c r="Q111" s="2">
        <v>312.39</v>
      </c>
      <c r="R111" s="3" t="s">
        <v>43</v>
      </c>
      <c r="S111">
        <f>COUNTIF(A:A,A111)</f>
        <v>1</v>
      </c>
      <c r="T111" t="str">
        <f>IF(OR(H111="",LOWER(TRIM(H111&amp;""))="missing",LOWER(TRIM(H111&amp;""))=""),"Missing/",IFERROR(IF(OR(VALUE(H111)&lt;0,VALUE(H111)&gt;110),"Invalid","Valid"),"Check Format"))</f>
        <v>Invalid</v>
      </c>
      <c r="U111" t="str">
        <f>IF(Raw_Data[[#This Row],[Age_Check]]="Valid",H111,"")</f>
        <v/>
      </c>
      <c r="V111" t="str">
        <f>IF(OR(K111="",UPPER(TRIM(K111&amp;""))="",LOWER(TRIM(K111&amp;""))="",LOWER(TRIM(K111&amp;""))="",LOWER(TRIM(K111&amp;""))="missing"),"Missing/",IFERROR(IF(VALUE(K111)&lt;0,"Invalid","Valid"),"Check Format"))</f>
        <v>Valid</v>
      </c>
      <c r="W111" t="str">
        <f>IF(OR(E111="",F111=""),"Missing Date/Time",IFERROR(IF(F111&gt;E111,"Arrival After Appointment","OK"),"Check Format"))</f>
        <v>OK</v>
      </c>
      <c r="X111" t="str">
        <f>IF(OR(F111="",G111=""),"Missing Date/Time",IFERROR(IF(G111&lt;F111,"Discharge Before Arrival","OK"),"Check Format"))</f>
        <v>OK</v>
      </c>
    </row>
    <row r="112" spans="1:24" x14ac:dyDescent="0.25">
      <c r="A112" s="2" t="s">
        <v>304</v>
      </c>
      <c r="B112" s="2" t="s">
        <v>305</v>
      </c>
      <c r="C112" s="3" t="s">
        <v>37</v>
      </c>
      <c r="D112" s="3" t="s">
        <v>72</v>
      </c>
      <c r="E112" s="4">
        <v>45920.440972222219</v>
      </c>
      <c r="F112" s="4">
        <v>45920.425694444442</v>
      </c>
      <c r="G112" s="4">
        <v>45920.463194444441</v>
      </c>
      <c r="H112" s="5">
        <v>8</v>
      </c>
      <c r="J112" s="3" t="s">
        <v>67</v>
      </c>
      <c r="K112" s="5">
        <v>22</v>
      </c>
      <c r="L112" s="5">
        <v>10</v>
      </c>
      <c r="M112" s="3" t="s">
        <v>68</v>
      </c>
      <c r="N112" t="s">
        <v>91</v>
      </c>
      <c r="O112" s="5">
        <v>0</v>
      </c>
      <c r="P112" s="3" t="s">
        <v>25</v>
      </c>
      <c r="Q112" s="2">
        <v>237.65</v>
      </c>
      <c r="R112" s="3" t="s">
        <v>58</v>
      </c>
      <c r="S112">
        <f>COUNTIF(A:A,A112)</f>
        <v>1</v>
      </c>
      <c r="T112" t="str">
        <f>IF(OR(H112="",LOWER(TRIM(H112&amp;""))="missing",LOWER(TRIM(H112&amp;""))=""),"Missing/",IFERROR(IF(OR(VALUE(H112)&lt;0,VALUE(H112)&gt;110),"Invalid","Valid"),"Check Format"))</f>
        <v>Valid</v>
      </c>
      <c r="U112">
        <f>IF(Raw_Data[[#This Row],[Age_Check]]="Valid",H112,"")</f>
        <v>8</v>
      </c>
      <c r="V112" t="str">
        <f>IF(OR(K112="",UPPER(TRIM(K112&amp;""))="",LOWER(TRIM(K112&amp;""))="",LOWER(TRIM(K112&amp;""))="",LOWER(TRIM(K112&amp;""))="missing"),"Missing/",IFERROR(IF(VALUE(K112)&lt;0,"Invalid","Valid"),"Check Format"))</f>
        <v>Valid</v>
      </c>
      <c r="W112" t="str">
        <f>IF(OR(E112="",F112=""),"Missing Date/Time",IFERROR(IF(F112&gt;E112,"Arrival After Appointment","OK"),"Check Format"))</f>
        <v>OK</v>
      </c>
      <c r="X112" t="str">
        <f>IF(OR(F112="",G112=""),"Missing Date/Time",IFERROR(IF(G112&lt;F112,"Discharge Before Arrival","OK"),"Check Format"))</f>
        <v>OK</v>
      </c>
    </row>
    <row r="113" spans="1:24" x14ac:dyDescent="0.25">
      <c r="A113" s="2" t="s">
        <v>306</v>
      </c>
      <c r="B113" s="2" t="s">
        <v>307</v>
      </c>
      <c r="C113" s="3" t="s">
        <v>94</v>
      </c>
      <c r="D113" s="3" t="s">
        <v>30</v>
      </c>
      <c r="E113" s="4" t="s">
        <v>308</v>
      </c>
      <c r="F113" s="4">
        <v>45917.557638888888</v>
      </c>
      <c r="G113" s="4">
        <v>45917.661805555559</v>
      </c>
      <c r="H113" s="5">
        <v>78</v>
      </c>
      <c r="I113" s="3" t="s">
        <v>95</v>
      </c>
      <c r="J113" s="3" t="s">
        <v>62</v>
      </c>
      <c r="K113" s="5">
        <v>85</v>
      </c>
      <c r="L113" s="5">
        <v>43</v>
      </c>
      <c r="M113" s="3" t="s">
        <v>41</v>
      </c>
      <c r="N113" t="s">
        <v>100</v>
      </c>
      <c r="O113" s="5">
        <v>2</v>
      </c>
      <c r="P113" s="3" t="s">
        <v>80</v>
      </c>
      <c r="Q113" s="2">
        <v>195.27</v>
      </c>
      <c r="R113" s="3" t="s">
        <v>43</v>
      </c>
      <c r="S113">
        <f>COUNTIF(A:A,A113)</f>
        <v>1</v>
      </c>
      <c r="T113" t="str">
        <f>IF(OR(H113="",LOWER(TRIM(H113&amp;""))="missing",LOWER(TRIM(H113&amp;""))=""),"Missing/",IFERROR(IF(OR(VALUE(H113)&lt;0,VALUE(H113)&gt;110),"Invalid","Valid"),"Check Format"))</f>
        <v>Valid</v>
      </c>
      <c r="U113">
        <f>IF(Raw_Data[[#This Row],[Age_Check]]="Valid",H113,"")</f>
        <v>78</v>
      </c>
      <c r="V113" t="str">
        <f>IF(OR(K113="",UPPER(TRIM(K113&amp;""))="",LOWER(TRIM(K113&amp;""))="",LOWER(TRIM(K113&amp;""))="",LOWER(TRIM(K113&amp;""))="missing"),"Missing/",IFERROR(IF(VALUE(K113)&lt;0,"Invalid","Valid"),"Check Format"))</f>
        <v>Valid</v>
      </c>
      <c r="W113" t="str">
        <f>IF(OR(E113="",F113=""),"Missing Date/Time",IFERROR(IF(F113&gt;E113,"Arrival After Appointment","OK"),"Check Format"))</f>
        <v>OK</v>
      </c>
      <c r="X113" t="str">
        <f>IF(OR(F113="",G113=""),"Missing Date/Time",IFERROR(IF(G113&lt;F113,"Discharge Before Arrival","OK"),"Check Format"))</f>
        <v>OK</v>
      </c>
    </row>
    <row r="114" spans="1:24" x14ac:dyDescent="0.25">
      <c r="A114" s="2" t="s">
        <v>309</v>
      </c>
      <c r="B114" s="2" t="s">
        <v>310</v>
      </c>
      <c r="D114" s="3" t="s">
        <v>47</v>
      </c>
      <c r="E114" s="4">
        <v>45684.548611111109</v>
      </c>
      <c r="F114" s="4">
        <v>45684.545138888891</v>
      </c>
      <c r="G114" s="4">
        <v>45684.598611111112</v>
      </c>
      <c r="H114" s="5">
        <v>57</v>
      </c>
      <c r="I114" s="3" t="s">
        <v>39</v>
      </c>
      <c r="J114" s="3" t="s">
        <v>62</v>
      </c>
      <c r="K114" s="5">
        <v>57</v>
      </c>
      <c r="L114" s="5">
        <v>15</v>
      </c>
      <c r="M114" s="3" t="s">
        <v>87</v>
      </c>
      <c r="N114" t="s">
        <v>24</v>
      </c>
      <c r="O114" s="5">
        <v>0</v>
      </c>
      <c r="P114" s="3" t="s">
        <v>25</v>
      </c>
      <c r="Q114" s="2">
        <v>151.06</v>
      </c>
      <c r="R114" s="3" t="s">
        <v>58</v>
      </c>
      <c r="S114">
        <f>COUNTIF(A:A,A114)</f>
        <v>1</v>
      </c>
      <c r="T114" t="str">
        <f>IF(OR(H114="",LOWER(TRIM(H114&amp;""))="missing",LOWER(TRIM(H114&amp;""))=""),"Missing/",IFERROR(IF(OR(VALUE(H114)&lt;0,VALUE(H114)&gt;110),"Invalid","Valid"),"Check Format"))</f>
        <v>Valid</v>
      </c>
      <c r="U114">
        <f>IF(Raw_Data[[#This Row],[Age_Check]]="Valid",H114,"")</f>
        <v>57</v>
      </c>
      <c r="V114" t="str">
        <f>IF(OR(K114="",UPPER(TRIM(K114&amp;""))="",LOWER(TRIM(K114&amp;""))="",LOWER(TRIM(K114&amp;""))="",LOWER(TRIM(K114&amp;""))="missing"),"Missing/",IFERROR(IF(VALUE(K114)&lt;0,"Invalid","Valid"),"Check Format"))</f>
        <v>Valid</v>
      </c>
      <c r="W114" t="str">
        <f>IF(OR(E114="",F114=""),"Missing Date/Time",IFERROR(IF(F114&gt;E114,"Arrival After Appointment","OK"),"Check Format"))</f>
        <v>OK</v>
      </c>
      <c r="X114" t="str">
        <f>IF(OR(F114="",G114=""),"Missing Date/Time",IFERROR(IF(G114&lt;F114,"Discharge Before Arrival","OK"),"Check Format"))</f>
        <v>OK</v>
      </c>
    </row>
    <row r="115" spans="1:24" x14ac:dyDescent="0.25">
      <c r="A115" s="2" t="s">
        <v>311</v>
      </c>
      <c r="B115" s="2" t="s">
        <v>312</v>
      </c>
      <c r="C115" s="3" t="s">
        <v>46</v>
      </c>
      <c r="D115" s="3" t="s">
        <v>149</v>
      </c>
      <c r="E115" s="4">
        <v>45746.590277777781</v>
      </c>
      <c r="F115" s="4">
        <v>45746.578472222223</v>
      </c>
      <c r="G115" s="4">
        <v>45746.647916666669</v>
      </c>
      <c r="I115" s="3" t="s">
        <v>73</v>
      </c>
      <c r="J115" s="3" t="s">
        <v>62</v>
      </c>
      <c r="K115" s="5">
        <v>34</v>
      </c>
      <c r="L115" s="5">
        <v>49</v>
      </c>
      <c r="M115" s="3" t="s">
        <v>23</v>
      </c>
      <c r="O115" s="5">
        <v>6</v>
      </c>
      <c r="Q115" s="2">
        <v>133.24</v>
      </c>
      <c r="R115" s="3" t="s">
        <v>26</v>
      </c>
      <c r="S115">
        <f>COUNTIF(A:A,A115)</f>
        <v>1</v>
      </c>
      <c r="T115" t="str">
        <f>IF(OR(H115="",LOWER(TRIM(H115&amp;""))="missing",LOWER(TRIM(H115&amp;""))=""),"Missing/",IFERROR(IF(OR(VALUE(H115)&lt;0,VALUE(H115)&gt;110),"Invalid","Valid"),"Check Format"))</f>
        <v>Missing/</v>
      </c>
      <c r="U115" t="str">
        <f>IF(Raw_Data[[#This Row],[Age_Check]]="Valid",H115,"")</f>
        <v/>
      </c>
      <c r="V115" t="str">
        <f>IF(OR(K115="",UPPER(TRIM(K115&amp;""))="",LOWER(TRIM(K115&amp;""))="",LOWER(TRIM(K115&amp;""))="",LOWER(TRIM(K115&amp;""))="missing"),"Missing/",IFERROR(IF(VALUE(K115)&lt;0,"Invalid","Valid"),"Check Format"))</f>
        <v>Valid</v>
      </c>
      <c r="W115" t="str">
        <f>IF(OR(E115="",F115=""),"Missing Date/Time",IFERROR(IF(F115&gt;E115,"Arrival After Appointment","OK"),"Check Format"))</f>
        <v>OK</v>
      </c>
      <c r="X115" t="str">
        <f>IF(OR(F115="",G115=""),"Missing Date/Time",IFERROR(IF(G115&lt;F115,"Discharge Before Arrival","OK"),"Check Format"))</f>
        <v>OK</v>
      </c>
    </row>
    <row r="116" spans="1:24" x14ac:dyDescent="0.25">
      <c r="A116" s="2" t="s">
        <v>313</v>
      </c>
      <c r="B116" s="2" t="s">
        <v>314</v>
      </c>
      <c r="C116" s="3" t="s">
        <v>46</v>
      </c>
      <c r="D116" s="3" t="s">
        <v>99</v>
      </c>
      <c r="E116" s="4">
        <v>45851.4375</v>
      </c>
      <c r="F116" s="4">
        <v>45851.429861111108</v>
      </c>
      <c r="G116" s="4">
        <v>45851.475694444445</v>
      </c>
      <c r="H116" s="5">
        <v>11</v>
      </c>
      <c r="I116" s="3" t="s">
        <v>73</v>
      </c>
      <c r="J116" s="3" t="s">
        <v>62</v>
      </c>
      <c r="K116" s="5">
        <v>29</v>
      </c>
      <c r="L116" s="5">
        <v>26</v>
      </c>
      <c r="M116" s="3" t="s">
        <v>50</v>
      </c>
      <c r="P116" s="3" t="s">
        <v>80</v>
      </c>
      <c r="Q116" s="2">
        <v>178.03</v>
      </c>
      <c r="R116" s="3" t="s">
        <v>43</v>
      </c>
      <c r="S116">
        <f>COUNTIF(A:A,A116)</f>
        <v>1</v>
      </c>
      <c r="T116" t="str">
        <f>IF(OR(H116="",LOWER(TRIM(H116&amp;""))="missing",LOWER(TRIM(H116&amp;""))=""),"Missing/",IFERROR(IF(OR(VALUE(H116)&lt;0,VALUE(H116)&gt;110),"Invalid","Valid"),"Check Format"))</f>
        <v>Valid</v>
      </c>
      <c r="U116">
        <f>IF(Raw_Data[[#This Row],[Age_Check]]="Valid",H116,"")</f>
        <v>11</v>
      </c>
      <c r="V116" t="str">
        <f>IF(OR(K116="",UPPER(TRIM(K116&amp;""))="",LOWER(TRIM(K116&amp;""))="",LOWER(TRIM(K116&amp;""))="",LOWER(TRIM(K116&amp;""))="missing"),"Missing/",IFERROR(IF(VALUE(K116)&lt;0,"Invalid","Valid"),"Check Format"))</f>
        <v>Valid</v>
      </c>
      <c r="W116" t="str">
        <f>IF(OR(E116="",F116=""),"Missing Date/Time",IFERROR(IF(F116&gt;E116,"Arrival After Appointment","OK"),"Check Format"))</f>
        <v>OK</v>
      </c>
      <c r="X116" t="str">
        <f>IF(OR(F116="",G116=""),"Missing Date/Time",IFERROR(IF(G116&lt;F116,"Discharge Before Arrival","OK"),"Check Format"))</f>
        <v>OK</v>
      </c>
    </row>
    <row r="117" spans="1:24" x14ac:dyDescent="0.25">
      <c r="A117" s="2" t="s">
        <v>315</v>
      </c>
      <c r="B117" s="2" t="s">
        <v>316</v>
      </c>
      <c r="C117" s="3" t="s">
        <v>46</v>
      </c>
      <c r="D117" s="3" t="s">
        <v>149</v>
      </c>
      <c r="E117" s="4">
        <v>45875.527777777781</v>
      </c>
      <c r="F117" s="4">
        <v>45875.522222222222</v>
      </c>
      <c r="G117" s="4">
        <v>45875.565972222219</v>
      </c>
      <c r="H117" s="5">
        <v>65</v>
      </c>
      <c r="I117" s="3" t="s">
        <v>95</v>
      </c>
      <c r="J117" s="3" t="s">
        <v>22</v>
      </c>
      <c r="K117" s="5">
        <v>38</v>
      </c>
      <c r="L117" s="5">
        <v>17</v>
      </c>
      <c r="N117" t="s">
        <v>74</v>
      </c>
      <c r="Q117" s="2">
        <v>164.49</v>
      </c>
      <c r="R117" s="3" t="s">
        <v>43</v>
      </c>
      <c r="S117">
        <f>COUNTIF(A:A,A117)</f>
        <v>1</v>
      </c>
      <c r="T117" t="str">
        <f>IF(OR(H117="",LOWER(TRIM(H117&amp;""))="missing",LOWER(TRIM(H117&amp;""))=""),"Missing/",IFERROR(IF(OR(VALUE(H117)&lt;0,VALUE(H117)&gt;110),"Invalid","Valid"),"Check Format"))</f>
        <v>Valid</v>
      </c>
      <c r="U117">
        <f>IF(Raw_Data[[#This Row],[Age_Check]]="Valid",H117,"")</f>
        <v>65</v>
      </c>
      <c r="V117" t="str">
        <f>IF(OR(K117="",UPPER(TRIM(K117&amp;""))="",LOWER(TRIM(K117&amp;""))="",LOWER(TRIM(K117&amp;""))="",LOWER(TRIM(K117&amp;""))="missing"),"Missing/",IFERROR(IF(VALUE(K117)&lt;0,"Invalid","Valid"),"Check Format"))</f>
        <v>Valid</v>
      </c>
      <c r="W117" t="str">
        <f>IF(OR(E117="",F117=""),"Missing Date/Time",IFERROR(IF(F117&gt;E117,"Arrival After Appointment","OK"),"Check Format"))</f>
        <v>OK</v>
      </c>
      <c r="X117" t="str">
        <f>IF(OR(F117="",G117=""),"Missing Date/Time",IFERROR(IF(G117&lt;F117,"Discharge Before Arrival","OK"),"Check Format"))</f>
        <v>OK</v>
      </c>
    </row>
    <row r="118" spans="1:24" x14ac:dyDescent="0.25">
      <c r="A118" s="2" t="s">
        <v>317</v>
      </c>
      <c r="B118" s="2" t="s">
        <v>318</v>
      </c>
      <c r="C118" s="3" t="s">
        <v>94</v>
      </c>
      <c r="D118" s="3" t="s">
        <v>149</v>
      </c>
      <c r="E118" s="4" t="s">
        <v>319</v>
      </c>
      <c r="F118" s="4">
        <v>45984.552083333336</v>
      </c>
      <c r="G118" s="4">
        <v>45984.627083333333</v>
      </c>
      <c r="H118" s="5">
        <v>145</v>
      </c>
      <c r="I118" s="3" t="s">
        <v>90</v>
      </c>
      <c r="J118" s="3" t="s">
        <v>171</v>
      </c>
      <c r="K118" s="5">
        <v>66</v>
      </c>
      <c r="L118" s="5">
        <v>22</v>
      </c>
      <c r="M118" s="3" t="s">
        <v>41</v>
      </c>
      <c r="N118" t="s">
        <v>24</v>
      </c>
      <c r="O118" s="5">
        <v>6</v>
      </c>
      <c r="P118" s="3" t="s">
        <v>25</v>
      </c>
      <c r="Q118" s="2">
        <v>107.32</v>
      </c>
      <c r="R118" s="3" t="s">
        <v>58</v>
      </c>
      <c r="S118">
        <f>COUNTIF(A:A,A118)</f>
        <v>1</v>
      </c>
      <c r="T118" t="str">
        <f>IF(OR(H118="",LOWER(TRIM(H118&amp;""))="missing",LOWER(TRIM(H118&amp;""))=""),"Missing/",IFERROR(IF(OR(VALUE(H118)&lt;0,VALUE(H118)&gt;110),"Invalid","Valid"),"Check Format"))</f>
        <v>Invalid</v>
      </c>
      <c r="U118" t="str">
        <f>IF(Raw_Data[[#This Row],[Age_Check]]="Valid",H118,"")</f>
        <v/>
      </c>
      <c r="V118" t="str">
        <f>IF(OR(K118="",UPPER(TRIM(K118&amp;""))="",LOWER(TRIM(K118&amp;""))="",LOWER(TRIM(K118&amp;""))="",LOWER(TRIM(K118&amp;""))="missing"),"Missing/",IFERROR(IF(VALUE(K118)&lt;0,"Invalid","Valid"),"Check Format"))</f>
        <v>Valid</v>
      </c>
      <c r="W118" t="str">
        <f>IF(OR(E118="",F118=""),"Missing Date/Time",IFERROR(IF(F118&gt;E118,"Arrival After Appointment","OK"),"Check Format"))</f>
        <v>OK</v>
      </c>
      <c r="X118" t="str">
        <f>IF(OR(F118="",G118=""),"Missing Date/Time",IFERROR(IF(G118&lt;F118,"Discharge Before Arrival","OK"),"Check Format"))</f>
        <v>OK</v>
      </c>
    </row>
    <row r="119" spans="1:24" x14ac:dyDescent="0.25">
      <c r="A119" s="2" t="s">
        <v>320</v>
      </c>
      <c r="B119" s="2" t="s">
        <v>321</v>
      </c>
      <c r="C119" s="3" t="s">
        <v>46</v>
      </c>
      <c r="D119" s="3" t="s">
        <v>20</v>
      </c>
      <c r="E119" s="4">
        <v>45658.361111111109</v>
      </c>
      <c r="F119" s="4">
        <v>45658.354861111111</v>
      </c>
      <c r="G119" s="4">
        <v>45658.410416666666</v>
      </c>
      <c r="H119" s="5">
        <v>145</v>
      </c>
      <c r="I119" s="3" t="s">
        <v>73</v>
      </c>
      <c r="J119" s="3" t="s">
        <v>67</v>
      </c>
      <c r="K119" s="5">
        <v>66</v>
      </c>
      <c r="L119" s="5">
        <v>5</v>
      </c>
      <c r="M119" s="3" t="s">
        <v>41</v>
      </c>
      <c r="N119" t="s">
        <v>74</v>
      </c>
      <c r="Q119" s="2">
        <v>32.4</v>
      </c>
      <c r="R119" s="3" t="s">
        <v>58</v>
      </c>
      <c r="S119">
        <f>COUNTIF(A:A,A119)</f>
        <v>1</v>
      </c>
      <c r="T119" t="str">
        <f>IF(OR(H119="",LOWER(TRIM(H119&amp;""))="missing",LOWER(TRIM(H119&amp;""))=""),"Missing/",IFERROR(IF(OR(VALUE(H119)&lt;0,VALUE(H119)&gt;110),"Invalid","Valid"),"Check Format"))</f>
        <v>Invalid</v>
      </c>
      <c r="U119" t="str">
        <f>IF(Raw_Data[[#This Row],[Age_Check]]="Valid",H119,"")</f>
        <v/>
      </c>
      <c r="V119" t="str">
        <f>IF(OR(K119="",UPPER(TRIM(K119&amp;""))="",LOWER(TRIM(K119&amp;""))="",LOWER(TRIM(K119&amp;""))="",LOWER(TRIM(K119&amp;""))="missing"),"Missing/",IFERROR(IF(VALUE(K119)&lt;0,"Invalid","Valid"),"Check Format"))</f>
        <v>Valid</v>
      </c>
      <c r="W119" t="str">
        <f>IF(OR(E119="",F119=""),"Missing Date/Time",IFERROR(IF(F119&gt;E119,"Arrival After Appointment","OK"),"Check Format"))</f>
        <v>OK</v>
      </c>
      <c r="X119" t="str">
        <f>IF(OR(F119="",G119=""),"Missing Date/Time",IFERROR(IF(G119&lt;F119,"Discharge Before Arrival","OK"),"Check Format"))</f>
        <v>OK</v>
      </c>
    </row>
    <row r="120" spans="1:24" x14ac:dyDescent="0.25">
      <c r="A120" s="2" t="s">
        <v>322</v>
      </c>
      <c r="B120" s="2" t="s">
        <v>314</v>
      </c>
      <c r="C120" s="3" t="s">
        <v>46</v>
      </c>
      <c r="D120" s="3" t="s">
        <v>209</v>
      </c>
      <c r="E120" s="4">
        <v>45292.552083333336</v>
      </c>
      <c r="F120" s="4">
        <v>45292.544444444444</v>
      </c>
      <c r="G120" s="4">
        <v>45292.59375</v>
      </c>
      <c r="I120" s="3" t="s">
        <v>95</v>
      </c>
      <c r="J120" s="3" t="s">
        <v>171</v>
      </c>
      <c r="L120" s="5">
        <v>28</v>
      </c>
      <c r="M120" s="3" t="s">
        <v>87</v>
      </c>
      <c r="N120" t="s">
        <v>69</v>
      </c>
      <c r="O120" s="5">
        <v>0</v>
      </c>
      <c r="P120" s="3" t="s">
        <v>42</v>
      </c>
      <c r="Q120" s="2">
        <v>169.87</v>
      </c>
      <c r="R120" s="3" t="s">
        <v>58</v>
      </c>
      <c r="S120">
        <f>COUNTIF(A:A,A120)</f>
        <v>1</v>
      </c>
      <c r="T120" t="str">
        <f>IF(OR(H120="",LOWER(TRIM(H120&amp;""))="missing",LOWER(TRIM(H120&amp;""))=""),"Missing/",IFERROR(IF(OR(VALUE(H120)&lt;0,VALUE(H120)&gt;110),"Invalid","Valid"),"Check Format"))</f>
        <v>Missing/</v>
      </c>
      <c r="U120" t="str">
        <f>IF(Raw_Data[[#This Row],[Age_Check]]="Valid",H120,"")</f>
        <v/>
      </c>
      <c r="V120" t="str">
        <f>IF(OR(K120="",UPPER(TRIM(K120&amp;""))="",LOWER(TRIM(K120&amp;""))="",LOWER(TRIM(K120&amp;""))="",LOWER(TRIM(K120&amp;""))="missing"),"Missing/",IFERROR(IF(VALUE(K120)&lt;0,"Invalid","Valid"),"Check Format"))</f>
        <v>Missing/</v>
      </c>
      <c r="W120" t="str">
        <f>IF(OR(E120="",F120=""),"Missing Date/Time",IFERROR(IF(F120&gt;E120,"Arrival After Appointment","OK"),"Check Format"))</f>
        <v>OK</v>
      </c>
      <c r="X120" t="str">
        <f>IF(OR(F120="",G120=""),"Missing Date/Time",IFERROR(IF(G120&lt;F120,"Discharge Before Arrival","OK"),"Check Format"))</f>
        <v>OK</v>
      </c>
    </row>
    <row r="121" spans="1:24" x14ac:dyDescent="0.25">
      <c r="A121" s="2" t="s">
        <v>195</v>
      </c>
      <c r="B121" s="2" t="s">
        <v>197</v>
      </c>
      <c r="C121" s="3" t="s">
        <v>94</v>
      </c>
      <c r="D121" s="3" t="s">
        <v>30</v>
      </c>
      <c r="E121" s="4">
        <v>45835.635416666664</v>
      </c>
      <c r="F121" s="4">
        <v>45835.631944444445</v>
      </c>
      <c r="G121" s="4">
        <v>45835.740277777775</v>
      </c>
      <c r="H121" s="5">
        <v>9</v>
      </c>
      <c r="I121" s="3" t="s">
        <v>73</v>
      </c>
      <c r="J121" s="3" t="s">
        <v>150</v>
      </c>
      <c r="K121" s="5">
        <v>124</v>
      </c>
      <c r="L121" s="5">
        <v>27</v>
      </c>
      <c r="M121" s="3" t="s">
        <v>32</v>
      </c>
      <c r="P121" s="3" t="s">
        <v>25</v>
      </c>
      <c r="Q121" s="2">
        <v>84.7</v>
      </c>
      <c r="R121" s="3" t="s">
        <v>26</v>
      </c>
      <c r="S121">
        <f>COUNTIF(A:A,A121)</f>
        <v>2</v>
      </c>
      <c r="T121" t="str">
        <f>IF(OR(H121="",LOWER(TRIM(H121&amp;""))="missing",LOWER(TRIM(H121&amp;""))=""),"Missing/",IFERROR(IF(OR(VALUE(H121)&lt;0,VALUE(H121)&gt;110),"Invalid","Valid"),"Check Format"))</f>
        <v>Valid</v>
      </c>
      <c r="U121">
        <f>IF(Raw_Data[[#This Row],[Age_Check]]="Valid",H121,"")</f>
        <v>9</v>
      </c>
      <c r="V121" t="str">
        <f>IF(OR(K121="",UPPER(TRIM(K121&amp;""))="",LOWER(TRIM(K121&amp;""))="",LOWER(TRIM(K121&amp;""))="",LOWER(TRIM(K121&amp;""))="missing"),"Missing/",IFERROR(IF(VALUE(K121)&lt;0,"Invalid","Valid"),"Check Format"))</f>
        <v>Valid</v>
      </c>
      <c r="W121" t="str">
        <f>IF(OR(E121="",F121=""),"Missing Date/Time",IFERROR(IF(F121&gt;E121,"Arrival After Appointment","OK"),"Check Format"))</f>
        <v>OK</v>
      </c>
      <c r="X121" t="str">
        <f>IF(OR(F121="",G121=""),"Missing Date/Time",IFERROR(IF(G121&lt;F121,"Discharge Before Arrival","OK"),"Check Format"))</f>
        <v>OK</v>
      </c>
    </row>
    <row r="122" spans="1:24" x14ac:dyDescent="0.25">
      <c r="A122" s="2" t="s">
        <v>326</v>
      </c>
      <c r="B122" s="2" t="s">
        <v>305</v>
      </c>
      <c r="C122" s="3" t="s">
        <v>94</v>
      </c>
      <c r="D122" s="3" t="s">
        <v>174</v>
      </c>
      <c r="E122" s="4" t="s">
        <v>327</v>
      </c>
      <c r="F122" s="4">
        <v>45868.30972222222</v>
      </c>
      <c r="G122" s="4">
        <v>45868.371527777781</v>
      </c>
      <c r="H122" s="5">
        <v>27</v>
      </c>
      <c r="I122" s="3" t="s">
        <v>95</v>
      </c>
      <c r="J122" s="3" t="s">
        <v>171</v>
      </c>
      <c r="K122" s="5">
        <v>57</v>
      </c>
      <c r="L122" s="5">
        <v>13</v>
      </c>
      <c r="M122" s="3" t="s">
        <v>23</v>
      </c>
      <c r="O122" s="5">
        <v>0</v>
      </c>
      <c r="P122" s="3" t="s">
        <v>25</v>
      </c>
      <c r="Q122" s="2">
        <v>143.52000000000001</v>
      </c>
      <c r="R122" s="3" t="s">
        <v>43</v>
      </c>
      <c r="S122">
        <f>COUNTIF(A:A,A122)</f>
        <v>1</v>
      </c>
      <c r="T122" t="str">
        <f>IF(OR(H122="",LOWER(TRIM(H122&amp;""))="missing",LOWER(TRIM(H122&amp;""))=""),"Missing/",IFERROR(IF(OR(VALUE(H122)&lt;0,VALUE(H122)&gt;110),"Invalid","Valid"),"Check Format"))</f>
        <v>Valid</v>
      </c>
      <c r="U122">
        <f>IF(Raw_Data[[#This Row],[Age_Check]]="Valid",H122,"")</f>
        <v>27</v>
      </c>
      <c r="V122" t="str">
        <f>IF(OR(K122="",UPPER(TRIM(K122&amp;""))="",LOWER(TRIM(K122&amp;""))="",LOWER(TRIM(K122&amp;""))="",LOWER(TRIM(K122&amp;""))="missing"),"Missing/",IFERROR(IF(VALUE(K122)&lt;0,"Invalid","Valid"),"Check Format"))</f>
        <v>Valid</v>
      </c>
      <c r="W122" t="str">
        <f>IF(OR(E122="",F122=""),"Missing Date/Time",IFERROR(IF(F122&gt;E122,"Arrival After Appointment","OK"),"Check Format"))</f>
        <v>OK</v>
      </c>
      <c r="X122" t="str">
        <f>IF(OR(F122="",G122=""),"Missing Date/Time",IFERROR(IF(G122&lt;F122,"Discharge Before Arrival","OK"),"Check Format"))</f>
        <v>OK</v>
      </c>
    </row>
    <row r="123" spans="1:24" x14ac:dyDescent="0.25">
      <c r="A123" s="2" t="s">
        <v>328</v>
      </c>
      <c r="B123" s="2" t="s">
        <v>329</v>
      </c>
      <c r="C123" s="3" t="s">
        <v>46</v>
      </c>
      <c r="D123" s="3" t="s">
        <v>38</v>
      </c>
      <c r="E123" s="4">
        <v>45906.78125</v>
      </c>
      <c r="F123" s="4">
        <v>45906.768055555556</v>
      </c>
      <c r="G123" s="4">
        <v>45906.839583333334</v>
      </c>
      <c r="I123" s="3" t="s">
        <v>95</v>
      </c>
      <c r="J123" s="3" t="s">
        <v>22</v>
      </c>
      <c r="K123" s="5">
        <v>47</v>
      </c>
      <c r="L123" s="5">
        <v>37</v>
      </c>
      <c r="M123" s="3" t="s">
        <v>50</v>
      </c>
      <c r="N123" t="s">
        <v>24</v>
      </c>
      <c r="O123" s="5">
        <v>1</v>
      </c>
      <c r="P123" s="3" t="s">
        <v>80</v>
      </c>
      <c r="Q123" s="2">
        <v>78.819999999999993</v>
      </c>
      <c r="R123" s="3" t="s">
        <v>58</v>
      </c>
      <c r="S123">
        <f>COUNTIF(A:A,A123)</f>
        <v>1</v>
      </c>
      <c r="T123" t="str">
        <f>IF(OR(H123="",LOWER(TRIM(H123&amp;""))="missing",LOWER(TRIM(H123&amp;""))=""),"Missing/",IFERROR(IF(OR(VALUE(H123)&lt;0,VALUE(H123)&gt;110),"Invalid","Valid"),"Check Format"))</f>
        <v>Missing/</v>
      </c>
      <c r="U123" t="str">
        <f>IF(Raw_Data[[#This Row],[Age_Check]]="Valid",H123,"")</f>
        <v/>
      </c>
      <c r="V123" t="str">
        <f>IF(OR(K123="",UPPER(TRIM(K123&amp;""))="",LOWER(TRIM(K123&amp;""))="",LOWER(TRIM(K123&amp;""))="",LOWER(TRIM(K123&amp;""))="missing"),"Missing/",IFERROR(IF(VALUE(K123)&lt;0,"Invalid","Valid"),"Check Format"))</f>
        <v>Valid</v>
      </c>
      <c r="W123" t="str">
        <f>IF(OR(E123="",F123=""),"Missing Date/Time",IFERROR(IF(F123&gt;E123,"Arrival After Appointment","OK"),"Check Format"))</f>
        <v>OK</v>
      </c>
      <c r="X123" t="str">
        <f>IF(OR(F123="",G123=""),"Missing Date/Time",IFERROR(IF(G123&lt;F123,"Discharge Before Arrival","OK"),"Check Format"))</f>
        <v>OK</v>
      </c>
    </row>
    <row r="124" spans="1:24" x14ac:dyDescent="0.25">
      <c r="A124" s="2" t="s">
        <v>330</v>
      </c>
      <c r="B124" s="2" t="s">
        <v>331</v>
      </c>
      <c r="C124" s="3" t="s">
        <v>19</v>
      </c>
      <c r="D124" s="3" t="s">
        <v>30</v>
      </c>
      <c r="E124" s="4">
        <v>45616.395833333336</v>
      </c>
      <c r="H124" s="5">
        <v>33</v>
      </c>
      <c r="I124" s="3" t="s">
        <v>95</v>
      </c>
      <c r="J124" s="3" t="s">
        <v>67</v>
      </c>
      <c r="K124" s="5">
        <v>76</v>
      </c>
      <c r="L124" s="5">
        <v>59</v>
      </c>
      <c r="O124" s="5">
        <v>0</v>
      </c>
      <c r="P124" s="3" t="s">
        <v>80</v>
      </c>
      <c r="Q124" s="2">
        <v>136.30000000000001</v>
      </c>
      <c r="R124" s="3" t="s">
        <v>58</v>
      </c>
      <c r="S124">
        <f>COUNTIF(A:A,A124)</f>
        <v>1</v>
      </c>
      <c r="T124" t="str">
        <f>IF(OR(H124="",LOWER(TRIM(H124&amp;""))="missing",LOWER(TRIM(H124&amp;""))=""),"Missing/",IFERROR(IF(OR(VALUE(H124)&lt;0,VALUE(H124)&gt;110),"Invalid","Valid"),"Check Format"))</f>
        <v>Valid</v>
      </c>
      <c r="U124">
        <f>IF(Raw_Data[[#This Row],[Age_Check]]="Valid",H124,"")</f>
        <v>33</v>
      </c>
      <c r="V124" t="str">
        <f>IF(OR(K124="",UPPER(TRIM(K124&amp;""))="",LOWER(TRIM(K124&amp;""))="",LOWER(TRIM(K124&amp;""))="",LOWER(TRIM(K124&amp;""))="missing"),"Missing/",IFERROR(IF(VALUE(K124)&lt;0,"Invalid","Valid"),"Check Format"))</f>
        <v>Valid</v>
      </c>
      <c r="W124" t="str">
        <f>IF(OR(E124="",F124=""),"Missing Date/Time",IFERROR(IF(F124&gt;E124,"Arrival After Appointment","OK"),"Check Format"))</f>
        <v>Missing Date/Time</v>
      </c>
      <c r="X124" t="str">
        <f>IF(OR(F124="",G124=""),"Missing Date/Time",IFERROR(IF(G124&lt;F124,"Discharge Before Arrival","OK"),"Check Format"))</f>
        <v>Missing Date/Time</v>
      </c>
    </row>
    <row r="125" spans="1:24" x14ac:dyDescent="0.25">
      <c r="A125" s="2" t="s">
        <v>332</v>
      </c>
      <c r="B125" s="2" t="s">
        <v>333</v>
      </c>
      <c r="C125" s="3" t="s">
        <v>29</v>
      </c>
      <c r="D125" s="3" t="s">
        <v>209</v>
      </c>
      <c r="E125" s="4">
        <v>45377.461805555555</v>
      </c>
      <c r="F125" s="4">
        <v>45377.447916666664</v>
      </c>
      <c r="G125" s="4">
        <v>45377.542361111111</v>
      </c>
      <c r="I125" s="3" t="s">
        <v>73</v>
      </c>
      <c r="K125" s="5">
        <v>72</v>
      </c>
      <c r="L125" s="5">
        <v>44</v>
      </c>
      <c r="M125" s="3" t="s">
        <v>63</v>
      </c>
      <c r="N125" t="s">
        <v>69</v>
      </c>
      <c r="O125" s="5">
        <v>1</v>
      </c>
      <c r="P125" s="3" t="s">
        <v>25</v>
      </c>
      <c r="Q125" s="2">
        <v>112.9</v>
      </c>
      <c r="R125" s="3" t="s">
        <v>58</v>
      </c>
      <c r="S125">
        <f>COUNTIF(A:A,A125)</f>
        <v>1</v>
      </c>
      <c r="T125" t="str">
        <f>IF(OR(H125="",LOWER(TRIM(H125&amp;""))="missing",LOWER(TRIM(H125&amp;""))=""),"Missing/",IFERROR(IF(OR(VALUE(H125)&lt;0,VALUE(H125)&gt;110),"Invalid","Valid"),"Check Format"))</f>
        <v>Missing/</v>
      </c>
      <c r="U125" t="str">
        <f>IF(Raw_Data[[#This Row],[Age_Check]]="Valid",H125,"")</f>
        <v/>
      </c>
      <c r="V125" t="str">
        <f>IF(OR(K125="",UPPER(TRIM(K125&amp;""))="",LOWER(TRIM(K125&amp;""))="",LOWER(TRIM(K125&amp;""))="",LOWER(TRIM(K125&amp;""))="missing"),"Missing/",IFERROR(IF(VALUE(K125)&lt;0,"Invalid","Valid"),"Check Format"))</f>
        <v>Valid</v>
      </c>
      <c r="W125" t="str">
        <f>IF(OR(E125="",F125=""),"Missing Date/Time",IFERROR(IF(F125&gt;E125,"Arrival After Appointment","OK"),"Check Format"))</f>
        <v>OK</v>
      </c>
      <c r="X125" t="str">
        <f>IF(OR(F125="",G125=""),"Missing Date/Time",IFERROR(IF(G125&lt;F125,"Discharge Before Arrival","OK"),"Check Format"))</f>
        <v>OK</v>
      </c>
    </row>
    <row r="126" spans="1:24" x14ac:dyDescent="0.25">
      <c r="A126" s="2" t="s">
        <v>334</v>
      </c>
      <c r="B126" s="2" t="s">
        <v>335</v>
      </c>
      <c r="C126" s="3" t="s">
        <v>94</v>
      </c>
      <c r="D126" s="3" t="s">
        <v>23</v>
      </c>
      <c r="E126" s="4">
        <v>45965.756944444445</v>
      </c>
      <c r="F126" s="4">
        <v>45965.749305555553</v>
      </c>
      <c r="G126" s="4">
        <v>45965.824305555558</v>
      </c>
      <c r="H126" s="5">
        <v>33</v>
      </c>
      <c r="I126" s="3" t="s">
        <v>39</v>
      </c>
      <c r="J126" s="3" t="s">
        <v>62</v>
      </c>
      <c r="K126" s="5">
        <v>65</v>
      </c>
      <c r="L126" s="5">
        <v>32</v>
      </c>
      <c r="M126" s="3" t="s">
        <v>68</v>
      </c>
      <c r="N126" t="s">
        <v>103</v>
      </c>
      <c r="Q126" s="2">
        <v>152.81</v>
      </c>
      <c r="R126" s="3" t="s">
        <v>26</v>
      </c>
      <c r="S126">
        <f>COUNTIF(A:A,A126)</f>
        <v>1</v>
      </c>
      <c r="T126" t="str">
        <f>IF(OR(H126="",LOWER(TRIM(H126&amp;""))="missing",LOWER(TRIM(H126&amp;""))=""),"Missing/",IFERROR(IF(OR(VALUE(H126)&lt;0,VALUE(H126)&gt;110),"Invalid","Valid"),"Check Format"))</f>
        <v>Valid</v>
      </c>
      <c r="U126">
        <f>IF(Raw_Data[[#This Row],[Age_Check]]="Valid",H126,"")</f>
        <v>33</v>
      </c>
      <c r="V126" t="str">
        <f>IF(OR(K126="",UPPER(TRIM(K126&amp;""))="",LOWER(TRIM(K126&amp;""))="",LOWER(TRIM(K126&amp;""))="",LOWER(TRIM(K126&amp;""))="missing"),"Missing/",IFERROR(IF(VALUE(K126)&lt;0,"Invalid","Valid"),"Check Format"))</f>
        <v>Valid</v>
      </c>
      <c r="W126" t="str">
        <f>IF(OR(E126="",F126=""),"Missing Date/Time",IFERROR(IF(F126&gt;E126,"Arrival After Appointment","OK"),"Check Format"))</f>
        <v>OK</v>
      </c>
      <c r="X126" t="str">
        <f>IF(OR(F126="",G126=""),"Missing Date/Time",IFERROR(IF(G126&lt;F126,"Discharge Before Arrival","OK"),"Check Format"))</f>
        <v>OK</v>
      </c>
    </row>
    <row r="127" spans="1:24" x14ac:dyDescent="0.25">
      <c r="A127" s="2" t="s">
        <v>336</v>
      </c>
      <c r="B127" s="2" t="s">
        <v>337</v>
      </c>
      <c r="C127" s="3" t="s">
        <v>94</v>
      </c>
      <c r="D127" s="3" t="s">
        <v>30</v>
      </c>
      <c r="E127" s="4">
        <v>45370.607638888891</v>
      </c>
      <c r="F127" s="4">
        <v>45370.602083333331</v>
      </c>
      <c r="G127" s="4">
        <v>45370.650694444441</v>
      </c>
      <c r="I127" s="3" t="s">
        <v>73</v>
      </c>
      <c r="K127" s="5">
        <v>30</v>
      </c>
      <c r="L127" s="5">
        <v>32</v>
      </c>
      <c r="M127" s="3" t="s">
        <v>50</v>
      </c>
      <c r="O127" s="5">
        <v>1</v>
      </c>
      <c r="P127" s="3" t="s">
        <v>80</v>
      </c>
      <c r="R127" s="3" t="s">
        <v>75</v>
      </c>
      <c r="S127">
        <f>COUNTIF(A:A,A127)</f>
        <v>1</v>
      </c>
      <c r="T127" t="str">
        <f>IF(OR(H127="",LOWER(TRIM(H127&amp;""))="missing",LOWER(TRIM(H127&amp;""))=""),"Missing/",IFERROR(IF(OR(VALUE(H127)&lt;0,VALUE(H127)&gt;110),"Invalid","Valid"),"Check Format"))</f>
        <v>Missing/</v>
      </c>
      <c r="U127" t="str">
        <f>IF(Raw_Data[[#This Row],[Age_Check]]="Valid",H127,"")</f>
        <v/>
      </c>
      <c r="V127" t="str">
        <f>IF(OR(K127="",UPPER(TRIM(K127&amp;""))="",LOWER(TRIM(K127&amp;""))="",LOWER(TRIM(K127&amp;""))="",LOWER(TRIM(K127&amp;""))="missing"),"Missing/",IFERROR(IF(VALUE(K127)&lt;0,"Invalid","Valid"),"Check Format"))</f>
        <v>Valid</v>
      </c>
      <c r="W127" t="str">
        <f>IF(OR(E127="",F127=""),"Missing Date/Time",IFERROR(IF(F127&gt;E127,"Arrival After Appointment","OK"),"Check Format"))</f>
        <v>OK</v>
      </c>
      <c r="X127" t="str">
        <f>IF(OR(F127="",G127=""),"Missing Date/Time",IFERROR(IF(G127&lt;F127,"Discharge Before Arrival","OK"),"Check Format"))</f>
        <v>OK</v>
      </c>
    </row>
    <row r="128" spans="1:24" x14ac:dyDescent="0.25">
      <c r="A128" s="2" t="s">
        <v>338</v>
      </c>
      <c r="B128" s="2" t="s">
        <v>339</v>
      </c>
      <c r="C128" s="3" t="s">
        <v>29</v>
      </c>
      <c r="D128" s="3" t="s">
        <v>20</v>
      </c>
      <c r="E128" s="4">
        <v>45445.663194444445</v>
      </c>
      <c r="F128" s="4">
        <v>45328.661805555559</v>
      </c>
      <c r="G128" s="4">
        <v>45328.755555555559</v>
      </c>
      <c r="I128" s="3" t="s">
        <v>95</v>
      </c>
      <c r="J128" s="3" t="s">
        <v>67</v>
      </c>
      <c r="K128" s="5">
        <v>75</v>
      </c>
      <c r="L128" s="5">
        <v>58</v>
      </c>
      <c r="M128" s="3" t="s">
        <v>68</v>
      </c>
      <c r="N128" t="s">
        <v>24</v>
      </c>
      <c r="O128" s="5">
        <v>0</v>
      </c>
      <c r="P128" s="3" t="s">
        <v>25</v>
      </c>
      <c r="Q128" s="2">
        <v>221.74</v>
      </c>
      <c r="R128" s="3" t="s">
        <v>75</v>
      </c>
      <c r="S128">
        <f>COUNTIF(A:A,A128)</f>
        <v>1</v>
      </c>
      <c r="T128" t="str">
        <f>IF(OR(H128="",LOWER(TRIM(H128&amp;""))="missing",LOWER(TRIM(H128&amp;""))=""),"Missing/",IFERROR(IF(OR(VALUE(H128)&lt;0,VALUE(H128)&gt;110),"Invalid","Valid"),"Check Format"))</f>
        <v>Missing/</v>
      </c>
      <c r="U128" t="str">
        <f>IF(Raw_Data[[#This Row],[Age_Check]]="Valid",H128,"")</f>
        <v/>
      </c>
      <c r="V128" t="str">
        <f>IF(OR(K128="",UPPER(TRIM(K128&amp;""))="",LOWER(TRIM(K128&amp;""))="",LOWER(TRIM(K128&amp;""))="",LOWER(TRIM(K128&amp;""))="missing"),"Missing/",IFERROR(IF(VALUE(K128)&lt;0,"Invalid","Valid"),"Check Format"))</f>
        <v>Valid</v>
      </c>
      <c r="W128" t="str">
        <f>IF(OR(E128="",F128=""),"Missing Date/Time",IFERROR(IF(F128&gt;E128,"Arrival After Appointment","OK"),"Check Format"))</f>
        <v>OK</v>
      </c>
      <c r="X128" t="str">
        <f>IF(OR(F128="",G128=""),"Missing Date/Time",IFERROR(IF(G128&lt;F128,"Discharge Before Arrival","OK"),"Check Format"))</f>
        <v>OK</v>
      </c>
    </row>
    <row r="129" spans="1:24" x14ac:dyDescent="0.25">
      <c r="A129" s="2" t="s">
        <v>340</v>
      </c>
      <c r="B129" s="2" t="s">
        <v>341</v>
      </c>
      <c r="C129" s="3" t="s">
        <v>37</v>
      </c>
      <c r="D129" s="3" t="s">
        <v>61</v>
      </c>
      <c r="E129" s="4">
        <v>45995.309027777781</v>
      </c>
      <c r="F129" s="4">
        <v>45759.296527777777</v>
      </c>
      <c r="G129" s="4">
        <v>45759.413888888892</v>
      </c>
      <c r="H129" s="5">
        <v>145</v>
      </c>
      <c r="I129" s="3" t="s">
        <v>73</v>
      </c>
      <c r="J129" s="3" t="s">
        <v>2639</v>
      </c>
      <c r="K129" s="5">
        <v>133</v>
      </c>
      <c r="M129" s="3" t="s">
        <v>68</v>
      </c>
      <c r="N129" t="s">
        <v>74</v>
      </c>
      <c r="O129" s="5">
        <v>1</v>
      </c>
      <c r="P129" s="3" t="s">
        <v>25</v>
      </c>
      <c r="Q129" s="2">
        <v>214.79</v>
      </c>
      <c r="R129" s="3" t="s">
        <v>58</v>
      </c>
      <c r="S129">
        <f>COUNTIF(A:A,A129)</f>
        <v>1</v>
      </c>
      <c r="T129" t="str">
        <f>IF(OR(H129="",LOWER(TRIM(H129&amp;""))="missing",LOWER(TRIM(H129&amp;""))=""),"Missing/",IFERROR(IF(OR(VALUE(H129)&lt;0,VALUE(H129)&gt;110),"Invalid","Valid"),"Check Format"))</f>
        <v>Invalid</v>
      </c>
      <c r="U129" t="str">
        <f>IF(Raw_Data[[#This Row],[Age_Check]]="Valid",H129,"")</f>
        <v/>
      </c>
      <c r="V129" t="str">
        <f>IF(OR(K129="",UPPER(TRIM(K129&amp;""))="",LOWER(TRIM(K129&amp;""))="",LOWER(TRIM(K129&amp;""))="",LOWER(TRIM(K129&amp;""))="missing"),"Missing/",IFERROR(IF(VALUE(K129)&lt;0,"Invalid","Valid"),"Check Format"))</f>
        <v>Valid</v>
      </c>
      <c r="W129" t="str">
        <f>IF(OR(E129="",F129=""),"Missing Date/Time",IFERROR(IF(F129&gt;E129,"Arrival After Appointment","OK"),"Check Format"))</f>
        <v>OK</v>
      </c>
      <c r="X129" t="str">
        <f>IF(OR(F129="",G129=""),"Missing Date/Time",IFERROR(IF(G129&lt;F129,"Discharge Before Arrival","OK"),"Check Format"))</f>
        <v>OK</v>
      </c>
    </row>
    <row r="130" spans="1:24" x14ac:dyDescent="0.25">
      <c r="A130" s="2" t="s">
        <v>342</v>
      </c>
      <c r="B130" s="2" t="s">
        <v>343</v>
      </c>
      <c r="C130" s="3" t="s">
        <v>94</v>
      </c>
      <c r="D130" s="3" t="s">
        <v>20</v>
      </c>
      <c r="E130" s="4">
        <v>45606.34375</v>
      </c>
      <c r="F130" s="4">
        <v>45606.342361111114</v>
      </c>
      <c r="I130" s="3" t="s">
        <v>39</v>
      </c>
      <c r="K130" s="5">
        <v>64</v>
      </c>
      <c r="L130" s="5">
        <v>71</v>
      </c>
      <c r="M130" s="3" t="s">
        <v>32</v>
      </c>
      <c r="N130" t="s">
        <v>100</v>
      </c>
      <c r="O130" s="5">
        <v>6</v>
      </c>
      <c r="P130" s="3" t="s">
        <v>80</v>
      </c>
      <c r="Q130" s="2">
        <v>80.34</v>
      </c>
      <c r="R130" s="3" t="s">
        <v>58</v>
      </c>
      <c r="S130">
        <f>COUNTIF(A:A,A130)</f>
        <v>1</v>
      </c>
      <c r="T130" t="str">
        <f>IF(OR(H130="",LOWER(TRIM(H130&amp;""))="missing",LOWER(TRIM(H130&amp;""))=""),"Missing/",IFERROR(IF(OR(VALUE(H130)&lt;0,VALUE(H130)&gt;110),"Invalid","Valid"),"Check Format"))</f>
        <v>Missing/</v>
      </c>
      <c r="U130" t="str">
        <f>IF(Raw_Data[[#This Row],[Age_Check]]="Valid",H130,"")</f>
        <v/>
      </c>
      <c r="V130" t="str">
        <f>IF(OR(K130="",UPPER(TRIM(K130&amp;""))="",LOWER(TRIM(K130&amp;""))="",LOWER(TRIM(K130&amp;""))="",LOWER(TRIM(K130&amp;""))="missing"),"Missing/",IFERROR(IF(VALUE(K130)&lt;0,"Invalid","Valid"),"Check Format"))</f>
        <v>Valid</v>
      </c>
      <c r="W130" t="str">
        <f>IF(OR(E130="",F130=""),"Missing Date/Time",IFERROR(IF(F130&gt;E130,"Arrival After Appointment","OK"),"Check Format"))</f>
        <v>OK</v>
      </c>
      <c r="X130" t="str">
        <f>IF(OR(F130="",G130=""),"Missing Date/Time",IFERROR(IF(G130&lt;F130,"Discharge Before Arrival","OK"),"Check Format"))</f>
        <v>Missing Date/Time</v>
      </c>
    </row>
    <row r="131" spans="1:24" x14ac:dyDescent="0.25">
      <c r="A131" s="2" t="s">
        <v>344</v>
      </c>
      <c r="B131" s="2" t="s">
        <v>345</v>
      </c>
      <c r="C131" s="3" t="s">
        <v>29</v>
      </c>
      <c r="D131" s="3" t="s">
        <v>106</v>
      </c>
      <c r="E131" s="4" t="s">
        <v>346</v>
      </c>
      <c r="F131" s="4">
        <v>45425.425000000003</v>
      </c>
      <c r="G131" s="4">
        <v>45425.464583333334</v>
      </c>
      <c r="H131" s="5">
        <v>145</v>
      </c>
      <c r="I131" s="3" t="s">
        <v>73</v>
      </c>
      <c r="J131" s="3" t="s">
        <v>22</v>
      </c>
      <c r="K131" s="5">
        <v>28</v>
      </c>
      <c r="L131" s="5">
        <v>21</v>
      </c>
      <c r="M131" s="3" t="s">
        <v>68</v>
      </c>
      <c r="N131" t="s">
        <v>100</v>
      </c>
      <c r="O131" s="5">
        <v>0</v>
      </c>
      <c r="P131" s="3" t="s">
        <v>25</v>
      </c>
      <c r="Q131" s="2">
        <v>0</v>
      </c>
      <c r="R131" s="3" t="s">
        <v>26</v>
      </c>
      <c r="S131">
        <f>COUNTIF(A:A,A131)</f>
        <v>1</v>
      </c>
      <c r="T131" t="str">
        <f>IF(OR(H131="",LOWER(TRIM(H131&amp;""))="missing",LOWER(TRIM(H131&amp;""))=""),"Missing/",IFERROR(IF(OR(VALUE(H131)&lt;0,VALUE(H131)&gt;110),"Invalid","Valid"),"Check Format"))</f>
        <v>Invalid</v>
      </c>
      <c r="U131" t="str">
        <f>IF(Raw_Data[[#This Row],[Age_Check]]="Valid",H131,"")</f>
        <v/>
      </c>
      <c r="V131" t="str">
        <f>IF(OR(K131="",UPPER(TRIM(K131&amp;""))="",LOWER(TRIM(K131&amp;""))="",LOWER(TRIM(K131&amp;""))="",LOWER(TRIM(K131&amp;""))="missing"),"Missing/",IFERROR(IF(VALUE(K131)&lt;0,"Invalid","Valid"),"Check Format"))</f>
        <v>Valid</v>
      </c>
      <c r="W131" t="str">
        <f>IF(OR(E131="",F131=""),"Missing Date/Time",IFERROR(IF(F131&gt;E131,"Arrival After Appointment","OK"),"Check Format"))</f>
        <v>OK</v>
      </c>
      <c r="X131" t="str">
        <f>IF(OR(F131="",G131=""),"Missing Date/Time",IFERROR(IF(G131&lt;F131,"Discharge Before Arrival","OK"),"Check Format"))</f>
        <v>OK</v>
      </c>
    </row>
    <row r="132" spans="1:24" x14ac:dyDescent="0.25">
      <c r="A132" s="2" t="s">
        <v>347</v>
      </c>
      <c r="B132" s="2" t="s">
        <v>348</v>
      </c>
      <c r="C132" s="3" t="s">
        <v>46</v>
      </c>
      <c r="D132" s="3" t="s">
        <v>55</v>
      </c>
      <c r="E132" s="4" t="s">
        <v>349</v>
      </c>
      <c r="F132" s="4">
        <v>45766.443055555559</v>
      </c>
      <c r="G132" s="4">
        <v>45766.501388888886</v>
      </c>
      <c r="H132" s="5">
        <v>91</v>
      </c>
      <c r="I132" s="3" t="s">
        <v>39</v>
      </c>
      <c r="J132" s="3" t="s">
        <v>62</v>
      </c>
      <c r="K132" s="5">
        <v>39</v>
      </c>
      <c r="L132" s="5">
        <v>18</v>
      </c>
      <c r="Q132" s="2">
        <v>157.03</v>
      </c>
      <c r="R132" s="3" t="s">
        <v>58</v>
      </c>
      <c r="S132">
        <f>COUNTIF(A:A,A132)</f>
        <v>1</v>
      </c>
      <c r="T132" t="str">
        <f>IF(OR(H132="",LOWER(TRIM(H132&amp;""))="missing",LOWER(TRIM(H132&amp;""))=""),"Missing/",IFERROR(IF(OR(VALUE(H132)&lt;0,VALUE(H132)&gt;110),"Invalid","Valid"),"Check Format"))</f>
        <v>Valid</v>
      </c>
      <c r="U132">
        <f>IF(Raw_Data[[#This Row],[Age_Check]]="Valid",H132,"")</f>
        <v>91</v>
      </c>
      <c r="V132" t="str">
        <f>IF(OR(K132="",UPPER(TRIM(K132&amp;""))="",LOWER(TRIM(K132&amp;""))="",LOWER(TRIM(K132&amp;""))="",LOWER(TRIM(K132&amp;""))="missing"),"Missing/",IFERROR(IF(VALUE(K132)&lt;0,"Invalid","Valid"),"Check Format"))</f>
        <v>Valid</v>
      </c>
      <c r="W132" t="str">
        <f>IF(OR(E132="",F132=""),"Missing Date/Time",IFERROR(IF(F132&gt;E132,"Arrival After Appointment","OK"),"Check Format"))</f>
        <v>OK</v>
      </c>
      <c r="X132" t="str">
        <f>IF(OR(F132="",G132=""),"Missing Date/Time",IFERROR(IF(G132&lt;F132,"Discharge Before Arrival","OK"),"Check Format"))</f>
        <v>OK</v>
      </c>
    </row>
    <row r="133" spans="1:24" x14ac:dyDescent="0.25">
      <c r="A133" s="2" t="s">
        <v>350</v>
      </c>
      <c r="B133" s="2" t="s">
        <v>351</v>
      </c>
      <c r="C133" s="3" t="s">
        <v>46</v>
      </c>
      <c r="D133" s="3" t="s">
        <v>66</v>
      </c>
      <c r="E133" s="4">
        <v>45855.420138888891</v>
      </c>
      <c r="F133" s="4">
        <v>45855.415277777778</v>
      </c>
      <c r="G133" s="4">
        <v>45855.513194444444</v>
      </c>
      <c r="I133" s="3" t="s">
        <v>73</v>
      </c>
      <c r="J133" s="3" t="s">
        <v>62</v>
      </c>
      <c r="K133" s="5">
        <v>69</v>
      </c>
      <c r="L133" s="5">
        <v>65</v>
      </c>
      <c r="M133" s="3" t="s">
        <v>63</v>
      </c>
      <c r="N133" t="s">
        <v>100</v>
      </c>
      <c r="O133" s="5">
        <v>1</v>
      </c>
      <c r="P133" s="3" t="s">
        <v>42</v>
      </c>
      <c r="Q133" s="2">
        <v>221.03</v>
      </c>
      <c r="R133" s="3" t="s">
        <v>43</v>
      </c>
      <c r="S133">
        <f>COUNTIF(A:A,A133)</f>
        <v>1</v>
      </c>
      <c r="T133" t="str">
        <f>IF(OR(H133="",LOWER(TRIM(H133&amp;""))="missing",LOWER(TRIM(H133&amp;""))=""),"Missing/",IFERROR(IF(OR(VALUE(H133)&lt;0,VALUE(H133)&gt;110),"Invalid","Valid"),"Check Format"))</f>
        <v>Missing/</v>
      </c>
      <c r="U133" t="str">
        <f>IF(Raw_Data[[#This Row],[Age_Check]]="Valid",H133,"")</f>
        <v/>
      </c>
      <c r="V133" t="str">
        <f>IF(OR(K133="",UPPER(TRIM(K133&amp;""))="",LOWER(TRIM(K133&amp;""))="",LOWER(TRIM(K133&amp;""))="",LOWER(TRIM(K133&amp;""))="missing"),"Missing/",IFERROR(IF(VALUE(K133)&lt;0,"Invalid","Valid"),"Check Format"))</f>
        <v>Valid</v>
      </c>
      <c r="W133" t="str">
        <f>IF(OR(E133="",F133=""),"Missing Date/Time",IFERROR(IF(F133&gt;E133,"Arrival After Appointment","OK"),"Check Format"))</f>
        <v>OK</v>
      </c>
      <c r="X133" t="str">
        <f>IF(OR(F133="",G133=""),"Missing Date/Time",IFERROR(IF(G133&lt;F133,"Discharge Before Arrival","OK"),"Check Format"))</f>
        <v>OK</v>
      </c>
    </row>
    <row r="134" spans="1:24" x14ac:dyDescent="0.25">
      <c r="A134" s="2" t="s">
        <v>352</v>
      </c>
      <c r="B134" s="2" t="s">
        <v>353</v>
      </c>
      <c r="D134" s="3" t="s">
        <v>55</v>
      </c>
      <c r="E134" s="4">
        <v>45417.315972222219</v>
      </c>
      <c r="G134" s="4">
        <v>45417.352083333331</v>
      </c>
      <c r="H134" s="5">
        <v>45</v>
      </c>
      <c r="I134" s="3" t="s">
        <v>95</v>
      </c>
      <c r="J134" s="3" t="s">
        <v>67</v>
      </c>
      <c r="K134" s="5">
        <v>37</v>
      </c>
      <c r="L134" s="5">
        <v>15</v>
      </c>
      <c r="M134" s="3" t="s">
        <v>63</v>
      </c>
      <c r="N134" t="s">
        <v>103</v>
      </c>
      <c r="O134" s="5">
        <v>4</v>
      </c>
      <c r="P134" s="3" t="s">
        <v>25</v>
      </c>
      <c r="Q134" s="2">
        <v>184.35</v>
      </c>
      <c r="R134" s="3" t="s">
        <v>43</v>
      </c>
      <c r="S134">
        <f>COUNTIF(A:A,A134)</f>
        <v>1</v>
      </c>
      <c r="T134" t="str">
        <f>IF(OR(H134="",LOWER(TRIM(H134&amp;""))="missing",LOWER(TRIM(H134&amp;""))=""),"Missing/",IFERROR(IF(OR(VALUE(H134)&lt;0,VALUE(H134)&gt;110),"Invalid","Valid"),"Check Format"))</f>
        <v>Valid</v>
      </c>
      <c r="U134">
        <f>IF(Raw_Data[[#This Row],[Age_Check]]="Valid",H134,"")</f>
        <v>45</v>
      </c>
      <c r="V134" t="str">
        <f>IF(OR(K134="",UPPER(TRIM(K134&amp;""))="",LOWER(TRIM(K134&amp;""))="",LOWER(TRIM(K134&amp;""))="",LOWER(TRIM(K134&amp;""))="missing"),"Missing/",IFERROR(IF(VALUE(K134)&lt;0,"Invalid","Valid"),"Check Format"))</f>
        <v>Valid</v>
      </c>
      <c r="W134" t="str">
        <f>IF(OR(E134="",F134=""),"Missing Date/Time",IFERROR(IF(F134&gt;E134,"Arrival After Appointment","OK"),"Check Format"))</f>
        <v>Missing Date/Time</v>
      </c>
      <c r="X134" t="str">
        <f>IF(OR(F134="",G134=""),"Missing Date/Time",IFERROR(IF(G134&lt;F134,"Discharge Before Arrival","OK"),"Check Format"))</f>
        <v>Missing Date/Time</v>
      </c>
    </row>
    <row r="135" spans="1:24" x14ac:dyDescent="0.25">
      <c r="A135" s="2" t="s">
        <v>354</v>
      </c>
      <c r="B135" s="2" t="s">
        <v>355</v>
      </c>
      <c r="C135" s="3" t="s">
        <v>37</v>
      </c>
      <c r="D135" s="3" t="s">
        <v>72</v>
      </c>
      <c r="E135" s="4">
        <v>45782.295138888891</v>
      </c>
      <c r="F135" s="4">
        <v>45782.277777777781</v>
      </c>
      <c r="G135" s="4">
        <v>45782.347222222219</v>
      </c>
      <c r="I135" s="3" t="s">
        <v>39</v>
      </c>
      <c r="J135" s="3" t="s">
        <v>22</v>
      </c>
      <c r="K135" s="5">
        <v>11</v>
      </c>
      <c r="L135" s="5">
        <v>64</v>
      </c>
      <c r="M135" s="3" t="s">
        <v>32</v>
      </c>
      <c r="O135" s="5">
        <v>6</v>
      </c>
      <c r="P135" s="3" t="s">
        <v>25</v>
      </c>
      <c r="Q135" s="2">
        <v>239.36</v>
      </c>
      <c r="R135" s="3" t="s">
        <v>75</v>
      </c>
      <c r="S135">
        <f>COUNTIF(A:A,A135)</f>
        <v>1</v>
      </c>
      <c r="T135" t="str">
        <f>IF(OR(H135="",LOWER(TRIM(H135&amp;""))="missing",LOWER(TRIM(H135&amp;""))=""),"Missing/",IFERROR(IF(OR(VALUE(H135)&lt;0,VALUE(H135)&gt;110),"Invalid","Valid"),"Check Format"))</f>
        <v>Missing/</v>
      </c>
      <c r="U135" t="str">
        <f>IF(Raw_Data[[#This Row],[Age_Check]]="Valid",H135,"")</f>
        <v/>
      </c>
      <c r="V135" t="str">
        <f>IF(OR(K135="",UPPER(TRIM(K135&amp;""))="",LOWER(TRIM(K135&amp;""))="",LOWER(TRIM(K135&amp;""))="",LOWER(TRIM(K135&amp;""))="missing"),"Missing/",IFERROR(IF(VALUE(K135)&lt;0,"Invalid","Valid"),"Check Format"))</f>
        <v>Valid</v>
      </c>
      <c r="W135" t="str">
        <f>IF(OR(E135="",F135=""),"Missing Date/Time",IFERROR(IF(F135&gt;E135,"Arrival After Appointment","OK"),"Check Format"))</f>
        <v>OK</v>
      </c>
      <c r="X135" t="str">
        <f>IF(OR(F135="",G135=""),"Missing Date/Time",IFERROR(IF(G135&lt;F135,"Discharge Before Arrival","OK"),"Check Format"))</f>
        <v>OK</v>
      </c>
    </row>
    <row r="136" spans="1:24" x14ac:dyDescent="0.25">
      <c r="A136" s="2" t="s">
        <v>356</v>
      </c>
      <c r="B136" s="2" t="s">
        <v>357</v>
      </c>
      <c r="C136" s="3" t="s">
        <v>37</v>
      </c>
      <c r="D136" s="3" t="s">
        <v>30</v>
      </c>
      <c r="E136" s="4">
        <v>45579.315972222219</v>
      </c>
      <c r="F136" s="4">
        <v>45579.310416666667</v>
      </c>
      <c r="G136" s="4">
        <v>45579.347916666666</v>
      </c>
      <c r="H136" s="5">
        <v>7</v>
      </c>
      <c r="K136" s="5">
        <v>41</v>
      </c>
      <c r="L136" s="5">
        <v>5</v>
      </c>
      <c r="N136" t="s">
        <v>91</v>
      </c>
      <c r="O136" s="5">
        <v>2</v>
      </c>
      <c r="P136" s="3" t="s">
        <v>25</v>
      </c>
      <c r="Q136" s="2">
        <v>253.31</v>
      </c>
      <c r="R136" s="3" t="s">
        <v>75</v>
      </c>
      <c r="S136">
        <f>COUNTIF(A:A,A136)</f>
        <v>1</v>
      </c>
      <c r="T136" t="str">
        <f>IF(OR(H136="",LOWER(TRIM(H136&amp;""))="missing",LOWER(TRIM(H136&amp;""))=""),"Missing/",IFERROR(IF(OR(VALUE(H136)&lt;0,VALUE(H136)&gt;110),"Invalid","Valid"),"Check Format"))</f>
        <v>Valid</v>
      </c>
      <c r="U136">
        <f>IF(Raw_Data[[#This Row],[Age_Check]]="Valid",H136,"")</f>
        <v>7</v>
      </c>
      <c r="V136" t="str">
        <f>IF(OR(K136="",UPPER(TRIM(K136&amp;""))="",LOWER(TRIM(K136&amp;""))="",LOWER(TRIM(K136&amp;""))="",LOWER(TRIM(K136&amp;""))="missing"),"Missing/",IFERROR(IF(VALUE(K136)&lt;0,"Invalid","Valid"),"Check Format"))</f>
        <v>Valid</v>
      </c>
      <c r="W136" t="str">
        <f>IF(OR(E136="",F136=""),"Missing Date/Time",IFERROR(IF(F136&gt;E136,"Arrival After Appointment","OK"),"Check Format"))</f>
        <v>OK</v>
      </c>
      <c r="X136" t="str">
        <f>IF(OR(F136="",G136=""),"Missing Date/Time",IFERROR(IF(G136&lt;F136,"Discharge Before Arrival","OK"),"Check Format"))</f>
        <v>OK</v>
      </c>
    </row>
    <row r="137" spans="1:24" x14ac:dyDescent="0.25">
      <c r="A137" s="2" t="s">
        <v>358</v>
      </c>
      <c r="B137" s="2" t="s">
        <v>359</v>
      </c>
      <c r="C137" s="3" t="s">
        <v>94</v>
      </c>
      <c r="D137" s="3" t="s">
        <v>106</v>
      </c>
      <c r="E137" s="4">
        <v>45873.673611111109</v>
      </c>
      <c r="F137" s="4">
        <v>45873.672222222223</v>
      </c>
      <c r="H137" s="5">
        <v>77</v>
      </c>
      <c r="J137" s="3" t="s">
        <v>2639</v>
      </c>
      <c r="K137" s="5">
        <v>53</v>
      </c>
      <c r="L137" s="5">
        <v>54</v>
      </c>
      <c r="M137" s="3" t="s">
        <v>32</v>
      </c>
      <c r="N137" t="s">
        <v>74</v>
      </c>
      <c r="O137" s="5">
        <v>5</v>
      </c>
      <c r="Q137" s="2">
        <v>17.45</v>
      </c>
      <c r="R137" s="3" t="s">
        <v>43</v>
      </c>
      <c r="S137">
        <f>COUNTIF(A:A,A137)</f>
        <v>1</v>
      </c>
      <c r="T137" t="str">
        <f>IF(OR(H137="",LOWER(TRIM(H137&amp;""))="missing",LOWER(TRIM(H137&amp;""))=""),"Missing/",IFERROR(IF(OR(VALUE(H137)&lt;0,VALUE(H137)&gt;110),"Invalid","Valid"),"Check Format"))</f>
        <v>Valid</v>
      </c>
      <c r="U137">
        <f>IF(Raw_Data[[#This Row],[Age_Check]]="Valid",H137,"")</f>
        <v>77</v>
      </c>
      <c r="V137" t="str">
        <f>IF(OR(K137="",UPPER(TRIM(K137&amp;""))="",LOWER(TRIM(K137&amp;""))="",LOWER(TRIM(K137&amp;""))="",LOWER(TRIM(K137&amp;""))="missing"),"Missing/",IFERROR(IF(VALUE(K137)&lt;0,"Invalid","Valid"),"Check Format"))</f>
        <v>Valid</v>
      </c>
      <c r="W137" t="str">
        <f>IF(OR(E137="",F137=""),"Missing Date/Time",IFERROR(IF(F137&gt;E137,"Arrival After Appointment","OK"),"Check Format"))</f>
        <v>OK</v>
      </c>
      <c r="X137" t="str">
        <f>IF(OR(F137="",G137=""),"Missing Date/Time",IFERROR(IF(G137&lt;F137,"Discharge Before Arrival","OK"),"Check Format"))</f>
        <v>Missing Date/Time</v>
      </c>
    </row>
    <row r="138" spans="1:24" x14ac:dyDescent="0.25">
      <c r="A138" s="2" t="s">
        <v>360</v>
      </c>
      <c r="B138" s="2" t="s">
        <v>324</v>
      </c>
      <c r="C138" s="3" t="s">
        <v>29</v>
      </c>
      <c r="D138" s="3" t="s">
        <v>38</v>
      </c>
      <c r="E138" s="4">
        <v>45314.40625</v>
      </c>
      <c r="F138" s="4">
        <v>45314.398611111108</v>
      </c>
      <c r="G138" s="4">
        <v>45314.45416666667</v>
      </c>
      <c r="H138" s="5">
        <v>145</v>
      </c>
      <c r="I138" s="3" t="s">
        <v>73</v>
      </c>
      <c r="J138" s="3" t="s">
        <v>171</v>
      </c>
      <c r="K138" s="5">
        <v>37</v>
      </c>
      <c r="L138" s="5">
        <v>32</v>
      </c>
      <c r="M138" s="3" t="s">
        <v>41</v>
      </c>
      <c r="N138" t="s">
        <v>103</v>
      </c>
      <c r="O138" s="5">
        <v>2</v>
      </c>
      <c r="P138" s="3" t="s">
        <v>42</v>
      </c>
      <c r="Q138" s="2">
        <v>148.76</v>
      </c>
      <c r="R138" s="3" t="s">
        <v>58</v>
      </c>
      <c r="S138">
        <f>COUNTIF(A:A,A138)</f>
        <v>1</v>
      </c>
      <c r="T138" t="str">
        <f>IF(OR(H138="",LOWER(TRIM(H138&amp;""))="missing",LOWER(TRIM(H138&amp;""))=""),"Missing/",IFERROR(IF(OR(VALUE(H138)&lt;0,VALUE(H138)&gt;110),"Invalid","Valid"),"Check Format"))</f>
        <v>Invalid</v>
      </c>
      <c r="U138" t="str">
        <f>IF(Raw_Data[[#This Row],[Age_Check]]="Valid",H138,"")</f>
        <v/>
      </c>
      <c r="V138" t="str">
        <f>IF(OR(K138="",UPPER(TRIM(K138&amp;""))="",LOWER(TRIM(K138&amp;""))="",LOWER(TRIM(K138&amp;""))="",LOWER(TRIM(K138&amp;""))="missing"),"Missing/",IFERROR(IF(VALUE(K138)&lt;0,"Invalid","Valid"),"Check Format"))</f>
        <v>Valid</v>
      </c>
      <c r="W138" t="str">
        <f>IF(OR(E138="",F138=""),"Missing Date/Time",IFERROR(IF(F138&gt;E138,"Arrival After Appointment","OK"),"Check Format"))</f>
        <v>OK</v>
      </c>
      <c r="X138" t="str">
        <f>IF(OR(F138="",G138=""),"Missing Date/Time",IFERROR(IF(G138&lt;F138,"Discharge Before Arrival","OK"),"Check Format"))</f>
        <v>OK</v>
      </c>
    </row>
    <row r="139" spans="1:24" x14ac:dyDescent="0.25">
      <c r="A139" s="2" t="s">
        <v>361</v>
      </c>
      <c r="B139" s="2" t="s">
        <v>362</v>
      </c>
      <c r="C139" s="3" t="s">
        <v>46</v>
      </c>
      <c r="D139" s="3" t="s">
        <v>47</v>
      </c>
      <c r="E139" s="4">
        <v>46002.684027777781</v>
      </c>
      <c r="F139" s="4">
        <v>46002.668055555558</v>
      </c>
      <c r="J139" s="3" t="s">
        <v>2639</v>
      </c>
      <c r="K139" s="5">
        <v>42</v>
      </c>
      <c r="L139" s="5">
        <v>43</v>
      </c>
      <c r="M139" s="3" t="s">
        <v>87</v>
      </c>
      <c r="N139" t="s">
        <v>69</v>
      </c>
      <c r="O139" s="5">
        <v>6</v>
      </c>
      <c r="P139" s="3" t="s">
        <v>80</v>
      </c>
      <c r="Q139" s="2">
        <v>59.59</v>
      </c>
      <c r="R139" s="3" t="s">
        <v>58</v>
      </c>
      <c r="S139">
        <f>COUNTIF(A:A,A139)</f>
        <v>1</v>
      </c>
      <c r="T139" t="str">
        <f>IF(OR(H139="",LOWER(TRIM(H139&amp;""))="missing",LOWER(TRIM(H139&amp;""))=""),"Missing/",IFERROR(IF(OR(VALUE(H139)&lt;0,VALUE(H139)&gt;110),"Invalid","Valid"),"Check Format"))</f>
        <v>Missing/</v>
      </c>
      <c r="U139" t="str">
        <f>IF(Raw_Data[[#This Row],[Age_Check]]="Valid",H139,"")</f>
        <v/>
      </c>
      <c r="V139" t="str">
        <f>IF(OR(K139="",UPPER(TRIM(K139&amp;""))="",LOWER(TRIM(K139&amp;""))="",LOWER(TRIM(K139&amp;""))="",LOWER(TRIM(K139&amp;""))="missing"),"Missing/",IFERROR(IF(VALUE(K139)&lt;0,"Invalid","Valid"),"Check Format"))</f>
        <v>Valid</v>
      </c>
      <c r="W139" t="str">
        <f>IF(OR(E139="",F139=""),"Missing Date/Time",IFERROR(IF(F139&gt;E139,"Arrival After Appointment","OK"),"Check Format"))</f>
        <v>OK</v>
      </c>
      <c r="X139" t="str">
        <f>IF(OR(F139="",G139=""),"Missing Date/Time",IFERROR(IF(G139&lt;F139,"Discharge Before Arrival","OK"),"Check Format"))</f>
        <v>Missing Date/Time</v>
      </c>
    </row>
    <row r="140" spans="1:24" x14ac:dyDescent="0.25">
      <c r="A140" s="2" t="s">
        <v>363</v>
      </c>
      <c r="B140" s="2" t="s">
        <v>364</v>
      </c>
      <c r="C140" s="3" t="s">
        <v>29</v>
      </c>
      <c r="D140" s="3" t="s">
        <v>47</v>
      </c>
      <c r="E140" s="4">
        <v>45535.517361111109</v>
      </c>
      <c r="F140" s="4">
        <v>45535.511805555558</v>
      </c>
      <c r="G140" s="4">
        <v>45535.577777777777</v>
      </c>
      <c r="I140" s="3" t="s">
        <v>90</v>
      </c>
      <c r="J140" s="3" t="s">
        <v>171</v>
      </c>
      <c r="K140" s="5">
        <v>53</v>
      </c>
      <c r="L140" s="5">
        <v>34</v>
      </c>
      <c r="M140" s="3" t="s">
        <v>23</v>
      </c>
      <c r="N140" t="s">
        <v>74</v>
      </c>
      <c r="O140" s="5">
        <v>0</v>
      </c>
      <c r="P140" s="3" t="s">
        <v>42</v>
      </c>
      <c r="Q140" s="2">
        <v>186.16</v>
      </c>
      <c r="R140" s="3" t="s">
        <v>43</v>
      </c>
      <c r="S140">
        <f>COUNTIF(A:A,A140)</f>
        <v>1</v>
      </c>
      <c r="T140" t="str">
        <f>IF(OR(H140="",LOWER(TRIM(H140&amp;""))="missing",LOWER(TRIM(H140&amp;""))=""),"Missing/",IFERROR(IF(OR(VALUE(H140)&lt;0,VALUE(H140)&gt;110),"Invalid","Valid"),"Check Format"))</f>
        <v>Missing/</v>
      </c>
      <c r="U140" t="str">
        <f>IF(Raw_Data[[#This Row],[Age_Check]]="Valid",H140,"")</f>
        <v/>
      </c>
      <c r="V140" t="str">
        <f>IF(OR(K140="",UPPER(TRIM(K140&amp;""))="",LOWER(TRIM(K140&amp;""))="",LOWER(TRIM(K140&amp;""))="",LOWER(TRIM(K140&amp;""))="missing"),"Missing/",IFERROR(IF(VALUE(K140)&lt;0,"Invalid","Valid"),"Check Format"))</f>
        <v>Valid</v>
      </c>
      <c r="W140" t="str">
        <f>IF(OR(E140="",F140=""),"Missing Date/Time",IFERROR(IF(F140&gt;E140,"Arrival After Appointment","OK"),"Check Format"))</f>
        <v>OK</v>
      </c>
      <c r="X140" t="str">
        <f>IF(OR(F140="",G140=""),"Missing Date/Time",IFERROR(IF(G140&lt;F140,"Discharge Before Arrival","OK"),"Check Format"))</f>
        <v>OK</v>
      </c>
    </row>
    <row r="141" spans="1:24" x14ac:dyDescent="0.25">
      <c r="A141" s="2" t="s">
        <v>365</v>
      </c>
      <c r="B141" s="2" t="s">
        <v>366</v>
      </c>
      <c r="C141" s="3" t="s">
        <v>19</v>
      </c>
      <c r="D141" s="3" t="s">
        <v>38</v>
      </c>
      <c r="E141" s="4">
        <v>45851.545138888891</v>
      </c>
      <c r="F141" s="4">
        <v>45851.544444444444</v>
      </c>
      <c r="G141" s="4">
        <v>45851.609722222223</v>
      </c>
      <c r="H141" s="5">
        <v>40</v>
      </c>
      <c r="I141" s="3" t="s">
        <v>73</v>
      </c>
      <c r="J141" s="3" t="s">
        <v>62</v>
      </c>
      <c r="K141" s="5">
        <v>82</v>
      </c>
      <c r="L141" s="5">
        <v>11</v>
      </c>
      <c r="M141" s="3" t="s">
        <v>41</v>
      </c>
      <c r="N141" t="s">
        <v>69</v>
      </c>
      <c r="P141" s="3" t="s">
        <v>25</v>
      </c>
      <c r="Q141" s="2">
        <v>22.27</v>
      </c>
      <c r="R141" s="3" t="s">
        <v>58</v>
      </c>
      <c r="S141">
        <f>COUNTIF(A:A,A141)</f>
        <v>1</v>
      </c>
      <c r="T141" t="str">
        <f>IF(OR(H141="",LOWER(TRIM(H141&amp;""))="missing",LOWER(TRIM(H141&amp;""))=""),"Missing/",IFERROR(IF(OR(VALUE(H141)&lt;0,VALUE(H141)&gt;110),"Invalid","Valid"),"Check Format"))</f>
        <v>Valid</v>
      </c>
      <c r="U141">
        <f>IF(Raw_Data[[#This Row],[Age_Check]]="Valid",H141,"")</f>
        <v>40</v>
      </c>
      <c r="V141" t="str">
        <f>IF(OR(K141="",UPPER(TRIM(K141&amp;""))="",LOWER(TRIM(K141&amp;""))="",LOWER(TRIM(K141&amp;""))="",LOWER(TRIM(K141&amp;""))="missing"),"Missing/",IFERROR(IF(VALUE(K141)&lt;0,"Invalid","Valid"),"Check Format"))</f>
        <v>Valid</v>
      </c>
      <c r="W141" t="str">
        <f>IF(OR(E141="",F141=""),"Missing Date/Time",IFERROR(IF(F141&gt;E141,"Arrival After Appointment","OK"),"Check Format"))</f>
        <v>OK</v>
      </c>
      <c r="X141" t="str">
        <f>IF(OR(F141="",G141=""),"Missing Date/Time",IFERROR(IF(G141&lt;F141,"Discharge Before Arrival","OK"),"Check Format"))</f>
        <v>OK</v>
      </c>
    </row>
    <row r="142" spans="1:24" x14ac:dyDescent="0.25">
      <c r="A142" s="2" t="s">
        <v>367</v>
      </c>
      <c r="B142" s="2" t="s">
        <v>141</v>
      </c>
      <c r="C142" s="3" t="s">
        <v>19</v>
      </c>
      <c r="D142" s="3" t="s">
        <v>149</v>
      </c>
      <c r="E142" s="4">
        <v>46013.3125</v>
      </c>
      <c r="F142" s="4">
        <v>46013.308333333334</v>
      </c>
      <c r="G142" s="4">
        <v>46013.40902777778</v>
      </c>
      <c r="J142" s="3" t="s">
        <v>171</v>
      </c>
      <c r="K142" s="5">
        <v>102</v>
      </c>
      <c r="L142" s="5">
        <v>37</v>
      </c>
      <c r="M142" s="3" t="s">
        <v>63</v>
      </c>
      <c r="N142" t="s">
        <v>103</v>
      </c>
      <c r="O142" s="5">
        <v>3</v>
      </c>
      <c r="P142" s="3" t="s">
        <v>25</v>
      </c>
      <c r="Q142" s="2">
        <v>85.12</v>
      </c>
      <c r="R142" s="3" t="s">
        <v>26</v>
      </c>
      <c r="S142">
        <f>COUNTIF(A:A,A142)</f>
        <v>1</v>
      </c>
      <c r="T142" t="str">
        <f>IF(OR(H142="",LOWER(TRIM(H142&amp;""))="missing",LOWER(TRIM(H142&amp;""))=""),"Missing/",IFERROR(IF(OR(VALUE(H142)&lt;0,VALUE(H142)&gt;110),"Invalid","Valid"),"Check Format"))</f>
        <v>Missing/</v>
      </c>
      <c r="U142" t="str">
        <f>IF(Raw_Data[[#This Row],[Age_Check]]="Valid",H142,"")</f>
        <v/>
      </c>
      <c r="V142" t="str">
        <f>IF(OR(K142="",UPPER(TRIM(K142&amp;""))="",LOWER(TRIM(K142&amp;""))="",LOWER(TRIM(K142&amp;""))="",LOWER(TRIM(K142&amp;""))="missing"),"Missing/",IFERROR(IF(VALUE(K142)&lt;0,"Invalid","Valid"),"Check Format"))</f>
        <v>Valid</v>
      </c>
      <c r="W142" t="str">
        <f>IF(OR(E142="",F142=""),"Missing Date/Time",IFERROR(IF(F142&gt;E142,"Arrival After Appointment","OK"),"Check Format"))</f>
        <v>OK</v>
      </c>
      <c r="X142" t="str">
        <f>IF(OR(F142="",G142=""),"Missing Date/Time",IFERROR(IF(G142&lt;F142,"Discharge Before Arrival","OK"),"Check Format"))</f>
        <v>OK</v>
      </c>
    </row>
    <row r="143" spans="1:24" x14ac:dyDescent="0.25">
      <c r="A143" s="2" t="s">
        <v>368</v>
      </c>
      <c r="B143" s="2" t="s">
        <v>369</v>
      </c>
      <c r="C143" s="3" t="s">
        <v>94</v>
      </c>
      <c r="D143" s="3" t="s">
        <v>20</v>
      </c>
      <c r="E143" s="4">
        <v>45729.347222222219</v>
      </c>
      <c r="F143" s="4">
        <v>45729.345833333333</v>
      </c>
      <c r="G143" s="4">
        <v>45729.448611111111</v>
      </c>
      <c r="I143" s="3" t="s">
        <v>73</v>
      </c>
      <c r="J143" s="3" t="s">
        <v>62</v>
      </c>
      <c r="K143" s="5">
        <v>112</v>
      </c>
      <c r="L143" s="5">
        <v>34</v>
      </c>
      <c r="M143" s="3" t="s">
        <v>32</v>
      </c>
      <c r="N143" t="s">
        <v>103</v>
      </c>
      <c r="O143" s="5">
        <v>0</v>
      </c>
      <c r="P143" s="3" t="s">
        <v>80</v>
      </c>
      <c r="Q143" s="2">
        <v>239.34</v>
      </c>
      <c r="R143" s="3" t="s">
        <v>58</v>
      </c>
      <c r="S143">
        <f>COUNTIF(A:A,A143)</f>
        <v>1</v>
      </c>
      <c r="T143" t="str">
        <f>IF(OR(H143="",LOWER(TRIM(H143&amp;""))="missing",LOWER(TRIM(H143&amp;""))=""),"Missing/",IFERROR(IF(OR(VALUE(H143)&lt;0,VALUE(H143)&gt;110),"Invalid","Valid"),"Check Format"))</f>
        <v>Missing/</v>
      </c>
      <c r="U143" t="str">
        <f>IF(Raw_Data[[#This Row],[Age_Check]]="Valid",H143,"")</f>
        <v/>
      </c>
      <c r="V143" t="str">
        <f>IF(OR(K143="",UPPER(TRIM(K143&amp;""))="",LOWER(TRIM(K143&amp;""))="",LOWER(TRIM(K143&amp;""))="",LOWER(TRIM(K143&amp;""))="missing"),"Missing/",IFERROR(IF(VALUE(K143)&lt;0,"Invalid","Valid"),"Check Format"))</f>
        <v>Valid</v>
      </c>
      <c r="W143" t="str">
        <f>IF(OR(E143="",F143=""),"Missing Date/Time",IFERROR(IF(F143&gt;E143,"Arrival After Appointment","OK"),"Check Format"))</f>
        <v>OK</v>
      </c>
      <c r="X143" t="str">
        <f>IF(OR(F143="",G143=""),"Missing Date/Time",IFERROR(IF(G143&lt;F143,"Discharge Before Arrival","OK"),"Check Format"))</f>
        <v>OK</v>
      </c>
    </row>
    <row r="144" spans="1:24" x14ac:dyDescent="0.25">
      <c r="A144" s="2" t="s">
        <v>370</v>
      </c>
      <c r="B144" s="2" t="s">
        <v>371</v>
      </c>
      <c r="C144" s="3" t="s">
        <v>19</v>
      </c>
      <c r="D144" s="3" t="s">
        <v>149</v>
      </c>
      <c r="E144" s="4">
        <v>45768.46875</v>
      </c>
      <c r="F144" s="4">
        <v>45768.461111111108</v>
      </c>
      <c r="G144" s="4">
        <v>45768.558333333334</v>
      </c>
      <c r="H144" s="5">
        <v>75</v>
      </c>
      <c r="J144" s="3" t="s">
        <v>22</v>
      </c>
      <c r="K144" s="5">
        <v>60</v>
      </c>
      <c r="L144" s="5">
        <v>69</v>
      </c>
      <c r="M144" s="3" t="s">
        <v>87</v>
      </c>
      <c r="N144" t="s">
        <v>69</v>
      </c>
      <c r="O144" s="5">
        <v>6</v>
      </c>
      <c r="P144" s="3" t="s">
        <v>42</v>
      </c>
      <c r="Q144" s="2">
        <v>285.43</v>
      </c>
      <c r="R144" s="3" t="s">
        <v>58</v>
      </c>
      <c r="S144">
        <f>COUNTIF(A:A,A144)</f>
        <v>1</v>
      </c>
      <c r="T144" t="str">
        <f>IF(OR(H144="",LOWER(TRIM(H144&amp;""))="missing",LOWER(TRIM(H144&amp;""))=""),"Missing/",IFERROR(IF(OR(VALUE(H144)&lt;0,VALUE(H144)&gt;110),"Invalid","Valid"),"Check Format"))</f>
        <v>Valid</v>
      </c>
      <c r="U144">
        <f>IF(Raw_Data[[#This Row],[Age_Check]]="Valid",H144,"")</f>
        <v>75</v>
      </c>
      <c r="V144" t="str">
        <f>IF(OR(K144="",UPPER(TRIM(K144&amp;""))="",LOWER(TRIM(K144&amp;""))="",LOWER(TRIM(K144&amp;""))="",LOWER(TRIM(K144&amp;""))="missing"),"Missing/",IFERROR(IF(VALUE(K144)&lt;0,"Invalid","Valid"),"Check Format"))</f>
        <v>Valid</v>
      </c>
      <c r="W144" t="str">
        <f>IF(OR(E144="",F144=""),"Missing Date/Time",IFERROR(IF(F144&gt;E144,"Arrival After Appointment","OK"),"Check Format"))</f>
        <v>OK</v>
      </c>
      <c r="X144" t="str">
        <f>IF(OR(F144="",G144=""),"Missing Date/Time",IFERROR(IF(G144&lt;F144,"Discharge Before Arrival","OK"),"Check Format"))</f>
        <v>OK</v>
      </c>
    </row>
    <row r="145" spans="1:24" x14ac:dyDescent="0.25">
      <c r="A145" s="2" t="s">
        <v>372</v>
      </c>
      <c r="B145" s="2" t="s">
        <v>154</v>
      </c>
      <c r="D145" s="3" t="s">
        <v>149</v>
      </c>
      <c r="E145" s="4">
        <v>45696.75</v>
      </c>
      <c r="F145" s="4">
        <v>45696.746527777781</v>
      </c>
      <c r="G145" s="4">
        <v>45696.818055555559</v>
      </c>
      <c r="H145" s="5">
        <v>24</v>
      </c>
      <c r="I145" s="3" t="s">
        <v>95</v>
      </c>
      <c r="K145" s="5">
        <v>49</v>
      </c>
      <c r="L145" s="5">
        <v>49</v>
      </c>
      <c r="M145" s="3" t="s">
        <v>23</v>
      </c>
      <c r="N145" t="s">
        <v>69</v>
      </c>
      <c r="O145" s="5">
        <v>6</v>
      </c>
      <c r="P145" s="3" t="s">
        <v>25</v>
      </c>
      <c r="Q145" s="2">
        <v>196.63</v>
      </c>
      <c r="R145" s="3" t="s">
        <v>58</v>
      </c>
      <c r="S145">
        <f>COUNTIF(A:A,A145)</f>
        <v>1</v>
      </c>
      <c r="T145" t="str">
        <f>IF(OR(H145="",LOWER(TRIM(H145&amp;""))="missing",LOWER(TRIM(H145&amp;""))=""),"Missing/",IFERROR(IF(OR(VALUE(H145)&lt;0,VALUE(H145)&gt;110),"Invalid","Valid"),"Check Format"))</f>
        <v>Valid</v>
      </c>
      <c r="U145">
        <f>IF(Raw_Data[[#This Row],[Age_Check]]="Valid",H145,"")</f>
        <v>24</v>
      </c>
      <c r="V145" t="str">
        <f>IF(OR(K145="",UPPER(TRIM(K145&amp;""))="",LOWER(TRIM(K145&amp;""))="",LOWER(TRIM(K145&amp;""))="",LOWER(TRIM(K145&amp;""))="missing"),"Missing/",IFERROR(IF(VALUE(K145)&lt;0,"Invalid","Valid"),"Check Format"))</f>
        <v>Valid</v>
      </c>
      <c r="W145" t="str">
        <f>IF(OR(E145="",F145=""),"Missing Date/Time",IFERROR(IF(F145&gt;E145,"Arrival After Appointment","OK"),"Check Format"))</f>
        <v>OK</v>
      </c>
      <c r="X145" t="str">
        <f>IF(OR(F145="",G145=""),"Missing Date/Time",IFERROR(IF(G145&lt;F145,"Discharge Before Arrival","OK"),"Check Format"))</f>
        <v>OK</v>
      </c>
    </row>
    <row r="146" spans="1:24" x14ac:dyDescent="0.25">
      <c r="A146" s="2" t="s">
        <v>373</v>
      </c>
      <c r="B146" s="2" t="s">
        <v>318</v>
      </c>
      <c r="C146" s="3" t="s">
        <v>94</v>
      </c>
      <c r="D146" s="3" t="s">
        <v>38</v>
      </c>
      <c r="E146" s="4">
        <v>45574.649305555555</v>
      </c>
      <c r="F146" s="4">
        <v>45574.636805555558</v>
      </c>
      <c r="G146" s="4">
        <v>45574.731944444444</v>
      </c>
      <c r="H146" s="5">
        <v>145</v>
      </c>
      <c r="I146" s="3" t="s">
        <v>73</v>
      </c>
      <c r="J146" s="3" t="s">
        <v>67</v>
      </c>
      <c r="K146" s="5">
        <v>105</v>
      </c>
      <c r="L146" s="5">
        <v>14</v>
      </c>
      <c r="M146" s="3" t="s">
        <v>63</v>
      </c>
      <c r="P146" s="3" t="s">
        <v>80</v>
      </c>
      <c r="Q146" s="2">
        <v>199.88</v>
      </c>
      <c r="R146" s="3" t="s">
        <v>26</v>
      </c>
      <c r="S146">
        <f>COUNTIF(A:A,A146)</f>
        <v>1</v>
      </c>
      <c r="T146" t="str">
        <f>IF(OR(H146="",LOWER(TRIM(H146&amp;""))="missing",LOWER(TRIM(H146&amp;""))=""),"Missing/",IFERROR(IF(OR(VALUE(H146)&lt;0,VALUE(H146)&gt;110),"Invalid","Valid"),"Check Format"))</f>
        <v>Invalid</v>
      </c>
      <c r="U146" t="str">
        <f>IF(Raw_Data[[#This Row],[Age_Check]]="Valid",H146,"")</f>
        <v/>
      </c>
      <c r="V146" t="str">
        <f>IF(OR(K146="",UPPER(TRIM(K146&amp;""))="",LOWER(TRIM(K146&amp;""))="",LOWER(TRIM(K146&amp;""))="",LOWER(TRIM(K146&amp;""))="missing"),"Missing/",IFERROR(IF(VALUE(K146)&lt;0,"Invalid","Valid"),"Check Format"))</f>
        <v>Valid</v>
      </c>
      <c r="W146" t="str">
        <f>IF(OR(E146="",F146=""),"Missing Date/Time",IFERROR(IF(F146&gt;E146,"Arrival After Appointment","OK"),"Check Format"))</f>
        <v>OK</v>
      </c>
      <c r="X146" t="str">
        <f>IF(OR(F146="",G146=""),"Missing Date/Time",IFERROR(IF(G146&lt;F146,"Discharge Before Arrival","OK"),"Check Format"))</f>
        <v>OK</v>
      </c>
    </row>
    <row r="147" spans="1:24" x14ac:dyDescent="0.25">
      <c r="A147" s="2" t="s">
        <v>374</v>
      </c>
      <c r="B147" s="2" t="s">
        <v>102</v>
      </c>
      <c r="C147" s="3" t="s">
        <v>37</v>
      </c>
      <c r="D147" s="3" t="s">
        <v>23</v>
      </c>
      <c r="E147" s="4">
        <v>45439.697916666664</v>
      </c>
      <c r="G147" s="4">
        <v>45439.767361111109</v>
      </c>
      <c r="H147" s="5">
        <v>34</v>
      </c>
      <c r="I147" s="3" t="s">
        <v>39</v>
      </c>
      <c r="J147" s="3" t="s">
        <v>67</v>
      </c>
      <c r="K147" s="5">
        <v>95</v>
      </c>
      <c r="L147" s="5">
        <v>5</v>
      </c>
      <c r="M147" s="3" t="s">
        <v>63</v>
      </c>
      <c r="N147" t="s">
        <v>103</v>
      </c>
      <c r="P147" s="3" t="s">
        <v>42</v>
      </c>
      <c r="Q147" s="2">
        <v>50.34</v>
      </c>
      <c r="R147" s="3" t="s">
        <v>43</v>
      </c>
      <c r="S147">
        <f>COUNTIF(A:A,A147)</f>
        <v>1</v>
      </c>
      <c r="T147" t="str">
        <f>IF(OR(H147="",LOWER(TRIM(H147&amp;""))="missing",LOWER(TRIM(H147&amp;""))=""),"Missing/",IFERROR(IF(OR(VALUE(H147)&lt;0,VALUE(H147)&gt;110),"Invalid","Valid"),"Check Format"))</f>
        <v>Valid</v>
      </c>
      <c r="U147">
        <f>IF(Raw_Data[[#This Row],[Age_Check]]="Valid",H147,"")</f>
        <v>34</v>
      </c>
      <c r="V147" t="str">
        <f>IF(OR(K147="",UPPER(TRIM(K147&amp;""))="",LOWER(TRIM(K147&amp;""))="",LOWER(TRIM(K147&amp;""))="",LOWER(TRIM(K147&amp;""))="missing"),"Missing/",IFERROR(IF(VALUE(K147)&lt;0,"Invalid","Valid"),"Check Format"))</f>
        <v>Valid</v>
      </c>
      <c r="W147" t="str">
        <f>IF(OR(E147="",F147=""),"Missing Date/Time",IFERROR(IF(F147&gt;E147,"Arrival After Appointment","OK"),"Check Format"))</f>
        <v>Missing Date/Time</v>
      </c>
      <c r="X147" t="str">
        <f>IF(OR(F147="",G147=""),"Missing Date/Time",IFERROR(IF(G147&lt;F147,"Discharge Before Arrival","OK"),"Check Format"))</f>
        <v>Missing Date/Time</v>
      </c>
    </row>
    <row r="148" spans="1:24" x14ac:dyDescent="0.25">
      <c r="A148" s="2" t="s">
        <v>375</v>
      </c>
      <c r="B148" s="2" t="s">
        <v>376</v>
      </c>
      <c r="C148" s="3" t="s">
        <v>37</v>
      </c>
      <c r="D148" s="3" t="s">
        <v>149</v>
      </c>
      <c r="E148" s="4">
        <v>45620.496527777781</v>
      </c>
      <c r="F148" s="4">
        <v>45620.487500000003</v>
      </c>
      <c r="G148" s="4">
        <v>45620.515277777777</v>
      </c>
      <c r="H148" s="5">
        <v>66</v>
      </c>
      <c r="J148" s="3" t="s">
        <v>67</v>
      </c>
      <c r="K148" s="5">
        <v>0</v>
      </c>
      <c r="L148" s="5">
        <v>27</v>
      </c>
      <c r="M148" s="3" t="s">
        <v>68</v>
      </c>
      <c r="N148" t="s">
        <v>100</v>
      </c>
      <c r="O148" s="5">
        <v>0</v>
      </c>
      <c r="P148" s="3" t="s">
        <v>80</v>
      </c>
      <c r="Q148" s="2">
        <v>202.4</v>
      </c>
      <c r="R148" s="3" t="s">
        <v>26</v>
      </c>
      <c r="S148">
        <f>COUNTIF(A:A,A148)</f>
        <v>1</v>
      </c>
      <c r="T148" t="str">
        <f>IF(OR(H148="",LOWER(TRIM(H148&amp;""))="missing",LOWER(TRIM(H148&amp;""))=""),"Missing/",IFERROR(IF(OR(VALUE(H148)&lt;0,VALUE(H148)&gt;110),"Invalid","Valid"),"Check Format"))</f>
        <v>Valid</v>
      </c>
      <c r="U148">
        <f>IF(Raw_Data[[#This Row],[Age_Check]]="Valid",H148,"")</f>
        <v>66</v>
      </c>
      <c r="V148" t="str">
        <f>IF(OR(K148="",UPPER(TRIM(K148&amp;""))="",LOWER(TRIM(K148&amp;""))="",LOWER(TRIM(K148&amp;""))="",LOWER(TRIM(K148&amp;""))="missing"),"Missing/",IFERROR(IF(VALUE(K148)&lt;0,"Invalid","Valid"),"Check Format"))</f>
        <v>Valid</v>
      </c>
      <c r="W148" t="str">
        <f>IF(OR(E148="",F148=""),"Missing Date/Time",IFERROR(IF(F148&gt;E148,"Arrival After Appointment","OK"),"Check Format"))</f>
        <v>OK</v>
      </c>
      <c r="X148" t="str">
        <f>IF(OR(F148="",G148=""),"Missing Date/Time",IFERROR(IF(G148&lt;F148,"Discharge Before Arrival","OK"),"Check Format"))</f>
        <v>OK</v>
      </c>
    </row>
    <row r="149" spans="1:24" x14ac:dyDescent="0.25">
      <c r="A149" s="2" t="s">
        <v>377</v>
      </c>
      <c r="B149" s="2" t="s">
        <v>316</v>
      </c>
      <c r="C149" s="3" t="s">
        <v>37</v>
      </c>
      <c r="D149" s="3" t="s">
        <v>174</v>
      </c>
      <c r="E149" s="4">
        <v>45497.302083333336</v>
      </c>
      <c r="F149" s="4">
        <v>45497.28402777778</v>
      </c>
      <c r="G149" s="4">
        <v>45497.401388888888</v>
      </c>
      <c r="H149" s="5">
        <v>50</v>
      </c>
      <c r="I149" s="3" t="s">
        <v>95</v>
      </c>
      <c r="J149" s="3" t="s">
        <v>67</v>
      </c>
      <c r="K149" s="5">
        <v>110</v>
      </c>
      <c r="L149" s="5">
        <v>33</v>
      </c>
      <c r="M149" s="3" t="s">
        <v>50</v>
      </c>
      <c r="N149" t="s">
        <v>91</v>
      </c>
      <c r="O149" s="5">
        <v>0</v>
      </c>
      <c r="P149" s="3" t="s">
        <v>80</v>
      </c>
      <c r="Q149" s="2">
        <v>275.29000000000002</v>
      </c>
      <c r="R149" s="3" t="s">
        <v>58</v>
      </c>
      <c r="S149">
        <f>COUNTIF(A:A,A149)</f>
        <v>1</v>
      </c>
      <c r="T149" t="str">
        <f>IF(OR(H149="",LOWER(TRIM(H149&amp;""))="missing",LOWER(TRIM(H149&amp;""))=""),"Missing/",IFERROR(IF(OR(VALUE(H149)&lt;0,VALUE(H149)&gt;110),"Invalid","Valid"),"Check Format"))</f>
        <v>Valid</v>
      </c>
      <c r="U149">
        <f>IF(Raw_Data[[#This Row],[Age_Check]]="Valid",H149,"")</f>
        <v>50</v>
      </c>
      <c r="V149" t="str">
        <f>IF(OR(K149="",UPPER(TRIM(K149&amp;""))="",LOWER(TRIM(K149&amp;""))="",LOWER(TRIM(K149&amp;""))="",LOWER(TRIM(K149&amp;""))="missing"),"Missing/",IFERROR(IF(VALUE(K149)&lt;0,"Invalid","Valid"),"Check Format"))</f>
        <v>Valid</v>
      </c>
      <c r="W149" t="str">
        <f>IF(OR(E149="",F149=""),"Missing Date/Time",IFERROR(IF(F149&gt;E149,"Arrival After Appointment","OK"),"Check Format"))</f>
        <v>OK</v>
      </c>
      <c r="X149" t="str">
        <f>IF(OR(F149="",G149=""),"Missing Date/Time",IFERROR(IF(G149&lt;F149,"Discharge Before Arrival","OK"),"Check Format"))</f>
        <v>OK</v>
      </c>
    </row>
    <row r="150" spans="1:24" x14ac:dyDescent="0.25">
      <c r="A150" s="2" t="s">
        <v>378</v>
      </c>
      <c r="B150" s="2" t="s">
        <v>379</v>
      </c>
      <c r="C150" s="3" t="s">
        <v>94</v>
      </c>
      <c r="D150" s="3" t="s">
        <v>61</v>
      </c>
      <c r="F150" s="4">
        <v>45556.771527777775</v>
      </c>
      <c r="G150" s="4">
        <v>45556.79791666667</v>
      </c>
      <c r="H150" s="5">
        <v>82</v>
      </c>
      <c r="I150" s="3" t="s">
        <v>73</v>
      </c>
      <c r="J150" s="3" t="s">
        <v>62</v>
      </c>
      <c r="K150" s="5">
        <v>9</v>
      </c>
      <c r="L150" s="5">
        <v>5</v>
      </c>
      <c r="M150" s="3" t="s">
        <v>63</v>
      </c>
      <c r="N150" t="s">
        <v>69</v>
      </c>
      <c r="P150" s="3" t="s">
        <v>25</v>
      </c>
      <c r="Q150" s="2">
        <v>140.56</v>
      </c>
      <c r="R150" s="3" t="s">
        <v>43</v>
      </c>
      <c r="S150">
        <f>COUNTIF(A:A,A150)</f>
        <v>1</v>
      </c>
      <c r="T150" t="str">
        <f>IF(OR(H150="",LOWER(TRIM(H150&amp;""))="missing",LOWER(TRIM(H150&amp;""))=""),"Missing/",IFERROR(IF(OR(VALUE(H150)&lt;0,VALUE(H150)&gt;110),"Invalid","Valid"),"Check Format"))</f>
        <v>Valid</v>
      </c>
      <c r="U150">
        <f>IF(Raw_Data[[#This Row],[Age_Check]]="Valid",H150,"")</f>
        <v>82</v>
      </c>
      <c r="V150" t="str">
        <f>IF(OR(K150="",UPPER(TRIM(K150&amp;""))="",LOWER(TRIM(K150&amp;""))="",LOWER(TRIM(K150&amp;""))="",LOWER(TRIM(K150&amp;""))="missing"),"Missing/",IFERROR(IF(VALUE(K150)&lt;0,"Invalid","Valid"),"Check Format"))</f>
        <v>Valid</v>
      </c>
      <c r="W150" t="str">
        <f>IF(OR(E150="",F150=""),"Missing Date/Time",IFERROR(IF(F150&gt;E150,"Arrival After Appointment","OK"),"Check Format"))</f>
        <v>Missing Date/Time</v>
      </c>
      <c r="X150" t="str">
        <f>IF(OR(F150="",G150=""),"Missing Date/Time",IFERROR(IF(G150&lt;F150,"Discharge Before Arrival","OK"),"Check Format"))</f>
        <v>OK</v>
      </c>
    </row>
    <row r="151" spans="1:24" x14ac:dyDescent="0.25">
      <c r="A151" s="2" t="s">
        <v>380</v>
      </c>
      <c r="B151" s="2" t="s">
        <v>381</v>
      </c>
      <c r="C151" s="3" t="s">
        <v>46</v>
      </c>
      <c r="D151" s="3" t="s">
        <v>72</v>
      </c>
      <c r="E151" s="4">
        <v>45550.680555555555</v>
      </c>
      <c r="F151" s="4">
        <v>45550.674305555556</v>
      </c>
      <c r="G151" s="4">
        <v>45550.751388888886</v>
      </c>
      <c r="H151" s="5">
        <v>145</v>
      </c>
      <c r="I151" s="3" t="s">
        <v>73</v>
      </c>
      <c r="J151" s="3" t="s">
        <v>22</v>
      </c>
      <c r="K151" s="5">
        <v>71</v>
      </c>
      <c r="L151" s="5">
        <v>31</v>
      </c>
      <c r="M151" s="3" t="s">
        <v>87</v>
      </c>
      <c r="P151" s="3" t="s">
        <v>25</v>
      </c>
      <c r="Q151" s="2">
        <v>0</v>
      </c>
      <c r="R151" s="3" t="s">
        <v>75</v>
      </c>
      <c r="S151">
        <f>COUNTIF(A:A,A151)</f>
        <v>1</v>
      </c>
      <c r="T151" t="str">
        <f>IF(OR(H151="",LOWER(TRIM(H151&amp;""))="missing",LOWER(TRIM(H151&amp;""))=""),"Missing/",IFERROR(IF(OR(VALUE(H151)&lt;0,VALUE(H151)&gt;110),"Invalid","Valid"),"Check Format"))</f>
        <v>Invalid</v>
      </c>
      <c r="U151" t="str">
        <f>IF(Raw_Data[[#This Row],[Age_Check]]="Valid",H151,"")</f>
        <v/>
      </c>
      <c r="V151" t="str">
        <f>IF(OR(K151="",UPPER(TRIM(K151&amp;""))="",LOWER(TRIM(K151&amp;""))="",LOWER(TRIM(K151&amp;""))="",LOWER(TRIM(K151&amp;""))="missing"),"Missing/",IFERROR(IF(VALUE(K151)&lt;0,"Invalid","Valid"),"Check Format"))</f>
        <v>Valid</v>
      </c>
      <c r="W151" t="str">
        <f>IF(OR(E151="",F151=""),"Missing Date/Time",IFERROR(IF(F151&gt;E151,"Arrival After Appointment","OK"),"Check Format"))</f>
        <v>OK</v>
      </c>
      <c r="X151" t="str">
        <f>IF(OR(F151="",G151=""),"Missing Date/Time",IFERROR(IF(G151&lt;F151,"Discharge Before Arrival","OK"),"Check Format"))</f>
        <v>OK</v>
      </c>
    </row>
    <row r="152" spans="1:24" x14ac:dyDescent="0.25">
      <c r="A152" s="2" t="s">
        <v>382</v>
      </c>
      <c r="B152" s="2" t="s">
        <v>383</v>
      </c>
      <c r="C152" s="3" t="s">
        <v>37</v>
      </c>
      <c r="D152" s="3" t="s">
        <v>61</v>
      </c>
      <c r="E152" s="4">
        <v>45575.725694444445</v>
      </c>
      <c r="F152" s="4">
        <v>45575.708333333336</v>
      </c>
      <c r="G152" s="4">
        <v>45575.768750000003</v>
      </c>
      <c r="I152" s="3" t="s">
        <v>39</v>
      </c>
      <c r="J152" s="3" t="s">
        <v>22</v>
      </c>
      <c r="K152" s="5">
        <v>54</v>
      </c>
      <c r="L152" s="5">
        <v>8</v>
      </c>
      <c r="M152" s="3" t="s">
        <v>68</v>
      </c>
      <c r="N152" t="s">
        <v>74</v>
      </c>
      <c r="P152" s="3" t="s">
        <v>80</v>
      </c>
      <c r="Q152" s="2">
        <v>198.57</v>
      </c>
      <c r="R152" s="3" t="s">
        <v>58</v>
      </c>
      <c r="S152">
        <f>COUNTIF(A:A,A152)</f>
        <v>1</v>
      </c>
      <c r="T152" t="str">
        <f>IF(OR(H152="",LOWER(TRIM(H152&amp;""))="missing",LOWER(TRIM(H152&amp;""))=""),"Missing/",IFERROR(IF(OR(VALUE(H152)&lt;0,VALUE(H152)&gt;110),"Invalid","Valid"),"Check Format"))</f>
        <v>Missing/</v>
      </c>
      <c r="U152" t="str">
        <f>IF(Raw_Data[[#This Row],[Age_Check]]="Valid",H152,"")</f>
        <v/>
      </c>
      <c r="V152" t="str">
        <f>IF(OR(K152="",UPPER(TRIM(K152&amp;""))="",LOWER(TRIM(K152&amp;""))="",LOWER(TRIM(K152&amp;""))="",LOWER(TRIM(K152&amp;""))="missing"),"Missing/",IFERROR(IF(VALUE(K152)&lt;0,"Invalid","Valid"),"Check Format"))</f>
        <v>Valid</v>
      </c>
      <c r="W152" t="str">
        <f>IF(OR(E152="",F152=""),"Missing Date/Time",IFERROR(IF(F152&gt;E152,"Arrival After Appointment","OK"),"Check Format"))</f>
        <v>OK</v>
      </c>
      <c r="X152" t="str">
        <f>IF(OR(F152="",G152=""),"Missing Date/Time",IFERROR(IF(G152&lt;F152,"Discharge Before Arrival","OK"),"Check Format"))</f>
        <v>OK</v>
      </c>
    </row>
    <row r="153" spans="1:24" x14ac:dyDescent="0.25">
      <c r="A153" s="2" t="s">
        <v>384</v>
      </c>
      <c r="B153" s="2" t="s">
        <v>385</v>
      </c>
      <c r="C153" s="3" t="s">
        <v>46</v>
      </c>
      <c r="D153" s="3" t="s">
        <v>47</v>
      </c>
      <c r="E153" s="4">
        <v>45643.788194444445</v>
      </c>
      <c r="F153" s="4">
        <v>45643.770138888889</v>
      </c>
      <c r="G153" s="4">
        <v>45643.847222222219</v>
      </c>
      <c r="I153" s="3" t="s">
        <v>73</v>
      </c>
      <c r="J153" s="3" t="s">
        <v>2639</v>
      </c>
      <c r="K153" s="5">
        <v>70</v>
      </c>
      <c r="L153" s="5">
        <v>15</v>
      </c>
      <c r="M153" s="3" t="s">
        <v>32</v>
      </c>
      <c r="N153" t="s">
        <v>69</v>
      </c>
      <c r="O153" s="5">
        <v>5</v>
      </c>
      <c r="P153" s="3" t="s">
        <v>42</v>
      </c>
      <c r="Q153" s="2">
        <v>103.89</v>
      </c>
      <c r="R153" s="3" t="s">
        <v>58</v>
      </c>
      <c r="S153">
        <f>COUNTIF(A:A,A153)</f>
        <v>1</v>
      </c>
      <c r="T153" t="str">
        <f>IF(OR(H153="",LOWER(TRIM(H153&amp;""))="missing",LOWER(TRIM(H153&amp;""))=""),"Missing/",IFERROR(IF(OR(VALUE(H153)&lt;0,VALUE(H153)&gt;110),"Invalid","Valid"),"Check Format"))</f>
        <v>Missing/</v>
      </c>
      <c r="U153" t="str">
        <f>IF(Raw_Data[[#This Row],[Age_Check]]="Valid",H153,"")</f>
        <v/>
      </c>
      <c r="V153" t="str">
        <f>IF(OR(K153="",UPPER(TRIM(K153&amp;""))="",LOWER(TRIM(K153&amp;""))="",LOWER(TRIM(K153&amp;""))="",LOWER(TRIM(K153&amp;""))="missing"),"Missing/",IFERROR(IF(VALUE(K153)&lt;0,"Invalid","Valid"),"Check Format"))</f>
        <v>Valid</v>
      </c>
      <c r="W153" t="str">
        <f>IF(OR(E153="",F153=""),"Missing Date/Time",IFERROR(IF(F153&gt;E153,"Arrival After Appointment","OK"),"Check Format"))</f>
        <v>OK</v>
      </c>
      <c r="X153" t="str">
        <f>IF(OR(F153="",G153=""),"Missing Date/Time",IFERROR(IF(G153&lt;F153,"Discharge Before Arrival","OK"),"Check Format"))</f>
        <v>OK</v>
      </c>
    </row>
    <row r="154" spans="1:24" x14ac:dyDescent="0.25">
      <c r="A154" s="2" t="s">
        <v>386</v>
      </c>
      <c r="B154" s="2" t="s">
        <v>387</v>
      </c>
      <c r="C154" s="3" t="s">
        <v>19</v>
      </c>
      <c r="D154" s="3" t="s">
        <v>149</v>
      </c>
      <c r="E154" s="4">
        <v>45811.517361111109</v>
      </c>
      <c r="F154" s="4">
        <v>45722.498611111114</v>
      </c>
      <c r="G154" s="4">
        <v>45722.552083333336</v>
      </c>
      <c r="H154" s="5">
        <v>74</v>
      </c>
      <c r="I154" s="3" t="s">
        <v>73</v>
      </c>
      <c r="J154" s="3" t="s">
        <v>22</v>
      </c>
      <c r="K154" s="5">
        <v>20</v>
      </c>
      <c r="L154" s="5">
        <v>30</v>
      </c>
      <c r="M154" s="3" t="s">
        <v>50</v>
      </c>
      <c r="O154" s="5">
        <v>6</v>
      </c>
      <c r="P154" s="3" t="s">
        <v>25</v>
      </c>
      <c r="Q154" s="2">
        <v>221.41</v>
      </c>
      <c r="R154" s="3" t="s">
        <v>43</v>
      </c>
      <c r="S154">
        <f>COUNTIF(A:A,A154)</f>
        <v>1</v>
      </c>
      <c r="T154" t="str">
        <f>IF(OR(H154="",LOWER(TRIM(H154&amp;""))="missing",LOWER(TRIM(H154&amp;""))=""),"Missing/",IFERROR(IF(OR(VALUE(H154)&lt;0,VALUE(H154)&gt;110),"Invalid","Valid"),"Check Format"))</f>
        <v>Valid</v>
      </c>
      <c r="U154">
        <f>IF(Raw_Data[[#This Row],[Age_Check]]="Valid",H154,"")</f>
        <v>74</v>
      </c>
      <c r="V154" t="str">
        <f>IF(OR(K154="",UPPER(TRIM(K154&amp;""))="",LOWER(TRIM(K154&amp;""))="",LOWER(TRIM(K154&amp;""))="",LOWER(TRIM(K154&amp;""))="missing"),"Missing/",IFERROR(IF(VALUE(K154)&lt;0,"Invalid","Valid"),"Check Format"))</f>
        <v>Valid</v>
      </c>
      <c r="W154" t="str">
        <f>IF(OR(E154="",F154=""),"Missing Date/Time",IFERROR(IF(F154&gt;E154,"Arrival After Appointment","OK"),"Check Format"))</f>
        <v>OK</v>
      </c>
      <c r="X154" t="str">
        <f>IF(OR(F154="",G154=""),"Missing Date/Time",IFERROR(IF(G154&lt;F154,"Discharge Before Arrival","OK"),"Check Format"))</f>
        <v>OK</v>
      </c>
    </row>
    <row r="155" spans="1:24" x14ac:dyDescent="0.25">
      <c r="A155" s="2" t="s">
        <v>388</v>
      </c>
      <c r="B155" s="2" t="s">
        <v>389</v>
      </c>
      <c r="C155" s="3" t="s">
        <v>29</v>
      </c>
      <c r="D155" s="3" t="s">
        <v>106</v>
      </c>
      <c r="E155" s="4">
        <v>45875.590277777781</v>
      </c>
      <c r="F155" s="4">
        <v>45875.586805555555</v>
      </c>
      <c r="G155" s="4">
        <v>45875.634722222225</v>
      </c>
      <c r="I155" s="3" t="s">
        <v>90</v>
      </c>
      <c r="J155" s="3" t="s">
        <v>150</v>
      </c>
      <c r="K155" s="5">
        <v>23</v>
      </c>
      <c r="L155" s="5">
        <v>41</v>
      </c>
      <c r="M155" s="3" t="s">
        <v>50</v>
      </c>
      <c r="N155" t="s">
        <v>69</v>
      </c>
      <c r="O155" s="5">
        <v>0</v>
      </c>
      <c r="Q155" s="2">
        <v>102.58</v>
      </c>
      <c r="R155" s="3" t="s">
        <v>58</v>
      </c>
      <c r="S155">
        <f>COUNTIF(A:A,A155)</f>
        <v>1</v>
      </c>
      <c r="T155" t="str">
        <f>IF(OR(H155="",LOWER(TRIM(H155&amp;""))="missing",LOWER(TRIM(H155&amp;""))=""),"Missing/",IFERROR(IF(OR(VALUE(H155)&lt;0,VALUE(H155)&gt;110),"Invalid","Valid"),"Check Format"))</f>
        <v>Missing/</v>
      </c>
      <c r="U155" t="str">
        <f>IF(Raw_Data[[#This Row],[Age_Check]]="Valid",H155,"")</f>
        <v/>
      </c>
      <c r="V155" t="str">
        <f>IF(OR(K155="",UPPER(TRIM(K155&amp;""))="",LOWER(TRIM(K155&amp;""))="",LOWER(TRIM(K155&amp;""))="",LOWER(TRIM(K155&amp;""))="missing"),"Missing/",IFERROR(IF(VALUE(K155)&lt;0,"Invalid","Valid"),"Check Format"))</f>
        <v>Valid</v>
      </c>
      <c r="W155" t="str">
        <f>IF(OR(E155="",F155=""),"Missing Date/Time",IFERROR(IF(F155&gt;E155,"Arrival After Appointment","OK"),"Check Format"))</f>
        <v>OK</v>
      </c>
      <c r="X155" t="str">
        <f>IF(OR(F155="",G155=""),"Missing Date/Time",IFERROR(IF(G155&lt;F155,"Discharge Before Arrival","OK"),"Check Format"))</f>
        <v>OK</v>
      </c>
    </row>
    <row r="156" spans="1:24" x14ac:dyDescent="0.25">
      <c r="A156" s="2" t="s">
        <v>390</v>
      </c>
      <c r="B156" s="2" t="s">
        <v>245</v>
      </c>
      <c r="C156" s="3" t="s">
        <v>46</v>
      </c>
      <c r="D156" s="3" t="s">
        <v>23</v>
      </c>
      <c r="E156" s="4">
        <v>45731.604166666664</v>
      </c>
      <c r="F156" s="4">
        <v>45731.587500000001</v>
      </c>
      <c r="G156" s="4">
        <v>45731.645833333336</v>
      </c>
      <c r="I156" s="3" t="s">
        <v>95</v>
      </c>
      <c r="J156" s="3" t="s">
        <v>67</v>
      </c>
      <c r="K156" s="5">
        <v>30</v>
      </c>
      <c r="L156" s="5">
        <v>30</v>
      </c>
      <c r="M156" s="3" t="s">
        <v>50</v>
      </c>
      <c r="N156" t="s">
        <v>24</v>
      </c>
      <c r="O156" s="5">
        <v>3</v>
      </c>
      <c r="P156" s="3" t="s">
        <v>25</v>
      </c>
      <c r="Q156" s="2">
        <v>62.18</v>
      </c>
      <c r="R156" s="3" t="s">
        <v>26</v>
      </c>
      <c r="S156">
        <f>COUNTIF(A:A,A156)</f>
        <v>1</v>
      </c>
      <c r="T156" t="str">
        <f>IF(OR(H156="",LOWER(TRIM(H156&amp;""))="missing",LOWER(TRIM(H156&amp;""))=""),"Missing/",IFERROR(IF(OR(VALUE(H156)&lt;0,VALUE(H156)&gt;110),"Invalid","Valid"),"Check Format"))</f>
        <v>Missing/</v>
      </c>
      <c r="U156" t="str">
        <f>IF(Raw_Data[[#This Row],[Age_Check]]="Valid",H156,"")</f>
        <v/>
      </c>
      <c r="V156" t="str">
        <f>IF(OR(K156="",UPPER(TRIM(K156&amp;""))="",LOWER(TRIM(K156&amp;""))="",LOWER(TRIM(K156&amp;""))="",LOWER(TRIM(K156&amp;""))="missing"),"Missing/",IFERROR(IF(VALUE(K156)&lt;0,"Invalid","Valid"),"Check Format"))</f>
        <v>Valid</v>
      </c>
      <c r="W156" t="str">
        <f>IF(OR(E156="",F156=""),"Missing Date/Time",IFERROR(IF(F156&gt;E156,"Arrival After Appointment","OK"),"Check Format"))</f>
        <v>OK</v>
      </c>
      <c r="X156" t="str">
        <f>IF(OR(F156="",G156=""),"Missing Date/Time",IFERROR(IF(G156&lt;F156,"Discharge Before Arrival","OK"),"Check Format"))</f>
        <v>OK</v>
      </c>
    </row>
    <row r="157" spans="1:24" x14ac:dyDescent="0.25">
      <c r="A157" s="2" t="s">
        <v>391</v>
      </c>
      <c r="B157" s="2" t="s">
        <v>392</v>
      </c>
      <c r="C157" s="3" t="s">
        <v>94</v>
      </c>
      <c r="D157" s="3" t="s">
        <v>149</v>
      </c>
      <c r="E157" s="4" t="s">
        <v>393</v>
      </c>
      <c r="F157" s="4">
        <v>45589.602083333331</v>
      </c>
      <c r="G157" s="4">
        <v>45589.654861111114</v>
      </c>
      <c r="I157" s="3" t="s">
        <v>95</v>
      </c>
      <c r="K157" s="5">
        <v>38</v>
      </c>
      <c r="L157" s="5">
        <v>10</v>
      </c>
      <c r="M157" s="3" t="s">
        <v>50</v>
      </c>
      <c r="N157" t="s">
        <v>24</v>
      </c>
      <c r="P157" s="3" t="s">
        <v>25</v>
      </c>
      <c r="Q157" s="2">
        <v>302.18</v>
      </c>
      <c r="R157" s="3" t="s">
        <v>43</v>
      </c>
      <c r="S157">
        <f>COUNTIF(A:A,A157)</f>
        <v>1</v>
      </c>
      <c r="T157" t="str">
        <f>IF(OR(H157="",LOWER(TRIM(H157&amp;""))="missing",LOWER(TRIM(H157&amp;""))=""),"Missing/",IFERROR(IF(OR(VALUE(H157)&lt;0,VALUE(H157)&gt;110),"Invalid","Valid"),"Check Format"))</f>
        <v>Missing/</v>
      </c>
      <c r="U157" t="str">
        <f>IF(Raw_Data[[#This Row],[Age_Check]]="Valid",H157,"")</f>
        <v/>
      </c>
      <c r="V157" t="str">
        <f>IF(OR(K157="",UPPER(TRIM(K157&amp;""))="",LOWER(TRIM(K157&amp;""))="",LOWER(TRIM(K157&amp;""))="",LOWER(TRIM(K157&amp;""))="missing"),"Missing/",IFERROR(IF(VALUE(K157)&lt;0,"Invalid","Valid"),"Check Format"))</f>
        <v>Valid</v>
      </c>
      <c r="W157" t="str">
        <f>IF(OR(E157="",F157=""),"Missing Date/Time",IFERROR(IF(F157&gt;E157,"Arrival After Appointment","OK"),"Check Format"))</f>
        <v>OK</v>
      </c>
      <c r="X157" t="str">
        <f>IF(OR(F157="",G157=""),"Missing Date/Time",IFERROR(IF(G157&lt;F157,"Discharge Before Arrival","OK"),"Check Format"))</f>
        <v>OK</v>
      </c>
    </row>
    <row r="158" spans="1:24" x14ac:dyDescent="0.25">
      <c r="A158" s="2" t="s">
        <v>394</v>
      </c>
      <c r="B158" s="2" t="s">
        <v>395</v>
      </c>
      <c r="C158" s="3" t="s">
        <v>19</v>
      </c>
      <c r="D158" s="3" t="s">
        <v>149</v>
      </c>
      <c r="E158" s="4">
        <v>45676.722222222219</v>
      </c>
      <c r="F158" s="4">
        <v>45676.722222222219</v>
      </c>
      <c r="I158" s="3" t="s">
        <v>95</v>
      </c>
      <c r="K158" s="5">
        <v>59</v>
      </c>
      <c r="L158" s="5">
        <v>19</v>
      </c>
      <c r="M158" s="3" t="s">
        <v>23</v>
      </c>
      <c r="P158" s="3" t="s">
        <v>80</v>
      </c>
      <c r="Q158" s="2">
        <v>162.12</v>
      </c>
      <c r="R158" s="3" t="s">
        <v>58</v>
      </c>
      <c r="S158">
        <f>COUNTIF(A:A,A158)</f>
        <v>1</v>
      </c>
      <c r="T158" t="str">
        <f>IF(OR(H158="",LOWER(TRIM(H158&amp;""))="missing",LOWER(TRIM(H158&amp;""))=""),"Missing/",IFERROR(IF(OR(VALUE(H158)&lt;0,VALUE(H158)&gt;110),"Invalid","Valid"),"Check Format"))</f>
        <v>Missing/</v>
      </c>
      <c r="U158" t="str">
        <f>IF(Raw_Data[[#This Row],[Age_Check]]="Valid",H158,"")</f>
        <v/>
      </c>
      <c r="V158" t="str">
        <f>IF(OR(K158="",UPPER(TRIM(K158&amp;""))="",LOWER(TRIM(K158&amp;""))="",LOWER(TRIM(K158&amp;""))="",LOWER(TRIM(K158&amp;""))="missing"),"Missing/",IFERROR(IF(VALUE(K158)&lt;0,"Invalid","Valid"),"Check Format"))</f>
        <v>Valid</v>
      </c>
      <c r="W158" t="str">
        <f>IF(OR(E158="",F158=""),"Missing Date/Time",IFERROR(IF(F158&gt;E158,"Arrival After Appointment","OK"),"Check Format"))</f>
        <v>OK</v>
      </c>
      <c r="X158" t="str">
        <f>IF(OR(F158="",G158=""),"Missing Date/Time",IFERROR(IF(G158&lt;F158,"Discharge Before Arrival","OK"),"Check Format"))</f>
        <v>Missing Date/Time</v>
      </c>
    </row>
    <row r="159" spans="1:24" x14ac:dyDescent="0.25">
      <c r="A159" s="2" t="s">
        <v>323</v>
      </c>
      <c r="B159" s="2" t="s">
        <v>324</v>
      </c>
      <c r="C159" s="3" t="s">
        <v>94</v>
      </c>
      <c r="D159" s="3" t="s">
        <v>23</v>
      </c>
      <c r="E159" s="4" t="s">
        <v>325</v>
      </c>
      <c r="F159" s="4">
        <v>45823.722222222219</v>
      </c>
      <c r="I159" s="3" t="s">
        <v>73</v>
      </c>
      <c r="J159" s="3" t="s">
        <v>67</v>
      </c>
      <c r="K159" s="5">
        <v>109</v>
      </c>
      <c r="L159" s="5">
        <v>47</v>
      </c>
      <c r="M159" s="3" t="s">
        <v>23</v>
      </c>
      <c r="N159" t="s">
        <v>91</v>
      </c>
      <c r="O159" s="5">
        <v>3</v>
      </c>
      <c r="P159" s="3" t="s">
        <v>80</v>
      </c>
      <c r="Q159" s="2">
        <v>132.19999999999999</v>
      </c>
      <c r="R159" s="3" t="s">
        <v>43</v>
      </c>
      <c r="S159">
        <f>COUNTIF(A:A,A159)</f>
        <v>1</v>
      </c>
      <c r="T159" t="str">
        <f>IF(OR(H159="",LOWER(TRIM(H159&amp;""))="missing",LOWER(TRIM(H159&amp;""))=""),"Missing/",IFERROR(IF(OR(VALUE(H159)&lt;0,VALUE(H159)&gt;110),"Invalid","Valid"),"Check Format"))</f>
        <v>Missing/</v>
      </c>
      <c r="U159" t="str">
        <f>IF(Raw_Data[[#This Row],[Age_Check]]="Valid",H159,"")</f>
        <v/>
      </c>
      <c r="V159" t="str">
        <f>IF(OR(K159="",UPPER(TRIM(K159&amp;""))="",LOWER(TRIM(K159&amp;""))="",LOWER(TRIM(K159&amp;""))="",LOWER(TRIM(K159&amp;""))="missing"),"Missing/",IFERROR(IF(VALUE(K159)&lt;0,"Invalid","Valid"),"Check Format"))</f>
        <v>Valid</v>
      </c>
      <c r="W159" t="str">
        <f>IF(OR(E159="",F159=""),"Missing Date/Time",IFERROR(IF(F159&gt;E159,"Arrival After Appointment","OK"),"Check Format"))</f>
        <v>OK</v>
      </c>
      <c r="X159" t="str">
        <f>IF(OR(F159="",G159=""),"Missing Date/Time",IFERROR(IF(G159&lt;F159,"Discharge Before Arrival","OK"),"Check Format"))</f>
        <v>Missing Date/Time</v>
      </c>
    </row>
    <row r="160" spans="1:24" x14ac:dyDescent="0.25">
      <c r="A160" s="2" t="s">
        <v>398</v>
      </c>
      <c r="B160" s="2" t="s">
        <v>148</v>
      </c>
      <c r="C160" s="3" t="s">
        <v>19</v>
      </c>
      <c r="D160" s="3" t="s">
        <v>106</v>
      </c>
      <c r="E160" s="4">
        <v>45305.711805555555</v>
      </c>
      <c r="F160" s="4">
        <v>45305.709722222222</v>
      </c>
      <c r="G160" s="4">
        <v>45305.785416666666</v>
      </c>
      <c r="I160" s="3" t="s">
        <v>90</v>
      </c>
      <c r="J160" s="3" t="s">
        <v>62</v>
      </c>
      <c r="K160" s="5">
        <v>84</v>
      </c>
      <c r="L160" s="5">
        <v>22</v>
      </c>
      <c r="M160" s="3" t="s">
        <v>63</v>
      </c>
      <c r="N160" t="s">
        <v>24</v>
      </c>
      <c r="O160" s="5">
        <v>1</v>
      </c>
      <c r="R160" s="3" t="s">
        <v>75</v>
      </c>
      <c r="S160">
        <f>COUNTIF(A:A,A160)</f>
        <v>1</v>
      </c>
      <c r="T160" t="str">
        <f>IF(OR(H160="",LOWER(TRIM(H160&amp;""))="missing",LOWER(TRIM(H160&amp;""))=""),"Missing/",IFERROR(IF(OR(VALUE(H160)&lt;0,VALUE(H160)&gt;110),"Invalid","Valid"),"Check Format"))</f>
        <v>Missing/</v>
      </c>
      <c r="U160" t="str">
        <f>IF(Raw_Data[[#This Row],[Age_Check]]="Valid",H160,"")</f>
        <v/>
      </c>
      <c r="V160" t="str">
        <f>IF(OR(K160="",UPPER(TRIM(K160&amp;""))="",LOWER(TRIM(K160&amp;""))="",LOWER(TRIM(K160&amp;""))="",LOWER(TRIM(K160&amp;""))="missing"),"Missing/",IFERROR(IF(VALUE(K160)&lt;0,"Invalid","Valid"),"Check Format"))</f>
        <v>Valid</v>
      </c>
      <c r="W160" t="str">
        <f>IF(OR(E160="",F160=""),"Missing Date/Time",IFERROR(IF(F160&gt;E160,"Arrival After Appointment","OK"),"Check Format"))</f>
        <v>OK</v>
      </c>
      <c r="X160" t="str">
        <f>IF(OR(F160="",G160=""),"Missing Date/Time",IFERROR(IF(G160&lt;F160,"Discharge Before Arrival","OK"),"Check Format"))</f>
        <v>OK</v>
      </c>
    </row>
    <row r="161" spans="1:24" x14ac:dyDescent="0.25">
      <c r="A161" s="2" t="s">
        <v>399</v>
      </c>
      <c r="B161" s="2" t="s">
        <v>400</v>
      </c>
      <c r="C161" s="3" t="s">
        <v>94</v>
      </c>
      <c r="D161" s="3" t="s">
        <v>106</v>
      </c>
      <c r="E161" s="4">
        <v>45410.333333333336</v>
      </c>
      <c r="F161" s="4">
        <v>45410.313888888886</v>
      </c>
      <c r="G161" s="4">
        <v>45410.37777777778</v>
      </c>
      <c r="I161" s="3" t="s">
        <v>73</v>
      </c>
      <c r="J161" s="3" t="s">
        <v>67</v>
      </c>
      <c r="K161" s="5">
        <v>37</v>
      </c>
      <c r="L161" s="5">
        <v>27</v>
      </c>
      <c r="M161" s="3" t="s">
        <v>41</v>
      </c>
      <c r="N161" t="s">
        <v>91</v>
      </c>
      <c r="O161" s="5">
        <v>0</v>
      </c>
      <c r="P161" s="3" t="s">
        <v>80</v>
      </c>
      <c r="Q161" s="2">
        <v>0</v>
      </c>
      <c r="R161" s="3" t="s">
        <v>75</v>
      </c>
      <c r="S161">
        <f>COUNTIF(A:A,A161)</f>
        <v>1</v>
      </c>
      <c r="T161" t="str">
        <f>IF(OR(H161="",LOWER(TRIM(H161&amp;""))="missing",LOWER(TRIM(H161&amp;""))=""),"Missing/",IFERROR(IF(OR(VALUE(H161)&lt;0,VALUE(H161)&gt;110),"Invalid","Valid"),"Check Format"))</f>
        <v>Missing/</v>
      </c>
      <c r="U161" t="str">
        <f>IF(Raw_Data[[#This Row],[Age_Check]]="Valid",H161,"")</f>
        <v/>
      </c>
      <c r="V161" t="str">
        <f>IF(OR(K161="",UPPER(TRIM(K161&amp;""))="",LOWER(TRIM(K161&amp;""))="",LOWER(TRIM(K161&amp;""))="",LOWER(TRIM(K161&amp;""))="missing"),"Missing/",IFERROR(IF(VALUE(K161)&lt;0,"Invalid","Valid"),"Check Format"))</f>
        <v>Valid</v>
      </c>
      <c r="W161" t="str">
        <f>IF(OR(E161="",F161=""),"Missing Date/Time",IFERROR(IF(F161&gt;E161,"Arrival After Appointment","OK"),"Check Format"))</f>
        <v>OK</v>
      </c>
      <c r="X161" t="str">
        <f>IF(OR(F161="",G161=""),"Missing Date/Time",IFERROR(IF(G161&lt;F161,"Discharge Before Arrival","OK"),"Check Format"))</f>
        <v>OK</v>
      </c>
    </row>
    <row r="162" spans="1:24" x14ac:dyDescent="0.25">
      <c r="A162" s="2" t="s">
        <v>401</v>
      </c>
      <c r="B162" s="2" t="s">
        <v>152</v>
      </c>
      <c r="C162" s="3" t="s">
        <v>94</v>
      </c>
      <c r="D162" s="3" t="s">
        <v>55</v>
      </c>
      <c r="E162" s="4">
        <v>45723.715277777781</v>
      </c>
      <c r="F162" s="4">
        <v>45723.704861111109</v>
      </c>
      <c r="G162" s="4">
        <v>45723.756944444445</v>
      </c>
      <c r="H162" s="5">
        <v>56</v>
      </c>
      <c r="J162" s="3" t="s">
        <v>62</v>
      </c>
      <c r="K162" s="5">
        <v>4</v>
      </c>
      <c r="L162" s="5">
        <v>56</v>
      </c>
      <c r="N162" t="s">
        <v>91</v>
      </c>
      <c r="Q162" s="2">
        <v>276.60000000000002</v>
      </c>
      <c r="R162" s="3" t="s">
        <v>43</v>
      </c>
      <c r="S162">
        <f>COUNTIF(A:A,A162)</f>
        <v>1</v>
      </c>
      <c r="T162" t="str">
        <f>IF(OR(H162="",LOWER(TRIM(H162&amp;""))="missing",LOWER(TRIM(H162&amp;""))=""),"Missing/",IFERROR(IF(OR(VALUE(H162)&lt;0,VALUE(H162)&gt;110),"Invalid","Valid"),"Check Format"))</f>
        <v>Valid</v>
      </c>
      <c r="U162">
        <f>IF(Raw_Data[[#This Row],[Age_Check]]="Valid",H162,"")</f>
        <v>56</v>
      </c>
      <c r="V162" t="str">
        <f>IF(OR(K162="",UPPER(TRIM(K162&amp;""))="",LOWER(TRIM(K162&amp;""))="",LOWER(TRIM(K162&amp;""))="",LOWER(TRIM(K162&amp;""))="missing"),"Missing/",IFERROR(IF(VALUE(K162)&lt;0,"Invalid","Valid"),"Check Format"))</f>
        <v>Valid</v>
      </c>
      <c r="W162" t="str">
        <f>IF(OR(E162="",F162=""),"Missing Date/Time",IFERROR(IF(F162&gt;E162,"Arrival After Appointment","OK"),"Check Format"))</f>
        <v>OK</v>
      </c>
      <c r="X162" t="str">
        <f>IF(OR(F162="",G162=""),"Missing Date/Time",IFERROR(IF(G162&lt;F162,"Discharge Before Arrival","OK"),"Check Format"))</f>
        <v>OK</v>
      </c>
    </row>
    <row r="163" spans="1:24" x14ac:dyDescent="0.25">
      <c r="A163" s="2" t="s">
        <v>402</v>
      </c>
      <c r="B163" s="2" t="s">
        <v>316</v>
      </c>
      <c r="C163" s="3" t="s">
        <v>37</v>
      </c>
      <c r="D163" s="3" t="s">
        <v>47</v>
      </c>
      <c r="F163" s="4">
        <v>45743.280555555553</v>
      </c>
      <c r="G163" s="4">
        <v>45743.35833333333</v>
      </c>
      <c r="J163" s="3" t="s">
        <v>22</v>
      </c>
      <c r="K163" s="5">
        <v>49</v>
      </c>
      <c r="L163" s="5">
        <v>42</v>
      </c>
      <c r="M163" s="3" t="s">
        <v>23</v>
      </c>
      <c r="N163" t="s">
        <v>69</v>
      </c>
      <c r="P163" s="3" t="s">
        <v>42</v>
      </c>
      <c r="Q163" s="2">
        <v>169.9</v>
      </c>
      <c r="R163" s="3" t="s">
        <v>58</v>
      </c>
      <c r="S163">
        <f>COUNTIF(A:A,A163)</f>
        <v>1</v>
      </c>
      <c r="T163" t="str">
        <f>IF(OR(H163="",LOWER(TRIM(H163&amp;""))="missing",LOWER(TRIM(H163&amp;""))=""),"Missing/",IFERROR(IF(OR(VALUE(H163)&lt;0,VALUE(H163)&gt;110),"Invalid","Valid"),"Check Format"))</f>
        <v>Missing/</v>
      </c>
      <c r="U163" t="str">
        <f>IF(Raw_Data[[#This Row],[Age_Check]]="Valid",H163,"")</f>
        <v/>
      </c>
      <c r="V163" t="str">
        <f>IF(OR(K163="",UPPER(TRIM(K163&amp;""))="",LOWER(TRIM(K163&amp;""))="",LOWER(TRIM(K163&amp;""))="",LOWER(TRIM(K163&amp;""))="missing"),"Missing/",IFERROR(IF(VALUE(K163)&lt;0,"Invalid","Valid"),"Check Format"))</f>
        <v>Valid</v>
      </c>
      <c r="W163" t="str">
        <f>IF(OR(E163="",F163=""),"Missing Date/Time",IFERROR(IF(F163&gt;E163,"Arrival After Appointment","OK"),"Check Format"))</f>
        <v>Missing Date/Time</v>
      </c>
      <c r="X163" t="str">
        <f>IF(OR(F163="",G163=""),"Missing Date/Time",IFERROR(IF(G163&lt;F163,"Discharge Before Arrival","OK"),"Check Format"))</f>
        <v>OK</v>
      </c>
    </row>
    <row r="164" spans="1:24" x14ac:dyDescent="0.25">
      <c r="A164" s="2" t="s">
        <v>403</v>
      </c>
      <c r="B164" s="2" t="s">
        <v>404</v>
      </c>
      <c r="C164" s="3" t="s">
        <v>94</v>
      </c>
      <c r="D164" s="3" t="s">
        <v>115</v>
      </c>
      <c r="E164" s="4" t="s">
        <v>78</v>
      </c>
      <c r="F164" s="4">
        <v>45919.28125</v>
      </c>
      <c r="G164" s="4">
        <v>45919.442361111112</v>
      </c>
      <c r="H164" s="5">
        <v>42</v>
      </c>
      <c r="J164" s="3" t="s">
        <v>171</v>
      </c>
      <c r="K164" s="5">
        <v>165</v>
      </c>
      <c r="L164" s="5">
        <v>52</v>
      </c>
      <c r="M164" s="3" t="s">
        <v>50</v>
      </c>
      <c r="O164" s="5">
        <v>4</v>
      </c>
      <c r="P164" s="3" t="s">
        <v>25</v>
      </c>
      <c r="Q164" s="2">
        <v>134.77000000000001</v>
      </c>
      <c r="R164" s="3" t="s">
        <v>26</v>
      </c>
      <c r="S164">
        <f>COUNTIF(A:A,A164)</f>
        <v>1</v>
      </c>
      <c r="T164" t="str">
        <f>IF(OR(H164="",LOWER(TRIM(H164&amp;""))="missing",LOWER(TRIM(H164&amp;""))=""),"Missing/",IFERROR(IF(OR(VALUE(H164)&lt;0,VALUE(H164)&gt;110),"Invalid","Valid"),"Check Format"))</f>
        <v>Valid</v>
      </c>
      <c r="U164">
        <f>IF(Raw_Data[[#This Row],[Age_Check]]="Valid",H164,"")</f>
        <v>42</v>
      </c>
      <c r="V164" t="str">
        <f>IF(OR(K164="",UPPER(TRIM(K164&amp;""))="",LOWER(TRIM(K164&amp;""))="",LOWER(TRIM(K164&amp;""))="",LOWER(TRIM(K164&amp;""))="missing"),"Missing/",IFERROR(IF(VALUE(K164)&lt;0,"Invalid","Valid"),"Check Format"))</f>
        <v>Valid</v>
      </c>
      <c r="W164" t="str">
        <f>IF(OR(E164="",F164=""),"Missing Date/Time",IFERROR(IF(F164&gt;E164,"Arrival After Appointment","OK"),"Check Format"))</f>
        <v>OK</v>
      </c>
      <c r="X164" t="str">
        <f>IF(OR(F164="",G164=""),"Missing Date/Time",IFERROR(IF(G164&lt;F164,"Discharge Before Arrival","OK"),"Check Format"))</f>
        <v>OK</v>
      </c>
    </row>
    <row r="165" spans="1:24" x14ac:dyDescent="0.25">
      <c r="A165" s="2" t="s">
        <v>405</v>
      </c>
      <c r="B165" s="2" t="s">
        <v>161</v>
      </c>
      <c r="C165" s="3" t="s">
        <v>46</v>
      </c>
      <c r="D165" s="3" t="s">
        <v>66</v>
      </c>
      <c r="E165" s="4">
        <v>45413.621527777781</v>
      </c>
      <c r="F165" s="4">
        <v>45413.604166666664</v>
      </c>
      <c r="G165" s="4">
        <v>45413.64166666667</v>
      </c>
      <c r="J165" s="3" t="s">
        <v>67</v>
      </c>
      <c r="K165" s="5">
        <v>24</v>
      </c>
      <c r="L165" s="5">
        <v>5</v>
      </c>
      <c r="M165" s="3" t="s">
        <v>50</v>
      </c>
      <c r="N165" t="s">
        <v>24</v>
      </c>
      <c r="O165" s="5">
        <v>3</v>
      </c>
      <c r="Q165" s="2">
        <v>161.28</v>
      </c>
      <c r="R165" s="3" t="s">
        <v>58</v>
      </c>
      <c r="S165">
        <f>COUNTIF(A:A,A165)</f>
        <v>1</v>
      </c>
      <c r="T165" t="str">
        <f>IF(OR(H165="",LOWER(TRIM(H165&amp;""))="missing",LOWER(TRIM(H165&amp;""))=""),"Missing/",IFERROR(IF(OR(VALUE(H165)&lt;0,VALUE(H165)&gt;110),"Invalid","Valid"),"Check Format"))</f>
        <v>Missing/</v>
      </c>
      <c r="U165" t="str">
        <f>IF(Raw_Data[[#This Row],[Age_Check]]="Valid",H165,"")</f>
        <v/>
      </c>
      <c r="V165" t="str">
        <f>IF(OR(K165="",UPPER(TRIM(K165&amp;""))="",LOWER(TRIM(K165&amp;""))="",LOWER(TRIM(K165&amp;""))="",LOWER(TRIM(K165&amp;""))="missing"),"Missing/",IFERROR(IF(VALUE(K165)&lt;0,"Invalid","Valid"),"Check Format"))</f>
        <v>Valid</v>
      </c>
      <c r="W165" t="str">
        <f>IF(OR(E165="",F165=""),"Missing Date/Time",IFERROR(IF(F165&gt;E165,"Arrival After Appointment","OK"),"Check Format"))</f>
        <v>OK</v>
      </c>
      <c r="X165" t="str">
        <f>IF(OR(F165="",G165=""),"Missing Date/Time",IFERROR(IF(G165&lt;F165,"Discharge Before Arrival","OK"),"Check Format"))</f>
        <v>OK</v>
      </c>
    </row>
    <row r="166" spans="1:24" x14ac:dyDescent="0.25">
      <c r="A166" s="2" t="s">
        <v>406</v>
      </c>
      <c r="B166" s="2" t="s">
        <v>407</v>
      </c>
      <c r="C166" s="3" t="s">
        <v>46</v>
      </c>
      <c r="D166" s="3" t="s">
        <v>66</v>
      </c>
      <c r="E166" s="4">
        <v>45964.538194444445</v>
      </c>
      <c r="F166" s="4">
        <v>45964.520138888889</v>
      </c>
      <c r="G166" s="4">
        <v>45964.563888888886</v>
      </c>
      <c r="H166" s="5">
        <v>145</v>
      </c>
      <c r="I166" s="3" t="s">
        <v>39</v>
      </c>
      <c r="J166" s="3" t="s">
        <v>62</v>
      </c>
      <c r="K166" s="5">
        <v>31</v>
      </c>
      <c r="L166" s="5">
        <v>6</v>
      </c>
      <c r="M166" s="3" t="s">
        <v>23</v>
      </c>
      <c r="N166" t="s">
        <v>74</v>
      </c>
      <c r="O166" s="5">
        <v>4</v>
      </c>
      <c r="Q166" s="2">
        <v>93.27</v>
      </c>
      <c r="R166" s="3" t="s">
        <v>58</v>
      </c>
      <c r="S166">
        <f>COUNTIF(A:A,A166)</f>
        <v>1</v>
      </c>
      <c r="T166" t="str">
        <f>IF(OR(H166="",LOWER(TRIM(H166&amp;""))="missing",LOWER(TRIM(H166&amp;""))=""),"Missing/",IFERROR(IF(OR(VALUE(H166)&lt;0,VALUE(H166)&gt;110),"Invalid","Valid"),"Check Format"))</f>
        <v>Invalid</v>
      </c>
      <c r="U166" t="str">
        <f>IF(Raw_Data[[#This Row],[Age_Check]]="Valid",H166,"")</f>
        <v/>
      </c>
      <c r="V166" t="str">
        <f>IF(OR(K166="",UPPER(TRIM(K166&amp;""))="",LOWER(TRIM(K166&amp;""))="",LOWER(TRIM(K166&amp;""))="",LOWER(TRIM(K166&amp;""))="missing"),"Missing/",IFERROR(IF(VALUE(K166)&lt;0,"Invalid","Valid"),"Check Format"))</f>
        <v>Valid</v>
      </c>
      <c r="W166" t="str">
        <f>IF(OR(E166="",F166=""),"Missing Date/Time",IFERROR(IF(F166&gt;E166,"Arrival After Appointment","OK"),"Check Format"))</f>
        <v>OK</v>
      </c>
      <c r="X166" t="str">
        <f>IF(OR(F166="",G166=""),"Missing Date/Time",IFERROR(IF(G166&lt;F166,"Discharge Before Arrival","OK"),"Check Format"))</f>
        <v>OK</v>
      </c>
    </row>
    <row r="167" spans="1:24" x14ac:dyDescent="0.25">
      <c r="A167" s="2" t="s">
        <v>408</v>
      </c>
      <c r="B167" s="2" t="s">
        <v>154</v>
      </c>
      <c r="C167" s="3" t="s">
        <v>94</v>
      </c>
      <c r="D167" s="3" t="s">
        <v>99</v>
      </c>
      <c r="E167" s="4">
        <v>45810.440972222219</v>
      </c>
      <c r="G167" s="4">
        <v>45694.497916666667</v>
      </c>
      <c r="H167" s="5">
        <v>86</v>
      </c>
      <c r="I167" s="3" t="s">
        <v>73</v>
      </c>
      <c r="J167" s="3" t="s">
        <v>2639</v>
      </c>
      <c r="K167" s="5">
        <v>20</v>
      </c>
      <c r="L167" s="5">
        <v>62</v>
      </c>
      <c r="M167" s="3" t="s">
        <v>32</v>
      </c>
      <c r="O167" s="5">
        <v>0</v>
      </c>
      <c r="P167" s="3" t="s">
        <v>25</v>
      </c>
      <c r="Q167" s="2">
        <v>215.53</v>
      </c>
      <c r="R167" s="3" t="s">
        <v>58</v>
      </c>
      <c r="S167">
        <f>COUNTIF(A:A,A167)</f>
        <v>1</v>
      </c>
      <c r="T167" t="str">
        <f>IF(OR(H167="",LOWER(TRIM(H167&amp;""))="missing",LOWER(TRIM(H167&amp;""))=""),"Missing/",IFERROR(IF(OR(VALUE(H167)&lt;0,VALUE(H167)&gt;110),"Invalid","Valid"),"Check Format"))</f>
        <v>Valid</v>
      </c>
      <c r="U167">
        <f>IF(Raw_Data[[#This Row],[Age_Check]]="Valid",H167,"")</f>
        <v>86</v>
      </c>
      <c r="V167" t="str">
        <f>IF(OR(K167="",UPPER(TRIM(K167&amp;""))="",LOWER(TRIM(K167&amp;""))="",LOWER(TRIM(K167&amp;""))="",LOWER(TRIM(K167&amp;""))="missing"),"Missing/",IFERROR(IF(VALUE(K167)&lt;0,"Invalid","Valid"),"Check Format"))</f>
        <v>Valid</v>
      </c>
      <c r="W167" t="str">
        <f>IF(OR(E167="",F167=""),"Missing Date/Time",IFERROR(IF(F167&gt;E167,"Arrival After Appointment","OK"),"Check Format"))</f>
        <v>Missing Date/Time</v>
      </c>
      <c r="X167" t="str">
        <f>IF(OR(F167="",G167=""),"Missing Date/Time",IFERROR(IF(G167&lt;F167,"Discharge Before Arrival","OK"),"Check Format"))</f>
        <v>Missing Date/Time</v>
      </c>
    </row>
    <row r="168" spans="1:24" x14ac:dyDescent="0.25">
      <c r="A168" s="2" t="s">
        <v>409</v>
      </c>
      <c r="B168" s="2" t="s">
        <v>410</v>
      </c>
      <c r="C168" s="3" t="s">
        <v>29</v>
      </c>
      <c r="D168" s="3" t="s">
        <v>99</v>
      </c>
      <c r="E168" s="4">
        <v>45812.413194444445</v>
      </c>
      <c r="F168" s="4">
        <v>45812.404861111114</v>
      </c>
      <c r="G168" s="4">
        <v>45812.493055555555</v>
      </c>
      <c r="H168" s="5">
        <v>88</v>
      </c>
      <c r="I168" s="3" t="s">
        <v>90</v>
      </c>
      <c r="J168" s="3" t="s">
        <v>171</v>
      </c>
      <c r="K168" s="5">
        <v>57</v>
      </c>
      <c r="L168" s="5">
        <v>58</v>
      </c>
      <c r="N168" t="s">
        <v>91</v>
      </c>
      <c r="O168" s="5">
        <v>4</v>
      </c>
      <c r="P168" s="3" t="s">
        <v>80</v>
      </c>
      <c r="Q168" s="2">
        <v>151.19</v>
      </c>
      <c r="R168" s="3" t="s">
        <v>26</v>
      </c>
      <c r="S168">
        <f>COUNTIF(A:A,A168)</f>
        <v>1</v>
      </c>
      <c r="T168" t="str">
        <f>IF(OR(H168="",LOWER(TRIM(H168&amp;""))="missing",LOWER(TRIM(H168&amp;""))=""),"Missing/",IFERROR(IF(OR(VALUE(H168)&lt;0,VALUE(H168)&gt;110),"Invalid","Valid"),"Check Format"))</f>
        <v>Valid</v>
      </c>
      <c r="U168">
        <f>IF(Raw_Data[[#This Row],[Age_Check]]="Valid",H168,"")</f>
        <v>88</v>
      </c>
      <c r="V168" t="str">
        <f>IF(OR(K168="",UPPER(TRIM(K168&amp;""))="",LOWER(TRIM(K168&amp;""))="",LOWER(TRIM(K168&amp;""))="",LOWER(TRIM(K168&amp;""))="missing"),"Missing/",IFERROR(IF(VALUE(K168)&lt;0,"Invalid","Valid"),"Check Format"))</f>
        <v>Valid</v>
      </c>
      <c r="W168" t="str">
        <f>IF(OR(E168="",F168=""),"Missing Date/Time",IFERROR(IF(F168&gt;E168,"Arrival After Appointment","OK"),"Check Format"))</f>
        <v>OK</v>
      </c>
      <c r="X168" t="str">
        <f>IF(OR(F168="",G168=""),"Missing Date/Time",IFERROR(IF(G168&lt;F168,"Discharge Before Arrival","OK"),"Check Format"))</f>
        <v>OK</v>
      </c>
    </row>
    <row r="169" spans="1:24" x14ac:dyDescent="0.25">
      <c r="A169" s="2" t="s">
        <v>411</v>
      </c>
      <c r="B169" s="2" t="s">
        <v>412</v>
      </c>
      <c r="C169" s="3" t="s">
        <v>46</v>
      </c>
      <c r="D169" s="3" t="s">
        <v>20</v>
      </c>
      <c r="E169" s="4">
        <v>46020.777777777781</v>
      </c>
      <c r="F169" s="4">
        <v>46020.757638888892</v>
      </c>
      <c r="G169" s="4">
        <v>46020.837500000001</v>
      </c>
      <c r="H169" s="5">
        <v>83</v>
      </c>
      <c r="J169" s="3" t="s">
        <v>2639</v>
      </c>
      <c r="K169" s="5">
        <v>27</v>
      </c>
      <c r="L169" s="5">
        <v>59</v>
      </c>
      <c r="M169" s="3" t="s">
        <v>41</v>
      </c>
      <c r="N169" t="s">
        <v>100</v>
      </c>
      <c r="O169" s="5">
        <v>0</v>
      </c>
      <c r="P169" s="3" t="s">
        <v>25</v>
      </c>
      <c r="Q169" s="2">
        <v>188.11</v>
      </c>
      <c r="R169" s="3" t="s">
        <v>58</v>
      </c>
      <c r="S169">
        <f>COUNTIF(A:A,A169)</f>
        <v>1</v>
      </c>
      <c r="T169" t="str">
        <f>IF(OR(H169="",LOWER(TRIM(H169&amp;""))="missing",LOWER(TRIM(H169&amp;""))=""),"Missing/",IFERROR(IF(OR(VALUE(H169)&lt;0,VALUE(H169)&gt;110),"Invalid","Valid"),"Check Format"))</f>
        <v>Valid</v>
      </c>
      <c r="U169">
        <f>IF(Raw_Data[[#This Row],[Age_Check]]="Valid",H169,"")</f>
        <v>83</v>
      </c>
      <c r="V169" t="str">
        <f>IF(OR(K169="",UPPER(TRIM(K169&amp;""))="",LOWER(TRIM(K169&amp;""))="",LOWER(TRIM(K169&amp;""))="",LOWER(TRIM(K169&amp;""))="missing"),"Missing/",IFERROR(IF(VALUE(K169)&lt;0,"Invalid","Valid"),"Check Format"))</f>
        <v>Valid</v>
      </c>
      <c r="W169" t="str">
        <f>IF(OR(E169="",F169=""),"Missing Date/Time",IFERROR(IF(F169&gt;E169,"Arrival After Appointment","OK"),"Check Format"))</f>
        <v>OK</v>
      </c>
      <c r="X169" t="str">
        <f>IF(OR(F169="",G169=""),"Missing Date/Time",IFERROR(IF(G169&lt;F169,"Discharge Before Arrival","OK"),"Check Format"))</f>
        <v>OK</v>
      </c>
    </row>
    <row r="170" spans="1:24" x14ac:dyDescent="0.25">
      <c r="A170" s="2" t="s">
        <v>413</v>
      </c>
      <c r="B170" s="2" t="s">
        <v>141</v>
      </c>
      <c r="C170" s="3" t="s">
        <v>46</v>
      </c>
      <c r="D170" s="3" t="s">
        <v>23</v>
      </c>
      <c r="E170" s="4">
        <v>45724.319444444445</v>
      </c>
      <c r="F170" s="4">
        <v>45724.302777777775</v>
      </c>
      <c r="G170" s="4">
        <v>45724.353472222225</v>
      </c>
      <c r="I170" s="3" t="s">
        <v>95</v>
      </c>
      <c r="J170" s="3" t="s">
        <v>62</v>
      </c>
      <c r="K170" s="5">
        <v>21</v>
      </c>
      <c r="L170" s="5">
        <v>28</v>
      </c>
      <c r="M170" s="3" t="s">
        <v>87</v>
      </c>
      <c r="N170" t="s">
        <v>103</v>
      </c>
      <c r="O170" s="5">
        <v>2</v>
      </c>
      <c r="P170" s="3" t="s">
        <v>25</v>
      </c>
      <c r="Q170" s="2">
        <v>74.95</v>
      </c>
      <c r="R170" s="3" t="s">
        <v>58</v>
      </c>
      <c r="S170">
        <f>COUNTIF(A:A,A170)</f>
        <v>1</v>
      </c>
      <c r="T170" t="str">
        <f>IF(OR(H170="",LOWER(TRIM(H170&amp;""))="missing",LOWER(TRIM(H170&amp;""))=""),"Missing/",IFERROR(IF(OR(VALUE(H170)&lt;0,VALUE(H170)&gt;110),"Invalid","Valid"),"Check Format"))</f>
        <v>Missing/</v>
      </c>
      <c r="U170" t="str">
        <f>IF(Raw_Data[[#This Row],[Age_Check]]="Valid",H170,"")</f>
        <v/>
      </c>
      <c r="V170" t="str">
        <f>IF(OR(K170="",UPPER(TRIM(K170&amp;""))="",LOWER(TRIM(K170&amp;""))="",LOWER(TRIM(K170&amp;""))="",LOWER(TRIM(K170&amp;""))="missing"),"Missing/",IFERROR(IF(VALUE(K170)&lt;0,"Invalid","Valid"),"Check Format"))</f>
        <v>Valid</v>
      </c>
      <c r="W170" t="str">
        <f>IF(OR(E170="",F170=""),"Missing Date/Time",IFERROR(IF(F170&gt;E170,"Arrival After Appointment","OK"),"Check Format"))</f>
        <v>OK</v>
      </c>
      <c r="X170" t="str">
        <f>IF(OR(F170="",G170=""),"Missing Date/Time",IFERROR(IF(G170&lt;F170,"Discharge Before Arrival","OK"),"Check Format"))</f>
        <v>OK</v>
      </c>
    </row>
    <row r="171" spans="1:24" x14ac:dyDescent="0.25">
      <c r="A171" s="2" t="s">
        <v>414</v>
      </c>
      <c r="B171" s="2" t="s">
        <v>182</v>
      </c>
      <c r="C171" s="3" t="s">
        <v>46</v>
      </c>
      <c r="D171" s="3" t="s">
        <v>72</v>
      </c>
      <c r="E171" s="4">
        <v>45521.784722222219</v>
      </c>
      <c r="F171" s="4">
        <v>45521.78402777778</v>
      </c>
      <c r="G171" s="4">
        <v>45521.824305555558</v>
      </c>
      <c r="I171" s="3" t="s">
        <v>39</v>
      </c>
      <c r="K171" s="5">
        <v>9</v>
      </c>
      <c r="L171" s="5">
        <v>48</v>
      </c>
      <c r="M171" s="3" t="s">
        <v>87</v>
      </c>
      <c r="N171" t="s">
        <v>74</v>
      </c>
      <c r="O171" s="5">
        <v>6</v>
      </c>
      <c r="Q171" s="2">
        <v>297.75</v>
      </c>
      <c r="R171" s="3" t="s">
        <v>58</v>
      </c>
      <c r="S171">
        <f>COUNTIF(A:A,A171)</f>
        <v>1</v>
      </c>
      <c r="T171" t="str">
        <f>IF(OR(H171="",LOWER(TRIM(H171&amp;""))="missing",LOWER(TRIM(H171&amp;""))=""),"Missing/",IFERROR(IF(OR(VALUE(H171)&lt;0,VALUE(H171)&gt;110),"Invalid","Valid"),"Check Format"))</f>
        <v>Missing/</v>
      </c>
      <c r="U171" t="str">
        <f>IF(Raw_Data[[#This Row],[Age_Check]]="Valid",H171,"")</f>
        <v/>
      </c>
      <c r="V171" t="str">
        <f>IF(OR(K171="",UPPER(TRIM(K171&amp;""))="",LOWER(TRIM(K171&amp;""))="",LOWER(TRIM(K171&amp;""))="",LOWER(TRIM(K171&amp;""))="missing"),"Missing/",IFERROR(IF(VALUE(K171)&lt;0,"Invalid","Valid"),"Check Format"))</f>
        <v>Valid</v>
      </c>
      <c r="W171" t="str">
        <f>IF(OR(E171="",F171=""),"Missing Date/Time",IFERROR(IF(F171&gt;E171,"Arrival After Appointment","OK"),"Check Format"))</f>
        <v>OK</v>
      </c>
      <c r="X171" t="str">
        <f>IF(OR(F171="",G171=""),"Missing Date/Time",IFERROR(IF(G171&lt;F171,"Discharge Before Arrival","OK"),"Check Format"))</f>
        <v>OK</v>
      </c>
    </row>
    <row r="172" spans="1:24" x14ac:dyDescent="0.25">
      <c r="A172" s="2" t="s">
        <v>415</v>
      </c>
      <c r="B172" s="2" t="s">
        <v>416</v>
      </c>
      <c r="C172" s="3" t="s">
        <v>46</v>
      </c>
      <c r="D172" s="3" t="s">
        <v>99</v>
      </c>
      <c r="E172" s="4">
        <v>45955.53125</v>
      </c>
      <c r="F172" s="4">
        <v>45955.51666666667</v>
      </c>
      <c r="H172" s="5">
        <v>145</v>
      </c>
      <c r="I172" s="3" t="s">
        <v>73</v>
      </c>
      <c r="K172" s="5">
        <v>9</v>
      </c>
      <c r="L172" s="5">
        <v>600</v>
      </c>
      <c r="N172" t="s">
        <v>74</v>
      </c>
      <c r="O172" s="5">
        <v>6</v>
      </c>
      <c r="P172" s="3" t="s">
        <v>25</v>
      </c>
      <c r="Q172" s="2">
        <v>92.95</v>
      </c>
      <c r="R172" s="3" t="s">
        <v>26</v>
      </c>
      <c r="S172">
        <f>COUNTIF(A:A,A172)</f>
        <v>1</v>
      </c>
      <c r="T172" t="str">
        <f>IF(OR(H172="",LOWER(TRIM(H172&amp;""))="missing",LOWER(TRIM(H172&amp;""))=""),"Missing/",IFERROR(IF(OR(VALUE(H172)&lt;0,VALUE(H172)&gt;110),"Invalid","Valid"),"Check Format"))</f>
        <v>Invalid</v>
      </c>
      <c r="U172" t="str">
        <f>IF(Raw_Data[[#This Row],[Age_Check]]="Valid",H172,"")</f>
        <v/>
      </c>
      <c r="V172" t="str">
        <f>IF(OR(K172="",UPPER(TRIM(K172&amp;""))="",LOWER(TRIM(K172&amp;""))="",LOWER(TRIM(K172&amp;""))="",LOWER(TRIM(K172&amp;""))="missing"),"Missing/",IFERROR(IF(VALUE(K172)&lt;0,"Invalid","Valid"),"Check Format"))</f>
        <v>Valid</v>
      </c>
      <c r="W172" t="str">
        <f>IF(OR(E172="",F172=""),"Missing Date/Time",IFERROR(IF(F172&gt;E172,"Arrival After Appointment","OK"),"Check Format"))</f>
        <v>OK</v>
      </c>
      <c r="X172" t="str">
        <f>IF(OR(F172="",G172=""),"Missing Date/Time",IFERROR(IF(G172&lt;F172,"Discharge Before Arrival","OK"),"Check Format"))</f>
        <v>Missing Date/Time</v>
      </c>
    </row>
    <row r="173" spans="1:24" x14ac:dyDescent="0.25">
      <c r="A173" s="2" t="s">
        <v>417</v>
      </c>
      <c r="B173" s="2" t="s">
        <v>418</v>
      </c>
      <c r="C173" s="3" t="s">
        <v>46</v>
      </c>
      <c r="D173" s="3" t="s">
        <v>149</v>
      </c>
      <c r="E173" s="4">
        <v>45450.298611111109</v>
      </c>
      <c r="F173" s="4">
        <v>45450.286111111112</v>
      </c>
      <c r="G173" s="4">
        <v>45450.34097222222</v>
      </c>
      <c r="J173" s="3" t="s">
        <v>150</v>
      </c>
      <c r="K173" s="5">
        <v>40</v>
      </c>
      <c r="L173" s="5">
        <v>21</v>
      </c>
      <c r="M173" s="3" t="s">
        <v>50</v>
      </c>
      <c r="N173" t="s">
        <v>69</v>
      </c>
      <c r="O173" s="5">
        <v>6</v>
      </c>
      <c r="P173" s="3" t="s">
        <v>80</v>
      </c>
      <c r="Q173" s="2">
        <v>75.88</v>
      </c>
      <c r="R173" s="3" t="s">
        <v>26</v>
      </c>
      <c r="S173">
        <f>COUNTIF(A:A,A173)</f>
        <v>1</v>
      </c>
      <c r="T173" t="str">
        <f>IF(OR(H173="",LOWER(TRIM(H173&amp;""))="missing",LOWER(TRIM(H173&amp;""))=""),"Missing/",IFERROR(IF(OR(VALUE(H173)&lt;0,VALUE(H173)&gt;110),"Invalid","Valid"),"Check Format"))</f>
        <v>Missing/</v>
      </c>
      <c r="U173" t="str">
        <f>IF(Raw_Data[[#This Row],[Age_Check]]="Valid",H173,"")</f>
        <v/>
      </c>
      <c r="V173" t="str">
        <f>IF(OR(K173="",UPPER(TRIM(K173&amp;""))="",LOWER(TRIM(K173&amp;""))="",LOWER(TRIM(K173&amp;""))="",LOWER(TRIM(K173&amp;""))="missing"),"Missing/",IFERROR(IF(VALUE(K173)&lt;0,"Invalid","Valid"),"Check Format"))</f>
        <v>Valid</v>
      </c>
      <c r="W173" t="str">
        <f>IF(OR(E173="",F173=""),"Missing Date/Time",IFERROR(IF(F173&gt;E173,"Arrival After Appointment","OK"),"Check Format"))</f>
        <v>OK</v>
      </c>
      <c r="X173" t="str">
        <f>IF(OR(F173="",G173=""),"Missing Date/Time",IFERROR(IF(G173&lt;F173,"Discharge Before Arrival","OK"),"Check Format"))</f>
        <v>OK</v>
      </c>
    </row>
    <row r="174" spans="1:24" x14ac:dyDescent="0.25">
      <c r="A174" s="2" t="s">
        <v>419</v>
      </c>
      <c r="B174" s="2" t="s">
        <v>256</v>
      </c>
      <c r="D174" s="3" t="s">
        <v>61</v>
      </c>
      <c r="E174" s="4">
        <v>45971.517361111109</v>
      </c>
      <c r="F174" s="4">
        <v>45971.499305555553</v>
      </c>
      <c r="G174" s="4">
        <v>45971.570138888892</v>
      </c>
      <c r="H174" s="5">
        <v>83</v>
      </c>
      <c r="I174" s="3" t="s">
        <v>39</v>
      </c>
      <c r="J174" s="3" t="s">
        <v>150</v>
      </c>
      <c r="K174" s="5">
        <v>59</v>
      </c>
      <c r="L174" s="5">
        <v>17</v>
      </c>
      <c r="M174" s="3" t="s">
        <v>32</v>
      </c>
      <c r="N174" t="s">
        <v>24</v>
      </c>
      <c r="O174" s="5">
        <v>5</v>
      </c>
      <c r="P174" s="3" t="s">
        <v>25</v>
      </c>
      <c r="Q174" s="2">
        <v>166.64</v>
      </c>
      <c r="R174" s="3" t="s">
        <v>75</v>
      </c>
      <c r="S174">
        <f>COUNTIF(A:A,A174)</f>
        <v>1</v>
      </c>
      <c r="T174" t="str">
        <f>IF(OR(H174="",LOWER(TRIM(H174&amp;""))="missing",LOWER(TRIM(H174&amp;""))=""),"Missing/",IFERROR(IF(OR(VALUE(H174)&lt;0,VALUE(H174)&gt;110),"Invalid","Valid"),"Check Format"))</f>
        <v>Valid</v>
      </c>
      <c r="U174">
        <f>IF(Raw_Data[[#This Row],[Age_Check]]="Valid",H174,"")</f>
        <v>83</v>
      </c>
      <c r="V174" t="str">
        <f>IF(OR(K174="",UPPER(TRIM(K174&amp;""))="",LOWER(TRIM(K174&amp;""))="",LOWER(TRIM(K174&amp;""))="",LOWER(TRIM(K174&amp;""))="missing"),"Missing/",IFERROR(IF(VALUE(K174)&lt;0,"Invalid","Valid"),"Check Format"))</f>
        <v>Valid</v>
      </c>
      <c r="W174" t="str">
        <f>IF(OR(E174="",F174=""),"Missing Date/Time",IFERROR(IF(F174&gt;E174,"Arrival After Appointment","OK"),"Check Format"))</f>
        <v>OK</v>
      </c>
      <c r="X174" t="str">
        <f>IF(OR(F174="",G174=""),"Missing Date/Time",IFERROR(IF(G174&lt;F174,"Discharge Before Arrival","OK"),"Check Format"))</f>
        <v>OK</v>
      </c>
    </row>
    <row r="175" spans="1:24" x14ac:dyDescent="0.25">
      <c r="A175" s="2" t="s">
        <v>420</v>
      </c>
      <c r="B175" s="2" t="s">
        <v>421</v>
      </c>
      <c r="D175" s="3" t="s">
        <v>23</v>
      </c>
      <c r="E175" s="4" t="s">
        <v>422</v>
      </c>
      <c r="F175" s="4">
        <v>45554.656944444447</v>
      </c>
      <c r="G175" s="4">
        <v>45554.720833333333</v>
      </c>
      <c r="H175" s="5">
        <v>145</v>
      </c>
      <c r="I175" s="3" t="s">
        <v>73</v>
      </c>
      <c r="J175" s="3" t="s">
        <v>22</v>
      </c>
      <c r="K175" s="5">
        <v>56</v>
      </c>
      <c r="L175" s="5">
        <v>27</v>
      </c>
      <c r="M175" s="3" t="s">
        <v>23</v>
      </c>
      <c r="N175" t="s">
        <v>69</v>
      </c>
      <c r="O175" s="5">
        <v>5</v>
      </c>
      <c r="P175" s="3" t="s">
        <v>42</v>
      </c>
      <c r="R175" s="3" t="s">
        <v>43</v>
      </c>
      <c r="S175">
        <f>COUNTIF(A:A,A175)</f>
        <v>1</v>
      </c>
      <c r="T175" t="str">
        <f>IF(OR(H175="",LOWER(TRIM(H175&amp;""))="missing",LOWER(TRIM(H175&amp;""))=""),"Missing/",IFERROR(IF(OR(VALUE(H175)&lt;0,VALUE(H175)&gt;110),"Invalid","Valid"),"Check Format"))</f>
        <v>Invalid</v>
      </c>
      <c r="U175" t="str">
        <f>IF(Raw_Data[[#This Row],[Age_Check]]="Valid",H175,"")</f>
        <v/>
      </c>
      <c r="V175" t="str">
        <f>IF(OR(K175="",UPPER(TRIM(K175&amp;""))="",LOWER(TRIM(K175&amp;""))="",LOWER(TRIM(K175&amp;""))="",LOWER(TRIM(K175&amp;""))="missing"),"Missing/",IFERROR(IF(VALUE(K175)&lt;0,"Invalid","Valid"),"Check Format"))</f>
        <v>Valid</v>
      </c>
      <c r="W175" t="str">
        <f>IF(OR(E175="",F175=""),"Missing Date/Time",IFERROR(IF(F175&gt;E175,"Arrival After Appointment","OK"),"Check Format"))</f>
        <v>OK</v>
      </c>
      <c r="X175" t="str">
        <f>IF(OR(F175="",G175=""),"Missing Date/Time",IFERROR(IF(G175&lt;F175,"Discharge Before Arrival","OK"),"Check Format"))</f>
        <v>OK</v>
      </c>
    </row>
    <row r="176" spans="1:24" x14ac:dyDescent="0.25">
      <c r="A176" s="2" t="s">
        <v>423</v>
      </c>
      <c r="B176" s="2" t="s">
        <v>392</v>
      </c>
      <c r="C176" s="3" t="s">
        <v>94</v>
      </c>
      <c r="D176" s="3" t="s">
        <v>47</v>
      </c>
      <c r="E176" s="4">
        <v>45842.788194444445</v>
      </c>
      <c r="G176" s="4">
        <v>45842.820833333331</v>
      </c>
      <c r="H176" s="5">
        <v>4</v>
      </c>
      <c r="I176" s="3" t="s">
        <v>95</v>
      </c>
      <c r="J176" s="3" t="s">
        <v>67</v>
      </c>
      <c r="K176" s="5">
        <v>26</v>
      </c>
      <c r="L176" s="5">
        <v>21</v>
      </c>
      <c r="M176" s="3" t="s">
        <v>68</v>
      </c>
      <c r="N176" t="s">
        <v>103</v>
      </c>
      <c r="O176" s="5">
        <v>6</v>
      </c>
      <c r="Q176" s="2">
        <v>205.43</v>
      </c>
      <c r="R176" s="3" t="s">
        <v>75</v>
      </c>
      <c r="S176">
        <f>COUNTIF(A:A,A176)</f>
        <v>1</v>
      </c>
      <c r="T176" t="str">
        <f>IF(OR(H176="",LOWER(TRIM(H176&amp;""))="missing",LOWER(TRIM(H176&amp;""))=""),"Missing/",IFERROR(IF(OR(VALUE(H176)&lt;0,VALUE(H176)&gt;110),"Invalid","Valid"),"Check Format"))</f>
        <v>Valid</v>
      </c>
      <c r="U176">
        <f>IF(Raw_Data[[#This Row],[Age_Check]]="Valid",H176,"")</f>
        <v>4</v>
      </c>
      <c r="V176" t="str">
        <f>IF(OR(K176="",UPPER(TRIM(K176&amp;""))="",LOWER(TRIM(K176&amp;""))="",LOWER(TRIM(K176&amp;""))="",LOWER(TRIM(K176&amp;""))="missing"),"Missing/",IFERROR(IF(VALUE(K176)&lt;0,"Invalid","Valid"),"Check Format"))</f>
        <v>Valid</v>
      </c>
      <c r="W176" t="str">
        <f>IF(OR(E176="",F176=""),"Missing Date/Time",IFERROR(IF(F176&gt;E176,"Arrival After Appointment","OK"),"Check Format"))</f>
        <v>Missing Date/Time</v>
      </c>
      <c r="X176" t="str">
        <f>IF(OR(F176="",G176=""),"Missing Date/Time",IFERROR(IF(G176&lt;F176,"Discharge Before Arrival","OK"),"Check Format"))</f>
        <v>Missing Date/Time</v>
      </c>
    </row>
    <row r="177" spans="1:24" x14ac:dyDescent="0.25">
      <c r="A177" s="2" t="s">
        <v>424</v>
      </c>
      <c r="B177" s="2" t="s">
        <v>397</v>
      </c>
      <c r="C177" s="3" t="s">
        <v>19</v>
      </c>
      <c r="D177" s="3" t="s">
        <v>115</v>
      </c>
      <c r="E177" s="4">
        <v>45615.3125</v>
      </c>
      <c r="F177" s="4">
        <v>45615.3</v>
      </c>
      <c r="H177" s="5">
        <v>145</v>
      </c>
      <c r="I177" s="3" t="s">
        <v>73</v>
      </c>
      <c r="J177" s="3" t="s">
        <v>62</v>
      </c>
      <c r="K177" s="5">
        <v>75</v>
      </c>
      <c r="L177" s="5">
        <v>14</v>
      </c>
      <c r="M177" s="3" t="s">
        <v>63</v>
      </c>
      <c r="N177" t="s">
        <v>103</v>
      </c>
      <c r="Q177" s="2">
        <v>152.94999999999999</v>
      </c>
      <c r="R177" s="3" t="s">
        <v>58</v>
      </c>
      <c r="S177">
        <f>COUNTIF(A:A,A177)</f>
        <v>1</v>
      </c>
      <c r="T177" t="str">
        <f>IF(OR(H177="",LOWER(TRIM(H177&amp;""))="missing",LOWER(TRIM(H177&amp;""))=""),"Missing/",IFERROR(IF(OR(VALUE(H177)&lt;0,VALUE(H177)&gt;110),"Invalid","Valid"),"Check Format"))</f>
        <v>Invalid</v>
      </c>
      <c r="U177" t="str">
        <f>IF(Raw_Data[[#This Row],[Age_Check]]="Valid",H177,"")</f>
        <v/>
      </c>
      <c r="V177" t="str">
        <f>IF(OR(K177="",UPPER(TRIM(K177&amp;""))="",LOWER(TRIM(K177&amp;""))="",LOWER(TRIM(K177&amp;""))="",LOWER(TRIM(K177&amp;""))="missing"),"Missing/",IFERROR(IF(VALUE(K177)&lt;0,"Invalid","Valid"),"Check Format"))</f>
        <v>Valid</v>
      </c>
      <c r="W177" t="str">
        <f>IF(OR(E177="",F177=""),"Missing Date/Time",IFERROR(IF(F177&gt;E177,"Arrival After Appointment","OK"),"Check Format"))</f>
        <v>OK</v>
      </c>
      <c r="X177" t="str">
        <f>IF(OR(F177="",G177=""),"Missing Date/Time",IFERROR(IF(G177&lt;F177,"Discharge Before Arrival","OK"),"Check Format"))</f>
        <v>Missing Date/Time</v>
      </c>
    </row>
    <row r="178" spans="1:24" x14ac:dyDescent="0.25">
      <c r="A178" s="2" t="s">
        <v>425</v>
      </c>
      <c r="B178" s="2" t="s">
        <v>218</v>
      </c>
      <c r="C178" s="3" t="s">
        <v>46</v>
      </c>
      <c r="D178" s="3" t="s">
        <v>38</v>
      </c>
      <c r="E178" s="4" t="s">
        <v>426</v>
      </c>
      <c r="F178" s="4">
        <v>45838.40347222222</v>
      </c>
      <c r="G178" s="4">
        <v>45838.48541666667</v>
      </c>
      <c r="I178" s="3" t="s">
        <v>95</v>
      </c>
      <c r="J178" s="3" t="s">
        <v>67</v>
      </c>
      <c r="K178" s="5">
        <v>84</v>
      </c>
      <c r="L178" s="5">
        <v>5</v>
      </c>
      <c r="M178" s="3" t="s">
        <v>68</v>
      </c>
      <c r="N178" t="s">
        <v>100</v>
      </c>
      <c r="O178" s="5">
        <v>6</v>
      </c>
      <c r="P178" s="3" t="s">
        <v>25</v>
      </c>
      <c r="Q178" s="2">
        <v>188.47</v>
      </c>
      <c r="R178" s="3" t="s">
        <v>26</v>
      </c>
      <c r="S178">
        <f>COUNTIF(A:A,A178)</f>
        <v>1</v>
      </c>
      <c r="T178" t="str">
        <f>IF(OR(H178="",LOWER(TRIM(H178&amp;""))="missing",LOWER(TRIM(H178&amp;""))=""),"Missing/",IFERROR(IF(OR(VALUE(H178)&lt;0,VALUE(H178)&gt;110),"Invalid","Valid"),"Check Format"))</f>
        <v>Missing/</v>
      </c>
      <c r="U178" t="str">
        <f>IF(Raw_Data[[#This Row],[Age_Check]]="Valid",H178,"")</f>
        <v/>
      </c>
      <c r="V178" t="str">
        <f>IF(OR(K178="",UPPER(TRIM(K178&amp;""))="",LOWER(TRIM(K178&amp;""))="",LOWER(TRIM(K178&amp;""))="",LOWER(TRIM(K178&amp;""))="missing"),"Missing/",IFERROR(IF(VALUE(K178)&lt;0,"Invalid","Valid"),"Check Format"))</f>
        <v>Valid</v>
      </c>
      <c r="W178" t="str">
        <f>IF(OR(E178="",F178=""),"Missing Date/Time",IFERROR(IF(F178&gt;E178,"Arrival After Appointment","OK"),"Check Format"))</f>
        <v>OK</v>
      </c>
      <c r="X178" t="str">
        <f>IF(OR(F178="",G178=""),"Missing Date/Time",IFERROR(IF(G178&lt;F178,"Discharge Before Arrival","OK"),"Check Format"))</f>
        <v>OK</v>
      </c>
    </row>
    <row r="179" spans="1:24" x14ac:dyDescent="0.25">
      <c r="A179" s="2" t="s">
        <v>427</v>
      </c>
      <c r="B179" s="2" t="s">
        <v>407</v>
      </c>
      <c r="C179" s="3" t="s">
        <v>46</v>
      </c>
      <c r="D179" s="3" t="s">
        <v>55</v>
      </c>
      <c r="E179" s="4">
        <v>45644.4375</v>
      </c>
      <c r="F179" s="4">
        <v>45644.434027777781</v>
      </c>
      <c r="G179" s="4">
        <v>45644.490277777775</v>
      </c>
      <c r="H179" s="5">
        <v>145</v>
      </c>
      <c r="I179" s="3" t="s">
        <v>73</v>
      </c>
      <c r="K179" s="5">
        <v>34</v>
      </c>
      <c r="L179" s="5">
        <v>42</v>
      </c>
      <c r="M179" s="3" t="s">
        <v>23</v>
      </c>
      <c r="N179" t="s">
        <v>103</v>
      </c>
      <c r="O179" s="5">
        <v>1</v>
      </c>
      <c r="P179" s="3" t="s">
        <v>80</v>
      </c>
      <c r="Q179" s="2">
        <v>83.94</v>
      </c>
      <c r="R179" s="3" t="s">
        <v>58</v>
      </c>
      <c r="S179">
        <f>COUNTIF(A:A,A179)</f>
        <v>1</v>
      </c>
      <c r="T179" t="str">
        <f>IF(OR(H179="",LOWER(TRIM(H179&amp;""))="missing",LOWER(TRIM(H179&amp;""))=""),"Missing/",IFERROR(IF(OR(VALUE(H179)&lt;0,VALUE(H179)&gt;110),"Invalid","Valid"),"Check Format"))</f>
        <v>Invalid</v>
      </c>
      <c r="U179" t="str">
        <f>IF(Raw_Data[[#This Row],[Age_Check]]="Valid",H179,"")</f>
        <v/>
      </c>
      <c r="V179" t="str">
        <f>IF(OR(K179="",UPPER(TRIM(K179&amp;""))="",LOWER(TRIM(K179&amp;""))="",LOWER(TRIM(K179&amp;""))="",LOWER(TRIM(K179&amp;""))="missing"),"Missing/",IFERROR(IF(VALUE(K179)&lt;0,"Invalid","Valid"),"Check Format"))</f>
        <v>Valid</v>
      </c>
      <c r="W179" t="str">
        <f>IF(OR(E179="",F179=""),"Missing Date/Time",IFERROR(IF(F179&gt;E179,"Arrival After Appointment","OK"),"Check Format"))</f>
        <v>OK</v>
      </c>
      <c r="X179" t="str">
        <f>IF(OR(F179="",G179=""),"Missing Date/Time",IFERROR(IF(G179&lt;F179,"Discharge Before Arrival","OK"),"Check Format"))</f>
        <v>OK</v>
      </c>
    </row>
    <row r="180" spans="1:24" x14ac:dyDescent="0.25">
      <c r="A180" s="2" t="s">
        <v>428</v>
      </c>
      <c r="B180" s="2" t="s">
        <v>429</v>
      </c>
      <c r="D180" s="3" t="s">
        <v>209</v>
      </c>
      <c r="E180" s="4">
        <v>45532.347222222219</v>
      </c>
      <c r="F180" s="4">
        <v>45532.332638888889</v>
      </c>
      <c r="G180" s="4">
        <v>45532.350694444445</v>
      </c>
      <c r="H180" s="5">
        <v>145</v>
      </c>
      <c r="J180" s="3" t="s">
        <v>62</v>
      </c>
      <c r="K180" s="5">
        <v>0</v>
      </c>
      <c r="L180" s="5">
        <v>5</v>
      </c>
      <c r="M180" s="3" t="s">
        <v>41</v>
      </c>
      <c r="N180" t="s">
        <v>91</v>
      </c>
      <c r="O180" s="5">
        <v>4</v>
      </c>
      <c r="P180" s="3" t="s">
        <v>25</v>
      </c>
      <c r="Q180" s="2">
        <v>148.85</v>
      </c>
      <c r="R180" s="3" t="s">
        <v>43</v>
      </c>
      <c r="S180">
        <f>COUNTIF(A:A,A180)</f>
        <v>1</v>
      </c>
      <c r="T180" t="str">
        <f>IF(OR(H180="",LOWER(TRIM(H180&amp;""))="missing",LOWER(TRIM(H180&amp;""))=""),"Missing/",IFERROR(IF(OR(VALUE(H180)&lt;0,VALUE(H180)&gt;110),"Invalid","Valid"),"Check Format"))</f>
        <v>Invalid</v>
      </c>
      <c r="U180" t="str">
        <f>IF(Raw_Data[[#This Row],[Age_Check]]="Valid",H180,"")</f>
        <v/>
      </c>
      <c r="V180" t="str">
        <f>IF(OR(K180="",UPPER(TRIM(K180&amp;""))="",LOWER(TRIM(K180&amp;""))="",LOWER(TRIM(K180&amp;""))="",LOWER(TRIM(K180&amp;""))="missing"),"Missing/",IFERROR(IF(VALUE(K180)&lt;0,"Invalid","Valid"),"Check Format"))</f>
        <v>Valid</v>
      </c>
      <c r="W180" t="str">
        <f>IF(OR(E180="",F180=""),"Missing Date/Time",IFERROR(IF(F180&gt;E180,"Arrival After Appointment","OK"),"Check Format"))</f>
        <v>OK</v>
      </c>
      <c r="X180" t="str">
        <f>IF(OR(F180="",G180=""),"Missing Date/Time",IFERROR(IF(G180&lt;F180,"Discharge Before Arrival","OK"),"Check Format"))</f>
        <v>OK</v>
      </c>
    </row>
    <row r="181" spans="1:24" x14ac:dyDescent="0.25">
      <c r="A181" s="2" t="s">
        <v>430</v>
      </c>
      <c r="B181" s="2" t="s">
        <v>431</v>
      </c>
      <c r="C181" s="3" t="s">
        <v>29</v>
      </c>
      <c r="D181" s="3" t="s">
        <v>209</v>
      </c>
      <c r="E181" s="4">
        <v>45660.409722222219</v>
      </c>
      <c r="F181" s="4">
        <v>45660.399305555555</v>
      </c>
      <c r="G181" s="4">
        <v>45660.466666666667</v>
      </c>
      <c r="H181" s="5">
        <v>145</v>
      </c>
      <c r="I181" s="3" t="s">
        <v>73</v>
      </c>
      <c r="J181" s="3" t="s">
        <v>150</v>
      </c>
      <c r="K181" s="5">
        <v>67</v>
      </c>
      <c r="L181" s="5">
        <v>15</v>
      </c>
      <c r="M181" s="3" t="s">
        <v>63</v>
      </c>
      <c r="N181" t="s">
        <v>69</v>
      </c>
      <c r="P181" s="3" t="s">
        <v>42</v>
      </c>
      <c r="Q181" s="2">
        <v>196.09</v>
      </c>
      <c r="R181" s="3" t="s">
        <v>58</v>
      </c>
      <c r="S181">
        <f>COUNTIF(A:A,A181)</f>
        <v>1</v>
      </c>
      <c r="T181" t="str">
        <f>IF(OR(H181="",LOWER(TRIM(H181&amp;""))="missing",LOWER(TRIM(H181&amp;""))=""),"Missing/",IFERROR(IF(OR(VALUE(H181)&lt;0,VALUE(H181)&gt;110),"Invalid","Valid"),"Check Format"))</f>
        <v>Invalid</v>
      </c>
      <c r="U181" t="str">
        <f>IF(Raw_Data[[#This Row],[Age_Check]]="Valid",H181,"")</f>
        <v/>
      </c>
      <c r="V181" t="str">
        <f>IF(OR(K181="",UPPER(TRIM(K181&amp;""))="",LOWER(TRIM(K181&amp;""))="",LOWER(TRIM(K181&amp;""))="",LOWER(TRIM(K181&amp;""))="missing"),"Missing/",IFERROR(IF(VALUE(K181)&lt;0,"Invalid","Valid"),"Check Format"))</f>
        <v>Valid</v>
      </c>
      <c r="W181" t="str">
        <f>IF(OR(E181="",F181=""),"Missing Date/Time",IFERROR(IF(F181&gt;E181,"Arrival After Appointment","OK"),"Check Format"))</f>
        <v>OK</v>
      </c>
      <c r="X181" t="str">
        <f>IF(OR(F181="",G181=""),"Missing Date/Time",IFERROR(IF(G181&lt;F181,"Discharge Before Arrival","OK"),"Check Format"))</f>
        <v>OK</v>
      </c>
    </row>
    <row r="182" spans="1:24" x14ac:dyDescent="0.25">
      <c r="A182" s="2" t="s">
        <v>432</v>
      </c>
      <c r="B182" s="2" t="s">
        <v>433</v>
      </c>
      <c r="C182" s="3" t="s">
        <v>46</v>
      </c>
      <c r="D182" s="3" t="s">
        <v>38</v>
      </c>
      <c r="E182" s="4">
        <v>45938.322916666664</v>
      </c>
      <c r="F182" s="4">
        <v>45938.311111111114</v>
      </c>
      <c r="G182" s="4">
        <v>45938.34375</v>
      </c>
      <c r="I182" s="3" t="s">
        <v>73</v>
      </c>
      <c r="J182" s="3" t="s">
        <v>67</v>
      </c>
      <c r="K182" s="5">
        <v>999</v>
      </c>
      <c r="L182" s="5">
        <v>30</v>
      </c>
      <c r="M182" s="3" t="s">
        <v>63</v>
      </c>
      <c r="N182" t="s">
        <v>69</v>
      </c>
      <c r="O182" s="5">
        <v>6</v>
      </c>
      <c r="P182" s="3" t="s">
        <v>25</v>
      </c>
      <c r="Q182" s="2">
        <v>48.12</v>
      </c>
      <c r="R182" s="3" t="s">
        <v>26</v>
      </c>
      <c r="S182">
        <f>COUNTIF(A:A,A182)</f>
        <v>1</v>
      </c>
      <c r="T182" t="str">
        <f>IF(OR(H182="",LOWER(TRIM(H182&amp;""))="missing",LOWER(TRIM(H182&amp;""))=""),"Missing/",IFERROR(IF(OR(VALUE(H182)&lt;0,VALUE(H182)&gt;110),"Invalid","Valid"),"Check Format"))</f>
        <v>Missing/</v>
      </c>
      <c r="U182" t="str">
        <f>IF(Raw_Data[[#This Row],[Age_Check]]="Valid",H182,"")</f>
        <v/>
      </c>
      <c r="V182" t="str">
        <f>IF(OR(K182="",UPPER(TRIM(K182&amp;""))="",LOWER(TRIM(K182&amp;""))="",LOWER(TRIM(K182&amp;""))="",LOWER(TRIM(K182&amp;""))="missing"),"Missing/",IFERROR(IF(VALUE(K182)&lt;0,"Invalid","Valid"),"Check Format"))</f>
        <v>Valid</v>
      </c>
      <c r="W182" t="str">
        <f>IF(OR(E182="",F182=""),"Missing Date/Time",IFERROR(IF(F182&gt;E182,"Arrival After Appointment","OK"),"Check Format"))</f>
        <v>OK</v>
      </c>
      <c r="X182" t="str">
        <f>IF(OR(F182="",G182=""),"Missing Date/Time",IFERROR(IF(G182&lt;F182,"Discharge Before Arrival","OK"),"Check Format"))</f>
        <v>OK</v>
      </c>
    </row>
    <row r="183" spans="1:24" x14ac:dyDescent="0.25">
      <c r="A183" s="2" t="s">
        <v>434</v>
      </c>
      <c r="B183" s="2" t="s">
        <v>435</v>
      </c>
      <c r="C183" s="3" t="s">
        <v>94</v>
      </c>
      <c r="D183" s="3" t="s">
        <v>55</v>
      </c>
      <c r="E183" s="4">
        <v>45920.715277777781</v>
      </c>
      <c r="F183" s="4">
        <v>45920.704861111109</v>
      </c>
      <c r="G183" s="4">
        <v>45920.761805555558</v>
      </c>
      <c r="I183" s="3" t="s">
        <v>73</v>
      </c>
      <c r="K183" s="5">
        <v>35</v>
      </c>
      <c r="L183" s="5">
        <v>32</v>
      </c>
      <c r="M183" s="3" t="s">
        <v>23</v>
      </c>
      <c r="N183" t="s">
        <v>103</v>
      </c>
      <c r="O183" s="5">
        <v>3</v>
      </c>
      <c r="P183" s="3" t="s">
        <v>42</v>
      </c>
      <c r="Q183" s="2">
        <v>76.17</v>
      </c>
      <c r="R183" s="3" t="s">
        <v>75</v>
      </c>
      <c r="S183">
        <f>COUNTIF(A:A,A183)</f>
        <v>1</v>
      </c>
      <c r="T183" t="str">
        <f>IF(OR(H183="",LOWER(TRIM(H183&amp;""))="missing",LOWER(TRIM(H183&amp;""))=""),"Missing/",IFERROR(IF(OR(VALUE(H183)&lt;0,VALUE(H183)&gt;110),"Invalid","Valid"),"Check Format"))</f>
        <v>Missing/</v>
      </c>
      <c r="U183" t="str">
        <f>IF(Raw_Data[[#This Row],[Age_Check]]="Valid",H183,"")</f>
        <v/>
      </c>
      <c r="V183" t="str">
        <f>IF(OR(K183="",UPPER(TRIM(K183&amp;""))="",LOWER(TRIM(K183&amp;""))="",LOWER(TRIM(K183&amp;""))="",LOWER(TRIM(K183&amp;""))="missing"),"Missing/",IFERROR(IF(VALUE(K183)&lt;0,"Invalid","Valid"),"Check Format"))</f>
        <v>Valid</v>
      </c>
      <c r="W183" t="str">
        <f>IF(OR(E183="",F183=""),"Missing Date/Time",IFERROR(IF(F183&gt;E183,"Arrival After Appointment","OK"),"Check Format"))</f>
        <v>OK</v>
      </c>
      <c r="X183" t="str">
        <f>IF(OR(F183="",G183=""),"Missing Date/Time",IFERROR(IF(G183&lt;F183,"Discharge Before Arrival","OK"),"Check Format"))</f>
        <v>OK</v>
      </c>
    </row>
    <row r="184" spans="1:24" x14ac:dyDescent="0.25">
      <c r="A184" s="2" t="s">
        <v>396</v>
      </c>
      <c r="B184" s="2" t="s">
        <v>397</v>
      </c>
      <c r="C184" s="3" t="s">
        <v>19</v>
      </c>
      <c r="D184" s="3" t="s">
        <v>72</v>
      </c>
      <c r="E184" s="4">
        <v>45568.697916666664</v>
      </c>
      <c r="F184" s="4">
        <v>45568.680555555555</v>
      </c>
      <c r="H184" s="5">
        <v>77</v>
      </c>
      <c r="I184" s="3" t="s">
        <v>90</v>
      </c>
      <c r="J184" s="3" t="s">
        <v>171</v>
      </c>
      <c r="K184" s="5">
        <v>54</v>
      </c>
      <c r="L184" s="5">
        <v>28</v>
      </c>
      <c r="M184" s="3" t="s">
        <v>50</v>
      </c>
      <c r="N184" t="s">
        <v>91</v>
      </c>
      <c r="O184" s="5">
        <v>3</v>
      </c>
      <c r="P184" s="3" t="s">
        <v>25</v>
      </c>
      <c r="Q184" s="2">
        <v>194.13</v>
      </c>
      <c r="R184" s="3" t="s">
        <v>43</v>
      </c>
      <c r="S184">
        <f>COUNTIF(A:A,A184)</f>
        <v>1</v>
      </c>
      <c r="T184" t="str">
        <f>IF(OR(H184="",LOWER(TRIM(H184&amp;""))="missing",LOWER(TRIM(H184&amp;""))=""),"Missing/",IFERROR(IF(OR(VALUE(H184)&lt;0,VALUE(H184)&gt;110),"Invalid","Valid"),"Check Format"))</f>
        <v>Valid</v>
      </c>
      <c r="U184">
        <f>IF(Raw_Data[[#This Row],[Age_Check]]="Valid",H184,"")</f>
        <v>77</v>
      </c>
      <c r="V184" t="str">
        <f>IF(OR(K184="",UPPER(TRIM(K184&amp;""))="",LOWER(TRIM(K184&amp;""))="",LOWER(TRIM(K184&amp;""))="",LOWER(TRIM(K184&amp;""))="missing"),"Missing/",IFERROR(IF(VALUE(K184)&lt;0,"Invalid","Valid"),"Check Format"))</f>
        <v>Valid</v>
      </c>
      <c r="W184" t="str">
        <f>IF(OR(E184="",F184=""),"Missing Date/Time",IFERROR(IF(F184&gt;E184,"Arrival After Appointment","OK"),"Check Format"))</f>
        <v>OK</v>
      </c>
      <c r="X184" t="str">
        <f>IF(OR(F184="",G184=""),"Missing Date/Time",IFERROR(IF(G184&lt;F184,"Discharge Before Arrival","OK"),"Check Format"))</f>
        <v>Missing Date/Time</v>
      </c>
    </row>
    <row r="185" spans="1:24" x14ac:dyDescent="0.25">
      <c r="A185" s="2" t="s">
        <v>439</v>
      </c>
      <c r="B185" s="2" t="s">
        <v>310</v>
      </c>
      <c r="C185" s="3" t="s">
        <v>46</v>
      </c>
      <c r="D185" s="3" t="s">
        <v>23</v>
      </c>
      <c r="E185" s="4">
        <v>45456.409722222219</v>
      </c>
      <c r="F185" s="4">
        <v>45456.398611111108</v>
      </c>
      <c r="G185" s="4">
        <v>45456.488194444442</v>
      </c>
      <c r="I185" s="3" t="s">
        <v>95</v>
      </c>
      <c r="K185" s="5">
        <v>108</v>
      </c>
      <c r="L185" s="5">
        <v>5</v>
      </c>
      <c r="M185" s="3" t="s">
        <v>63</v>
      </c>
      <c r="N185" t="s">
        <v>100</v>
      </c>
      <c r="O185" s="5">
        <v>6</v>
      </c>
      <c r="P185" s="3" t="s">
        <v>80</v>
      </c>
      <c r="Q185" s="2">
        <v>81.25</v>
      </c>
      <c r="R185" s="3" t="s">
        <v>43</v>
      </c>
      <c r="S185">
        <f>COUNTIF(A:A,A185)</f>
        <v>1</v>
      </c>
      <c r="T185" t="str">
        <f>IF(OR(H185="",LOWER(TRIM(H185&amp;""))="missing",LOWER(TRIM(H185&amp;""))=""),"Missing/",IFERROR(IF(OR(VALUE(H185)&lt;0,VALUE(H185)&gt;110),"Invalid","Valid"),"Check Format"))</f>
        <v>Missing/</v>
      </c>
      <c r="U185" t="str">
        <f>IF(Raw_Data[[#This Row],[Age_Check]]="Valid",H185,"")</f>
        <v/>
      </c>
      <c r="V185" t="str">
        <f>IF(OR(K185="",UPPER(TRIM(K185&amp;""))="",LOWER(TRIM(K185&amp;""))="",LOWER(TRIM(K185&amp;""))="",LOWER(TRIM(K185&amp;""))="missing"),"Missing/",IFERROR(IF(VALUE(K185)&lt;0,"Invalid","Valid"),"Check Format"))</f>
        <v>Valid</v>
      </c>
      <c r="W185" t="str">
        <f>IF(OR(E185="",F185=""),"Missing Date/Time",IFERROR(IF(F185&gt;E185,"Arrival After Appointment","OK"),"Check Format"))</f>
        <v>OK</v>
      </c>
      <c r="X185" t="str">
        <f>IF(OR(F185="",G185=""),"Missing Date/Time",IFERROR(IF(G185&lt;F185,"Discharge Before Arrival","OK"),"Check Format"))</f>
        <v>OK</v>
      </c>
    </row>
    <row r="186" spans="1:24" x14ac:dyDescent="0.25">
      <c r="A186" s="2" t="s">
        <v>440</v>
      </c>
      <c r="B186" s="2" t="s">
        <v>392</v>
      </c>
      <c r="C186" s="3" t="s">
        <v>29</v>
      </c>
      <c r="D186" s="3" t="s">
        <v>61</v>
      </c>
      <c r="E186" s="4">
        <v>45888.40625</v>
      </c>
      <c r="F186" s="4">
        <v>45888.393055555556</v>
      </c>
      <c r="G186" s="4">
        <v>45888.479861111111</v>
      </c>
      <c r="I186" s="3" t="s">
        <v>95</v>
      </c>
      <c r="K186" s="5">
        <v>78</v>
      </c>
      <c r="L186" s="5">
        <v>28</v>
      </c>
      <c r="M186" s="3" t="s">
        <v>23</v>
      </c>
      <c r="N186" t="s">
        <v>74</v>
      </c>
      <c r="O186" s="5">
        <v>6</v>
      </c>
      <c r="P186" s="3" t="s">
        <v>42</v>
      </c>
      <c r="Q186" s="2">
        <v>174.69</v>
      </c>
      <c r="R186" s="3" t="s">
        <v>43</v>
      </c>
      <c r="S186">
        <f>COUNTIF(A:A,A186)</f>
        <v>1</v>
      </c>
      <c r="T186" t="str">
        <f>IF(OR(H186="",LOWER(TRIM(H186&amp;""))="missing",LOWER(TRIM(H186&amp;""))=""),"Missing/",IFERROR(IF(OR(VALUE(H186)&lt;0,VALUE(H186)&gt;110),"Invalid","Valid"),"Check Format"))</f>
        <v>Missing/</v>
      </c>
      <c r="U186" t="str">
        <f>IF(Raw_Data[[#This Row],[Age_Check]]="Valid",H186,"")</f>
        <v/>
      </c>
      <c r="V186" t="str">
        <f>IF(OR(K186="",UPPER(TRIM(K186&amp;""))="",LOWER(TRIM(K186&amp;""))="",LOWER(TRIM(K186&amp;""))="",LOWER(TRIM(K186&amp;""))="missing"),"Missing/",IFERROR(IF(VALUE(K186)&lt;0,"Invalid","Valid"),"Check Format"))</f>
        <v>Valid</v>
      </c>
      <c r="W186" t="str">
        <f>IF(OR(E186="",F186=""),"Missing Date/Time",IFERROR(IF(F186&gt;E186,"Arrival After Appointment","OK"),"Check Format"))</f>
        <v>OK</v>
      </c>
      <c r="X186" t="str">
        <f>IF(OR(F186="",G186=""),"Missing Date/Time",IFERROR(IF(G186&lt;F186,"Discharge Before Arrival","OK"),"Check Format"))</f>
        <v>OK</v>
      </c>
    </row>
    <row r="187" spans="1:24" x14ac:dyDescent="0.25">
      <c r="A187" s="2" t="s">
        <v>441</v>
      </c>
      <c r="B187" s="2" t="s">
        <v>442</v>
      </c>
      <c r="C187" s="3" t="s">
        <v>94</v>
      </c>
      <c r="D187" s="3" t="s">
        <v>38</v>
      </c>
      <c r="E187" s="4">
        <v>45906.319444444445</v>
      </c>
      <c r="F187" s="4">
        <v>45906.307638888888</v>
      </c>
      <c r="G187" s="4">
        <v>45906.367361111108</v>
      </c>
      <c r="K187" s="5">
        <v>36</v>
      </c>
      <c r="L187" s="5">
        <v>33</v>
      </c>
      <c r="N187" t="s">
        <v>91</v>
      </c>
      <c r="O187" s="5">
        <v>0</v>
      </c>
      <c r="P187" s="3" t="s">
        <v>80</v>
      </c>
      <c r="Q187" s="2">
        <v>132.55000000000001</v>
      </c>
      <c r="R187" s="3" t="s">
        <v>58</v>
      </c>
      <c r="S187">
        <f>COUNTIF(A:A,A187)</f>
        <v>1</v>
      </c>
      <c r="T187" t="str">
        <f>IF(OR(H187="",LOWER(TRIM(H187&amp;""))="missing",LOWER(TRIM(H187&amp;""))=""),"Missing/",IFERROR(IF(OR(VALUE(H187)&lt;0,VALUE(H187)&gt;110),"Invalid","Valid"),"Check Format"))</f>
        <v>Missing/</v>
      </c>
      <c r="U187" t="str">
        <f>IF(Raw_Data[[#This Row],[Age_Check]]="Valid",H187,"")</f>
        <v/>
      </c>
      <c r="V187" t="str">
        <f>IF(OR(K187="",UPPER(TRIM(K187&amp;""))="",LOWER(TRIM(K187&amp;""))="",LOWER(TRIM(K187&amp;""))="",LOWER(TRIM(K187&amp;""))="missing"),"Missing/",IFERROR(IF(VALUE(K187)&lt;0,"Invalid","Valid"),"Check Format"))</f>
        <v>Valid</v>
      </c>
      <c r="W187" t="str">
        <f>IF(OR(E187="",F187=""),"Missing Date/Time",IFERROR(IF(F187&gt;E187,"Arrival After Appointment","OK"),"Check Format"))</f>
        <v>OK</v>
      </c>
      <c r="X187" t="str">
        <f>IF(OR(F187="",G187=""),"Missing Date/Time",IFERROR(IF(G187&lt;F187,"Discharge Before Arrival","OK"),"Check Format"))</f>
        <v>OK</v>
      </c>
    </row>
    <row r="188" spans="1:24" x14ac:dyDescent="0.25">
      <c r="A188" s="2" t="s">
        <v>443</v>
      </c>
      <c r="B188" s="2" t="s">
        <v>444</v>
      </c>
      <c r="C188" s="3" t="s">
        <v>37</v>
      </c>
      <c r="D188" s="3" t="s">
        <v>55</v>
      </c>
      <c r="E188" s="4" t="s">
        <v>445</v>
      </c>
      <c r="F188" s="4">
        <v>46005.668749999997</v>
      </c>
      <c r="G188" s="4">
        <v>46005.763194444444</v>
      </c>
      <c r="I188" s="3" t="s">
        <v>73</v>
      </c>
      <c r="J188" s="3" t="s">
        <v>67</v>
      </c>
      <c r="K188" s="5">
        <v>98</v>
      </c>
      <c r="L188" s="5">
        <v>36</v>
      </c>
      <c r="M188" s="3" t="s">
        <v>87</v>
      </c>
      <c r="N188" t="s">
        <v>74</v>
      </c>
      <c r="O188" s="5">
        <v>5</v>
      </c>
      <c r="P188" s="3" t="s">
        <v>25</v>
      </c>
      <c r="R188" s="3" t="s">
        <v>43</v>
      </c>
      <c r="S188">
        <f>COUNTIF(A:A,A188)</f>
        <v>1</v>
      </c>
      <c r="T188" t="str">
        <f>IF(OR(H188="",LOWER(TRIM(H188&amp;""))="missing",LOWER(TRIM(H188&amp;""))=""),"Missing/",IFERROR(IF(OR(VALUE(H188)&lt;0,VALUE(H188)&gt;110),"Invalid","Valid"),"Check Format"))</f>
        <v>Missing/</v>
      </c>
      <c r="U188" t="str">
        <f>IF(Raw_Data[[#This Row],[Age_Check]]="Valid",H188,"")</f>
        <v/>
      </c>
      <c r="V188" t="str">
        <f>IF(OR(K188="",UPPER(TRIM(K188&amp;""))="",LOWER(TRIM(K188&amp;""))="",LOWER(TRIM(K188&amp;""))="",LOWER(TRIM(K188&amp;""))="missing"),"Missing/",IFERROR(IF(VALUE(K188)&lt;0,"Invalid","Valid"),"Check Format"))</f>
        <v>Valid</v>
      </c>
      <c r="W188" t="str">
        <f>IF(OR(E188="",F188=""),"Missing Date/Time",IFERROR(IF(F188&gt;E188,"Arrival After Appointment","OK"),"Check Format"))</f>
        <v>OK</v>
      </c>
      <c r="X188" t="str">
        <f>IF(OR(F188="",G188=""),"Missing Date/Time",IFERROR(IF(G188&lt;F188,"Discharge Before Arrival","OK"),"Check Format"))</f>
        <v>OK</v>
      </c>
    </row>
    <row r="189" spans="1:24" x14ac:dyDescent="0.25">
      <c r="A189" s="2" t="s">
        <v>446</v>
      </c>
      <c r="B189" s="2" t="s">
        <v>447</v>
      </c>
      <c r="C189" s="3" t="s">
        <v>46</v>
      </c>
      <c r="D189" s="3" t="s">
        <v>61</v>
      </c>
      <c r="E189" s="4">
        <v>45450.576388888891</v>
      </c>
      <c r="F189" s="4">
        <v>45450.568055555559</v>
      </c>
      <c r="G189" s="4">
        <v>45450.640972222223</v>
      </c>
      <c r="H189" s="5">
        <v>145</v>
      </c>
      <c r="I189" s="3" t="s">
        <v>73</v>
      </c>
      <c r="J189" s="3" t="s">
        <v>22</v>
      </c>
      <c r="K189" s="5">
        <v>69</v>
      </c>
      <c r="L189" s="5">
        <v>24</v>
      </c>
      <c r="M189" s="3" t="s">
        <v>68</v>
      </c>
      <c r="N189" t="s">
        <v>91</v>
      </c>
      <c r="O189" s="5">
        <v>0</v>
      </c>
      <c r="P189" s="3" t="s">
        <v>25</v>
      </c>
      <c r="Q189" s="2">
        <v>105.99</v>
      </c>
      <c r="R189" s="3" t="s">
        <v>26</v>
      </c>
      <c r="S189">
        <f>COUNTIF(A:A,A189)</f>
        <v>1</v>
      </c>
      <c r="T189" t="str">
        <f>IF(OR(H189="",LOWER(TRIM(H189&amp;""))="missing",LOWER(TRIM(H189&amp;""))=""),"Missing/",IFERROR(IF(OR(VALUE(H189)&lt;0,VALUE(H189)&gt;110),"Invalid","Valid"),"Check Format"))</f>
        <v>Invalid</v>
      </c>
      <c r="U189" t="str">
        <f>IF(Raw_Data[[#This Row],[Age_Check]]="Valid",H189,"")</f>
        <v/>
      </c>
      <c r="V189" t="str">
        <f>IF(OR(K189="",UPPER(TRIM(K189&amp;""))="",LOWER(TRIM(K189&amp;""))="",LOWER(TRIM(K189&amp;""))="",LOWER(TRIM(K189&amp;""))="missing"),"Missing/",IFERROR(IF(VALUE(K189)&lt;0,"Invalid","Valid"),"Check Format"))</f>
        <v>Valid</v>
      </c>
      <c r="W189" t="str">
        <f>IF(OR(E189="",F189=""),"Missing Date/Time",IFERROR(IF(F189&gt;E189,"Arrival After Appointment","OK"),"Check Format"))</f>
        <v>OK</v>
      </c>
      <c r="X189" t="str">
        <f>IF(OR(F189="",G189=""),"Missing Date/Time",IFERROR(IF(G189&lt;F189,"Discharge Before Arrival","OK"),"Check Format"))</f>
        <v>OK</v>
      </c>
    </row>
    <row r="190" spans="1:24" x14ac:dyDescent="0.25">
      <c r="A190" s="2" t="s">
        <v>449</v>
      </c>
      <c r="B190" s="2" t="s">
        <v>176</v>
      </c>
      <c r="C190" s="3" t="s">
        <v>46</v>
      </c>
      <c r="D190" s="3" t="s">
        <v>209</v>
      </c>
      <c r="E190" s="4">
        <v>45915.329861111109</v>
      </c>
      <c r="F190" s="4">
        <v>45915.316666666666</v>
      </c>
      <c r="I190" s="3" t="s">
        <v>73</v>
      </c>
      <c r="J190" s="3" t="s">
        <v>67</v>
      </c>
      <c r="K190" s="5">
        <v>68</v>
      </c>
      <c r="L190" s="5">
        <v>69</v>
      </c>
      <c r="M190" s="3" t="s">
        <v>87</v>
      </c>
      <c r="N190" t="s">
        <v>24</v>
      </c>
      <c r="O190" s="5">
        <v>3</v>
      </c>
      <c r="P190" s="3" t="s">
        <v>25</v>
      </c>
      <c r="Q190" s="2">
        <v>214.69</v>
      </c>
      <c r="R190" s="3" t="s">
        <v>26</v>
      </c>
      <c r="S190">
        <f>COUNTIF(A:A,A190)</f>
        <v>1</v>
      </c>
      <c r="T190" t="str">
        <f>IF(OR(H190="",LOWER(TRIM(H190&amp;""))="missing",LOWER(TRIM(H190&amp;""))=""),"Missing/",IFERROR(IF(OR(VALUE(H190)&lt;0,VALUE(H190)&gt;110),"Invalid","Valid"),"Check Format"))</f>
        <v>Missing/</v>
      </c>
      <c r="U190" t="str">
        <f>IF(Raw_Data[[#This Row],[Age_Check]]="Valid",H190,"")</f>
        <v/>
      </c>
      <c r="V190" t="str">
        <f>IF(OR(K190="",UPPER(TRIM(K190&amp;""))="",LOWER(TRIM(K190&amp;""))="",LOWER(TRIM(K190&amp;""))="",LOWER(TRIM(K190&amp;""))="missing"),"Missing/",IFERROR(IF(VALUE(K190)&lt;0,"Invalid","Valid"),"Check Format"))</f>
        <v>Valid</v>
      </c>
      <c r="W190" t="str">
        <f>IF(OR(E190="",F190=""),"Missing Date/Time",IFERROR(IF(F190&gt;E190,"Arrival After Appointment","OK"),"Check Format"))</f>
        <v>OK</v>
      </c>
      <c r="X190" t="str">
        <f>IF(OR(F190="",G190=""),"Missing Date/Time",IFERROR(IF(G190&lt;F190,"Discharge Before Arrival","OK"),"Check Format"))</f>
        <v>Missing Date/Time</v>
      </c>
    </row>
    <row r="191" spans="1:24" x14ac:dyDescent="0.25">
      <c r="A191" s="2" t="s">
        <v>450</v>
      </c>
      <c r="B191" s="2" t="s">
        <v>451</v>
      </c>
      <c r="C191" s="3" t="s">
        <v>94</v>
      </c>
      <c r="D191" s="3" t="s">
        <v>55</v>
      </c>
      <c r="E191" s="4">
        <v>45328.510416666664</v>
      </c>
      <c r="F191" s="4">
        <v>45328.502083333333</v>
      </c>
      <c r="G191" s="4">
        <v>45328.57916666667</v>
      </c>
      <c r="H191" s="5">
        <v>25</v>
      </c>
      <c r="I191" s="3" t="s">
        <v>73</v>
      </c>
      <c r="J191" s="3" t="s">
        <v>67</v>
      </c>
      <c r="K191" s="5">
        <v>46</v>
      </c>
      <c r="L191" s="5">
        <v>53</v>
      </c>
      <c r="M191" s="3" t="s">
        <v>23</v>
      </c>
      <c r="O191" s="5">
        <v>6</v>
      </c>
      <c r="P191" s="3" t="s">
        <v>25</v>
      </c>
      <c r="Q191" s="2">
        <v>112.35</v>
      </c>
      <c r="R191" s="3" t="s">
        <v>75</v>
      </c>
      <c r="S191">
        <f>COUNTIF(A:A,A191)</f>
        <v>1</v>
      </c>
      <c r="T191" t="str">
        <f>IF(OR(H191="",LOWER(TRIM(H191&amp;""))="missing",LOWER(TRIM(H191&amp;""))=""),"Missing/",IFERROR(IF(OR(VALUE(H191)&lt;0,VALUE(H191)&gt;110),"Invalid","Valid"),"Check Format"))</f>
        <v>Valid</v>
      </c>
      <c r="U191">
        <f>IF(Raw_Data[[#This Row],[Age_Check]]="Valid",H191,"")</f>
        <v>25</v>
      </c>
      <c r="V191" t="str">
        <f>IF(OR(K191="",UPPER(TRIM(K191&amp;""))="",LOWER(TRIM(K191&amp;""))="",LOWER(TRIM(K191&amp;""))="",LOWER(TRIM(K191&amp;""))="missing"),"Missing/",IFERROR(IF(VALUE(K191)&lt;0,"Invalid","Valid"),"Check Format"))</f>
        <v>Valid</v>
      </c>
      <c r="W191" t="str">
        <f>IF(OR(E191="",F191=""),"Missing Date/Time",IFERROR(IF(F191&gt;E191,"Arrival After Appointment","OK"),"Check Format"))</f>
        <v>OK</v>
      </c>
      <c r="X191" t="str">
        <f>IF(OR(F191="",G191=""),"Missing Date/Time",IFERROR(IF(G191&lt;F191,"Discharge Before Arrival","OK"),"Check Format"))</f>
        <v>OK</v>
      </c>
    </row>
    <row r="192" spans="1:24" x14ac:dyDescent="0.25">
      <c r="A192" s="2" t="s">
        <v>452</v>
      </c>
      <c r="B192" s="2" t="s">
        <v>453</v>
      </c>
      <c r="C192" s="3" t="s">
        <v>19</v>
      </c>
      <c r="D192" s="3" t="s">
        <v>55</v>
      </c>
      <c r="E192" s="4">
        <v>45705.666666666664</v>
      </c>
      <c r="F192" s="4">
        <v>45705.659722222219</v>
      </c>
      <c r="G192" s="4">
        <v>45705.675694444442</v>
      </c>
      <c r="H192" s="5">
        <v>145</v>
      </c>
      <c r="J192" s="3" t="s">
        <v>22</v>
      </c>
      <c r="K192" s="5">
        <v>0</v>
      </c>
      <c r="L192" s="5">
        <v>13</v>
      </c>
      <c r="M192" s="3" t="s">
        <v>63</v>
      </c>
      <c r="N192" t="s">
        <v>24</v>
      </c>
      <c r="O192" s="5">
        <v>0</v>
      </c>
      <c r="Q192" s="2">
        <v>0</v>
      </c>
      <c r="R192" s="3" t="s">
        <v>75</v>
      </c>
      <c r="S192">
        <f>COUNTIF(A:A,A192)</f>
        <v>1</v>
      </c>
      <c r="T192" t="str">
        <f>IF(OR(H192="",LOWER(TRIM(H192&amp;""))="missing",LOWER(TRIM(H192&amp;""))=""),"Missing/",IFERROR(IF(OR(VALUE(H192)&lt;0,VALUE(H192)&gt;110),"Invalid","Valid"),"Check Format"))</f>
        <v>Invalid</v>
      </c>
      <c r="U192" t="str">
        <f>IF(Raw_Data[[#This Row],[Age_Check]]="Valid",H192,"")</f>
        <v/>
      </c>
      <c r="V192" t="str">
        <f>IF(OR(K192="",UPPER(TRIM(K192&amp;""))="",LOWER(TRIM(K192&amp;""))="",LOWER(TRIM(K192&amp;""))="",LOWER(TRIM(K192&amp;""))="missing"),"Missing/",IFERROR(IF(VALUE(K192)&lt;0,"Invalid","Valid"),"Check Format"))</f>
        <v>Valid</v>
      </c>
      <c r="W192" t="str">
        <f>IF(OR(E192="",F192=""),"Missing Date/Time",IFERROR(IF(F192&gt;E192,"Arrival After Appointment","OK"),"Check Format"))</f>
        <v>OK</v>
      </c>
      <c r="X192" t="str">
        <f>IF(OR(F192="",G192=""),"Missing Date/Time",IFERROR(IF(G192&lt;F192,"Discharge Before Arrival","OK"),"Check Format"))</f>
        <v>OK</v>
      </c>
    </row>
    <row r="193" spans="1:24" x14ac:dyDescent="0.25">
      <c r="A193" s="2" t="s">
        <v>454</v>
      </c>
      <c r="B193" s="2" t="s">
        <v>190</v>
      </c>
      <c r="C193" s="3" t="s">
        <v>37</v>
      </c>
      <c r="D193" s="3" t="s">
        <v>61</v>
      </c>
      <c r="E193" s="4">
        <v>45892.315972222219</v>
      </c>
      <c r="F193" s="4">
        <v>45892.311111111114</v>
      </c>
      <c r="G193" s="4">
        <v>45892.369444444441</v>
      </c>
      <c r="H193" s="5">
        <v>145</v>
      </c>
      <c r="J193" s="3" t="s">
        <v>62</v>
      </c>
      <c r="K193" s="5">
        <v>45</v>
      </c>
      <c r="L193" s="5">
        <v>32</v>
      </c>
      <c r="M193" s="3" t="s">
        <v>87</v>
      </c>
      <c r="N193" t="s">
        <v>103</v>
      </c>
      <c r="O193" s="5">
        <v>2</v>
      </c>
      <c r="P193" s="3" t="s">
        <v>80</v>
      </c>
      <c r="Q193" s="2">
        <v>279.11</v>
      </c>
      <c r="R193" s="3" t="s">
        <v>75</v>
      </c>
      <c r="S193">
        <f>COUNTIF(A:A,A193)</f>
        <v>1</v>
      </c>
      <c r="T193" t="str">
        <f>IF(OR(H193="",LOWER(TRIM(H193&amp;""))="missing",LOWER(TRIM(H193&amp;""))=""),"Missing/",IFERROR(IF(OR(VALUE(H193)&lt;0,VALUE(H193)&gt;110),"Invalid","Valid"),"Check Format"))</f>
        <v>Invalid</v>
      </c>
      <c r="U193" t="str">
        <f>IF(Raw_Data[[#This Row],[Age_Check]]="Valid",H193,"")</f>
        <v/>
      </c>
      <c r="V193" t="str">
        <f>IF(OR(K193="",UPPER(TRIM(K193&amp;""))="",LOWER(TRIM(K193&amp;""))="",LOWER(TRIM(K193&amp;""))="",LOWER(TRIM(K193&amp;""))="missing"),"Missing/",IFERROR(IF(VALUE(K193)&lt;0,"Invalid","Valid"),"Check Format"))</f>
        <v>Valid</v>
      </c>
      <c r="W193" t="str">
        <f>IF(OR(E193="",F193=""),"Missing Date/Time",IFERROR(IF(F193&gt;E193,"Arrival After Appointment","OK"),"Check Format"))</f>
        <v>OK</v>
      </c>
      <c r="X193" t="str">
        <f>IF(OR(F193="",G193=""),"Missing Date/Time",IFERROR(IF(G193&lt;F193,"Discharge Before Arrival","OK"),"Check Format"))</f>
        <v>OK</v>
      </c>
    </row>
    <row r="194" spans="1:24" x14ac:dyDescent="0.25">
      <c r="A194" s="2" t="s">
        <v>455</v>
      </c>
      <c r="B194" s="2" t="s">
        <v>18</v>
      </c>
      <c r="C194" s="3" t="s">
        <v>37</v>
      </c>
      <c r="D194" s="3" t="s">
        <v>55</v>
      </c>
      <c r="E194" s="4">
        <v>45654.447916666664</v>
      </c>
      <c r="F194" s="4">
        <v>45654.443055555559</v>
      </c>
      <c r="G194" s="4">
        <v>45654.515277777777</v>
      </c>
      <c r="H194" s="5">
        <v>29</v>
      </c>
      <c r="I194" s="3" t="s">
        <v>73</v>
      </c>
      <c r="J194" s="3" t="s">
        <v>22</v>
      </c>
      <c r="K194" s="5">
        <v>69</v>
      </c>
      <c r="L194" s="5">
        <v>28</v>
      </c>
      <c r="M194" s="3" t="s">
        <v>41</v>
      </c>
      <c r="N194" t="s">
        <v>69</v>
      </c>
      <c r="O194" s="5">
        <v>1</v>
      </c>
      <c r="P194" s="3" t="s">
        <v>42</v>
      </c>
      <c r="Q194" s="2">
        <v>211.35</v>
      </c>
      <c r="R194" s="3" t="s">
        <v>58</v>
      </c>
      <c r="S194">
        <f>COUNTIF(A:A,A194)</f>
        <v>1</v>
      </c>
      <c r="T194" t="str">
        <f>IF(OR(H194="",LOWER(TRIM(H194&amp;""))="missing",LOWER(TRIM(H194&amp;""))=""),"Missing/",IFERROR(IF(OR(VALUE(H194)&lt;0,VALUE(H194)&gt;110),"Invalid","Valid"),"Check Format"))</f>
        <v>Valid</v>
      </c>
      <c r="U194">
        <f>IF(Raw_Data[[#This Row],[Age_Check]]="Valid",H194,"")</f>
        <v>29</v>
      </c>
      <c r="V194" t="str">
        <f>IF(OR(K194="",UPPER(TRIM(K194&amp;""))="",LOWER(TRIM(K194&amp;""))="",LOWER(TRIM(K194&amp;""))="",LOWER(TRIM(K194&amp;""))="missing"),"Missing/",IFERROR(IF(VALUE(K194)&lt;0,"Invalid","Valid"),"Check Format"))</f>
        <v>Valid</v>
      </c>
      <c r="W194" t="str">
        <f>IF(OR(E194="",F194=""),"Missing Date/Time",IFERROR(IF(F194&gt;E194,"Arrival After Appointment","OK"),"Check Format"))</f>
        <v>OK</v>
      </c>
      <c r="X194" t="str">
        <f>IF(OR(F194="",G194=""),"Missing Date/Time",IFERROR(IF(G194&lt;F194,"Discharge Before Arrival","OK"),"Check Format"))</f>
        <v>OK</v>
      </c>
    </row>
    <row r="195" spans="1:24" x14ac:dyDescent="0.25">
      <c r="A195" s="2" t="s">
        <v>456</v>
      </c>
      <c r="B195" s="2" t="s">
        <v>457</v>
      </c>
      <c r="C195" s="3" t="s">
        <v>46</v>
      </c>
      <c r="D195" s="3" t="s">
        <v>174</v>
      </c>
      <c r="E195" s="4" t="s">
        <v>458</v>
      </c>
      <c r="F195" s="4">
        <v>45335.584027777775</v>
      </c>
      <c r="G195" s="4">
        <v>45335.625694444447</v>
      </c>
      <c r="I195" s="3" t="s">
        <v>73</v>
      </c>
      <c r="J195" s="3" t="s">
        <v>150</v>
      </c>
      <c r="K195" s="5">
        <v>0</v>
      </c>
      <c r="L195" s="5">
        <v>36</v>
      </c>
      <c r="M195" s="3" t="s">
        <v>87</v>
      </c>
      <c r="Q195" s="2">
        <v>206.67</v>
      </c>
      <c r="R195" s="3" t="s">
        <v>58</v>
      </c>
      <c r="S195">
        <f>COUNTIF(A:A,A195)</f>
        <v>1</v>
      </c>
      <c r="T195" t="str">
        <f>IF(OR(H195="",LOWER(TRIM(H195&amp;""))="missing",LOWER(TRIM(H195&amp;""))=""),"Missing/",IFERROR(IF(OR(VALUE(H195)&lt;0,VALUE(H195)&gt;110),"Invalid","Valid"),"Check Format"))</f>
        <v>Missing/</v>
      </c>
      <c r="U195" t="str">
        <f>IF(Raw_Data[[#This Row],[Age_Check]]="Valid",H195,"")</f>
        <v/>
      </c>
      <c r="V195" t="str">
        <f>IF(OR(K195="",UPPER(TRIM(K195&amp;""))="",LOWER(TRIM(K195&amp;""))="",LOWER(TRIM(K195&amp;""))="",LOWER(TRIM(K195&amp;""))="missing"),"Missing/",IFERROR(IF(VALUE(K195)&lt;0,"Invalid","Valid"),"Check Format"))</f>
        <v>Valid</v>
      </c>
      <c r="W195" t="str">
        <f>IF(OR(E195="",F195=""),"Missing Date/Time",IFERROR(IF(F195&gt;E195,"Arrival After Appointment","OK"),"Check Format"))</f>
        <v>OK</v>
      </c>
      <c r="X195" t="str">
        <f>IF(OR(F195="",G195=""),"Missing Date/Time",IFERROR(IF(G195&lt;F195,"Discharge Before Arrival","OK"),"Check Format"))</f>
        <v>OK</v>
      </c>
    </row>
    <row r="196" spans="1:24" x14ac:dyDescent="0.25">
      <c r="A196" s="2" t="s">
        <v>459</v>
      </c>
      <c r="B196" s="2" t="s">
        <v>460</v>
      </c>
      <c r="C196" s="3" t="s">
        <v>46</v>
      </c>
      <c r="D196" s="3" t="s">
        <v>149</v>
      </c>
      <c r="E196" s="4">
        <v>45304.71875</v>
      </c>
      <c r="F196" s="4">
        <v>45304.713194444441</v>
      </c>
      <c r="G196" s="4">
        <v>45304.759027777778</v>
      </c>
      <c r="I196" s="3" t="s">
        <v>39</v>
      </c>
      <c r="J196" s="3" t="s">
        <v>67</v>
      </c>
      <c r="K196" s="5">
        <v>6</v>
      </c>
      <c r="L196" s="5">
        <v>52</v>
      </c>
      <c r="M196" s="3" t="s">
        <v>68</v>
      </c>
      <c r="N196" t="s">
        <v>24</v>
      </c>
      <c r="O196" s="5">
        <v>0</v>
      </c>
      <c r="P196" s="3" t="s">
        <v>42</v>
      </c>
      <c r="Q196" s="2">
        <v>172.08</v>
      </c>
      <c r="R196" s="3" t="s">
        <v>75</v>
      </c>
      <c r="S196">
        <f>COUNTIF(A:A,A196)</f>
        <v>1</v>
      </c>
      <c r="T196" t="str">
        <f>IF(OR(H196="",LOWER(TRIM(H196&amp;""))="missing",LOWER(TRIM(H196&amp;""))=""),"Missing/",IFERROR(IF(OR(VALUE(H196)&lt;0,VALUE(H196)&gt;110),"Invalid","Valid"),"Check Format"))</f>
        <v>Missing/</v>
      </c>
      <c r="U196" t="str">
        <f>IF(Raw_Data[[#This Row],[Age_Check]]="Valid",H196,"")</f>
        <v/>
      </c>
      <c r="V196" t="str">
        <f>IF(OR(K196="",UPPER(TRIM(K196&amp;""))="",LOWER(TRIM(K196&amp;""))="",LOWER(TRIM(K196&amp;""))="",LOWER(TRIM(K196&amp;""))="missing"),"Missing/",IFERROR(IF(VALUE(K196)&lt;0,"Invalid","Valid"),"Check Format"))</f>
        <v>Valid</v>
      </c>
      <c r="W196" t="str">
        <f>IF(OR(E196="",F196=""),"Missing Date/Time",IFERROR(IF(F196&gt;E196,"Arrival After Appointment","OK"),"Check Format"))</f>
        <v>OK</v>
      </c>
      <c r="X196" t="str">
        <f>IF(OR(F196="",G196=""),"Missing Date/Time",IFERROR(IF(G196&lt;F196,"Discharge Before Arrival","OK"),"Check Format"))</f>
        <v>OK</v>
      </c>
    </row>
    <row r="197" spans="1:24" x14ac:dyDescent="0.25">
      <c r="A197" s="2" t="s">
        <v>461</v>
      </c>
      <c r="B197" s="2" t="s">
        <v>462</v>
      </c>
      <c r="C197" s="3" t="s">
        <v>37</v>
      </c>
      <c r="D197" s="3" t="s">
        <v>106</v>
      </c>
      <c r="E197" s="4">
        <v>45426.701388888891</v>
      </c>
      <c r="F197" s="4">
        <v>45426.682638888888</v>
      </c>
      <c r="G197" s="4">
        <v>45426.761111111111</v>
      </c>
      <c r="H197" s="5">
        <v>94</v>
      </c>
      <c r="I197" s="3" t="s">
        <v>73</v>
      </c>
      <c r="J197" s="3" t="s">
        <v>2639</v>
      </c>
      <c r="K197" s="5">
        <v>43</v>
      </c>
      <c r="L197" s="5">
        <v>43</v>
      </c>
      <c r="M197" s="3" t="s">
        <v>87</v>
      </c>
      <c r="N197" t="s">
        <v>69</v>
      </c>
      <c r="O197" s="5">
        <v>4</v>
      </c>
      <c r="Q197" s="2">
        <v>326.66000000000003</v>
      </c>
      <c r="R197" s="3" t="s">
        <v>26</v>
      </c>
      <c r="S197">
        <f>COUNTIF(A:A,A197)</f>
        <v>1</v>
      </c>
      <c r="T197" t="str">
        <f>IF(OR(H197="",LOWER(TRIM(H197&amp;""))="missing",LOWER(TRIM(H197&amp;""))=""),"Missing/",IFERROR(IF(OR(VALUE(H197)&lt;0,VALUE(H197)&gt;110),"Invalid","Valid"),"Check Format"))</f>
        <v>Valid</v>
      </c>
      <c r="U197">
        <f>IF(Raw_Data[[#This Row],[Age_Check]]="Valid",H197,"")</f>
        <v>94</v>
      </c>
      <c r="V197" t="str">
        <f>IF(OR(K197="",UPPER(TRIM(K197&amp;""))="",LOWER(TRIM(K197&amp;""))="",LOWER(TRIM(K197&amp;""))="",LOWER(TRIM(K197&amp;""))="missing"),"Missing/",IFERROR(IF(VALUE(K197)&lt;0,"Invalid","Valid"),"Check Format"))</f>
        <v>Valid</v>
      </c>
      <c r="W197" t="str">
        <f>IF(OR(E197="",F197=""),"Missing Date/Time",IFERROR(IF(F197&gt;E197,"Arrival After Appointment","OK"),"Check Format"))</f>
        <v>OK</v>
      </c>
      <c r="X197" t="str">
        <f>IF(OR(F197="",G197=""),"Missing Date/Time",IFERROR(IF(G197&lt;F197,"Discharge Before Arrival","OK"),"Check Format"))</f>
        <v>OK</v>
      </c>
    </row>
    <row r="198" spans="1:24" x14ac:dyDescent="0.25">
      <c r="A198" s="2" t="s">
        <v>463</v>
      </c>
      <c r="B198" s="2" t="s">
        <v>28</v>
      </c>
      <c r="C198" s="3" t="s">
        <v>46</v>
      </c>
      <c r="D198" s="3" t="s">
        <v>66</v>
      </c>
      <c r="E198" s="4">
        <v>45867.666666666664</v>
      </c>
      <c r="F198" s="4">
        <v>45867.652777777781</v>
      </c>
      <c r="I198" s="3" t="s">
        <v>39</v>
      </c>
      <c r="J198" s="3" t="s">
        <v>67</v>
      </c>
      <c r="K198" s="5">
        <v>64</v>
      </c>
      <c r="L198" s="5">
        <v>36</v>
      </c>
      <c r="M198" s="3" t="s">
        <v>41</v>
      </c>
      <c r="P198" s="3" t="s">
        <v>25</v>
      </c>
      <c r="Q198" s="2">
        <v>108.25</v>
      </c>
      <c r="R198" s="3" t="s">
        <v>75</v>
      </c>
      <c r="S198">
        <f>COUNTIF(A:A,A198)</f>
        <v>1</v>
      </c>
      <c r="T198" t="str">
        <f>IF(OR(H198="",LOWER(TRIM(H198&amp;""))="missing",LOWER(TRIM(H198&amp;""))=""),"Missing/",IFERROR(IF(OR(VALUE(H198)&lt;0,VALUE(H198)&gt;110),"Invalid","Valid"),"Check Format"))</f>
        <v>Missing/</v>
      </c>
      <c r="U198" t="str">
        <f>IF(Raw_Data[[#This Row],[Age_Check]]="Valid",H198,"")</f>
        <v/>
      </c>
      <c r="V198" t="str">
        <f>IF(OR(K198="",UPPER(TRIM(K198&amp;""))="",LOWER(TRIM(K198&amp;""))="",LOWER(TRIM(K198&amp;""))="",LOWER(TRIM(K198&amp;""))="missing"),"Missing/",IFERROR(IF(VALUE(K198)&lt;0,"Invalid","Valid"),"Check Format"))</f>
        <v>Valid</v>
      </c>
      <c r="W198" t="str">
        <f>IF(OR(E198="",F198=""),"Missing Date/Time",IFERROR(IF(F198&gt;E198,"Arrival After Appointment","OK"),"Check Format"))</f>
        <v>OK</v>
      </c>
      <c r="X198" t="str">
        <f>IF(OR(F198="",G198=""),"Missing Date/Time",IFERROR(IF(G198&lt;F198,"Discharge Before Arrival","OK"),"Check Format"))</f>
        <v>Missing Date/Time</v>
      </c>
    </row>
    <row r="199" spans="1:24" x14ac:dyDescent="0.25">
      <c r="A199" s="2" t="s">
        <v>464</v>
      </c>
      <c r="B199" s="2" t="s">
        <v>465</v>
      </c>
      <c r="D199" s="3" t="s">
        <v>55</v>
      </c>
      <c r="E199" s="4">
        <v>45999.743055555555</v>
      </c>
      <c r="F199" s="4">
        <v>45881.73333333333</v>
      </c>
      <c r="G199" s="4">
        <v>45881.794444444444</v>
      </c>
      <c r="I199" s="3" t="s">
        <v>73</v>
      </c>
      <c r="K199" s="5">
        <v>28</v>
      </c>
      <c r="L199" s="5">
        <v>46</v>
      </c>
      <c r="M199" s="3" t="s">
        <v>68</v>
      </c>
      <c r="N199" t="s">
        <v>69</v>
      </c>
      <c r="P199" s="3" t="s">
        <v>25</v>
      </c>
      <c r="Q199" s="2">
        <v>76.510000000000005</v>
      </c>
      <c r="R199" s="3" t="s">
        <v>58</v>
      </c>
      <c r="S199">
        <f>COUNTIF(A:A,A199)</f>
        <v>1</v>
      </c>
      <c r="T199" t="str">
        <f>IF(OR(H199="",LOWER(TRIM(H199&amp;""))="missing",LOWER(TRIM(H199&amp;""))=""),"Missing/",IFERROR(IF(OR(VALUE(H199)&lt;0,VALUE(H199)&gt;110),"Invalid","Valid"),"Check Format"))</f>
        <v>Missing/</v>
      </c>
      <c r="U199" t="str">
        <f>IF(Raw_Data[[#This Row],[Age_Check]]="Valid",H199,"")</f>
        <v/>
      </c>
      <c r="V199" t="str">
        <f>IF(OR(K199="",UPPER(TRIM(K199&amp;""))="",LOWER(TRIM(K199&amp;""))="",LOWER(TRIM(K199&amp;""))="",LOWER(TRIM(K199&amp;""))="missing"),"Missing/",IFERROR(IF(VALUE(K199)&lt;0,"Invalid","Valid"),"Check Format"))</f>
        <v>Valid</v>
      </c>
      <c r="W199" t="str">
        <f>IF(OR(E199="",F199=""),"Missing Date/Time",IFERROR(IF(F199&gt;E199,"Arrival After Appointment","OK"),"Check Format"))</f>
        <v>OK</v>
      </c>
      <c r="X199" t="str">
        <f>IF(OR(F199="",G199=""),"Missing Date/Time",IFERROR(IF(G199&lt;F199,"Discharge Before Arrival","OK"),"Check Format"))</f>
        <v>OK</v>
      </c>
    </row>
    <row r="200" spans="1:24" x14ac:dyDescent="0.25">
      <c r="A200" s="2" t="s">
        <v>466</v>
      </c>
      <c r="B200" s="2" t="s">
        <v>467</v>
      </c>
      <c r="C200" s="3" t="s">
        <v>29</v>
      </c>
      <c r="D200" s="3" t="s">
        <v>149</v>
      </c>
      <c r="E200" s="4">
        <v>45960.496527777781</v>
      </c>
      <c r="F200" s="4">
        <v>45960.48541666667</v>
      </c>
      <c r="G200" s="4">
        <v>45960.554166666669</v>
      </c>
      <c r="H200" s="5">
        <v>21</v>
      </c>
      <c r="I200" s="3" t="s">
        <v>95</v>
      </c>
      <c r="J200" s="3" t="s">
        <v>22</v>
      </c>
      <c r="K200" s="5">
        <v>60</v>
      </c>
      <c r="L200" s="5">
        <v>23</v>
      </c>
      <c r="M200" s="3" t="s">
        <v>68</v>
      </c>
      <c r="N200" t="s">
        <v>24</v>
      </c>
      <c r="O200" s="5">
        <v>1</v>
      </c>
      <c r="P200" s="3" t="s">
        <v>80</v>
      </c>
      <c r="Q200" s="2">
        <v>183.32</v>
      </c>
      <c r="R200" s="3" t="s">
        <v>58</v>
      </c>
      <c r="S200">
        <f>COUNTIF(A:A,A200)</f>
        <v>1</v>
      </c>
      <c r="T200" t="str">
        <f>IF(OR(H200="",LOWER(TRIM(H200&amp;""))="missing",LOWER(TRIM(H200&amp;""))=""),"Missing/",IFERROR(IF(OR(VALUE(H200)&lt;0,VALUE(H200)&gt;110),"Invalid","Valid"),"Check Format"))</f>
        <v>Valid</v>
      </c>
      <c r="U200">
        <f>IF(Raw_Data[[#This Row],[Age_Check]]="Valid",H200,"")</f>
        <v>21</v>
      </c>
      <c r="V200" t="str">
        <f>IF(OR(K200="",UPPER(TRIM(K200&amp;""))="",LOWER(TRIM(K200&amp;""))="",LOWER(TRIM(K200&amp;""))="",LOWER(TRIM(K200&amp;""))="missing"),"Missing/",IFERROR(IF(VALUE(K200)&lt;0,"Invalid","Valid"),"Check Format"))</f>
        <v>Valid</v>
      </c>
      <c r="W200" t="str">
        <f>IF(OR(E200="",F200=""),"Missing Date/Time",IFERROR(IF(F200&gt;E200,"Arrival After Appointment","OK"),"Check Format"))</f>
        <v>OK</v>
      </c>
      <c r="X200" t="str">
        <f>IF(OR(F200="",G200=""),"Missing Date/Time",IFERROR(IF(G200&lt;F200,"Discharge Before Arrival","OK"),"Check Format"))</f>
        <v>OK</v>
      </c>
    </row>
    <row r="201" spans="1:24" x14ac:dyDescent="0.25">
      <c r="A201" s="2" t="s">
        <v>468</v>
      </c>
      <c r="B201" s="2" t="s">
        <v>469</v>
      </c>
      <c r="C201" s="3" t="s">
        <v>19</v>
      </c>
      <c r="D201" s="3" t="s">
        <v>66</v>
      </c>
      <c r="E201" s="4" t="s">
        <v>470</v>
      </c>
      <c r="F201" s="4">
        <v>45318.55</v>
      </c>
      <c r="G201" s="4">
        <v>45318.652083333334</v>
      </c>
      <c r="I201" s="3" t="s">
        <v>90</v>
      </c>
      <c r="J201" s="3" t="s">
        <v>62</v>
      </c>
      <c r="K201" s="5">
        <v>69</v>
      </c>
      <c r="L201" s="5">
        <v>50</v>
      </c>
      <c r="M201" s="3" t="s">
        <v>32</v>
      </c>
      <c r="N201" t="s">
        <v>69</v>
      </c>
      <c r="O201" s="5">
        <v>5</v>
      </c>
      <c r="P201" s="3" t="s">
        <v>25</v>
      </c>
      <c r="R201" s="3" t="s">
        <v>75</v>
      </c>
      <c r="S201">
        <f>COUNTIF(A:A,A201)</f>
        <v>1</v>
      </c>
      <c r="T201" t="str">
        <f>IF(OR(H201="",LOWER(TRIM(H201&amp;""))="missing",LOWER(TRIM(H201&amp;""))=""),"Missing/",IFERROR(IF(OR(VALUE(H201)&lt;0,VALUE(H201)&gt;110),"Invalid","Valid"),"Check Format"))</f>
        <v>Missing/</v>
      </c>
      <c r="U201" t="str">
        <f>IF(Raw_Data[[#This Row],[Age_Check]]="Valid",H201,"")</f>
        <v/>
      </c>
      <c r="V201" t="str">
        <f>IF(OR(K201="",UPPER(TRIM(K201&amp;""))="",LOWER(TRIM(K201&amp;""))="",LOWER(TRIM(K201&amp;""))="",LOWER(TRIM(K201&amp;""))="missing"),"Missing/",IFERROR(IF(VALUE(K201)&lt;0,"Invalid","Valid"),"Check Format"))</f>
        <v>Valid</v>
      </c>
      <c r="W201" t="str">
        <f>IF(OR(E201="",F201=""),"Missing Date/Time",IFERROR(IF(F201&gt;E201,"Arrival After Appointment","OK"),"Check Format"))</f>
        <v>OK</v>
      </c>
      <c r="X201" t="str">
        <f>IF(OR(F201="",G201=""),"Missing Date/Time",IFERROR(IF(G201&lt;F201,"Discharge Before Arrival","OK"),"Check Format"))</f>
        <v>OK</v>
      </c>
    </row>
    <row r="202" spans="1:24" x14ac:dyDescent="0.25">
      <c r="A202" s="2" t="s">
        <v>471</v>
      </c>
      <c r="B202" s="2" t="s">
        <v>472</v>
      </c>
      <c r="D202" s="3" t="s">
        <v>55</v>
      </c>
      <c r="E202" s="4">
        <v>45845.486111111109</v>
      </c>
      <c r="F202" s="4">
        <v>45845.472222222219</v>
      </c>
      <c r="G202" s="4">
        <v>45845.532638888886</v>
      </c>
      <c r="J202" s="3" t="s">
        <v>62</v>
      </c>
      <c r="K202" s="5">
        <v>40</v>
      </c>
      <c r="L202" s="5">
        <v>27</v>
      </c>
      <c r="M202" s="3" t="s">
        <v>63</v>
      </c>
      <c r="N202" t="s">
        <v>91</v>
      </c>
      <c r="O202" s="5">
        <v>5</v>
      </c>
      <c r="Q202" s="2">
        <v>66.7</v>
      </c>
      <c r="R202" s="3" t="s">
        <v>75</v>
      </c>
      <c r="S202">
        <f>COUNTIF(A:A,A202)</f>
        <v>1</v>
      </c>
      <c r="T202" t="str">
        <f>IF(OR(H202="",LOWER(TRIM(H202&amp;""))="missing",LOWER(TRIM(H202&amp;""))=""),"Missing/",IFERROR(IF(OR(VALUE(H202)&lt;0,VALUE(H202)&gt;110),"Invalid","Valid"),"Check Format"))</f>
        <v>Missing/</v>
      </c>
      <c r="U202" t="str">
        <f>IF(Raw_Data[[#This Row],[Age_Check]]="Valid",H202,"")</f>
        <v/>
      </c>
      <c r="V202" t="str">
        <f>IF(OR(K202="",UPPER(TRIM(K202&amp;""))="",LOWER(TRIM(K202&amp;""))="",LOWER(TRIM(K202&amp;""))="",LOWER(TRIM(K202&amp;""))="missing"),"Missing/",IFERROR(IF(VALUE(K202)&lt;0,"Invalid","Valid"),"Check Format"))</f>
        <v>Valid</v>
      </c>
      <c r="W202" t="str">
        <f>IF(OR(E202="",F202=""),"Missing Date/Time",IFERROR(IF(F202&gt;E202,"Arrival After Appointment","OK"),"Check Format"))</f>
        <v>OK</v>
      </c>
      <c r="X202" t="str">
        <f>IF(OR(F202="",G202=""),"Missing Date/Time",IFERROR(IF(G202&lt;F202,"Discharge Before Arrival","OK"),"Check Format"))</f>
        <v>OK</v>
      </c>
    </row>
    <row r="203" spans="1:24" x14ac:dyDescent="0.25">
      <c r="A203" s="2" t="s">
        <v>473</v>
      </c>
      <c r="B203" s="2" t="s">
        <v>474</v>
      </c>
      <c r="D203" s="3" t="s">
        <v>61</v>
      </c>
      <c r="E203" s="4">
        <v>45292.631944444445</v>
      </c>
      <c r="F203" s="4">
        <v>45292.621527777781</v>
      </c>
      <c r="G203" s="4">
        <v>45292.6875</v>
      </c>
      <c r="H203" s="5">
        <v>145</v>
      </c>
      <c r="I203" s="3" t="s">
        <v>73</v>
      </c>
      <c r="J203" s="3" t="s">
        <v>150</v>
      </c>
      <c r="K203" s="5">
        <v>42</v>
      </c>
      <c r="L203" s="5">
        <v>38</v>
      </c>
      <c r="M203" s="3" t="s">
        <v>87</v>
      </c>
      <c r="O203" s="5">
        <v>0</v>
      </c>
      <c r="P203" s="3" t="s">
        <v>25</v>
      </c>
      <c r="Q203" s="2">
        <v>205.56</v>
      </c>
      <c r="R203" s="3" t="s">
        <v>43</v>
      </c>
      <c r="S203">
        <f>COUNTIF(A:A,A203)</f>
        <v>1</v>
      </c>
      <c r="T203" t="str">
        <f>IF(OR(H203="",LOWER(TRIM(H203&amp;""))="missing",LOWER(TRIM(H203&amp;""))=""),"Missing/",IFERROR(IF(OR(VALUE(H203)&lt;0,VALUE(H203)&gt;110),"Invalid","Valid"),"Check Format"))</f>
        <v>Invalid</v>
      </c>
      <c r="U203" t="str">
        <f>IF(Raw_Data[[#This Row],[Age_Check]]="Valid",H203,"")</f>
        <v/>
      </c>
      <c r="V203" t="str">
        <f>IF(OR(K203="",UPPER(TRIM(K203&amp;""))="",LOWER(TRIM(K203&amp;""))="",LOWER(TRIM(K203&amp;""))="",LOWER(TRIM(K203&amp;""))="missing"),"Missing/",IFERROR(IF(VALUE(K203)&lt;0,"Invalid","Valid"),"Check Format"))</f>
        <v>Valid</v>
      </c>
      <c r="W203" t="str">
        <f>IF(OR(E203="",F203=""),"Missing Date/Time",IFERROR(IF(F203&gt;E203,"Arrival After Appointment","OK"),"Check Format"))</f>
        <v>OK</v>
      </c>
      <c r="X203" t="str">
        <f>IF(OR(F203="",G203=""),"Missing Date/Time",IFERROR(IF(G203&lt;F203,"Discharge Before Arrival","OK"),"Check Format"))</f>
        <v>OK</v>
      </c>
    </row>
    <row r="204" spans="1:24" x14ac:dyDescent="0.25">
      <c r="A204" s="2" t="s">
        <v>475</v>
      </c>
      <c r="B204" s="2" t="s">
        <v>476</v>
      </c>
      <c r="C204" s="3" t="s">
        <v>46</v>
      </c>
      <c r="D204" s="3" t="s">
        <v>72</v>
      </c>
      <c r="E204" s="4">
        <v>45679.430555555555</v>
      </c>
      <c r="F204" s="4">
        <v>45679.414583333331</v>
      </c>
      <c r="G204" s="4">
        <v>45679.480555555558</v>
      </c>
      <c r="H204" s="5">
        <v>52</v>
      </c>
      <c r="I204" s="3" t="s">
        <v>73</v>
      </c>
      <c r="J204" s="3" t="s">
        <v>62</v>
      </c>
      <c r="K204" s="5">
        <v>25</v>
      </c>
      <c r="L204" s="5">
        <v>47</v>
      </c>
      <c r="M204" s="3" t="s">
        <v>68</v>
      </c>
      <c r="N204" t="s">
        <v>69</v>
      </c>
      <c r="P204" s="3" t="s">
        <v>80</v>
      </c>
      <c r="Q204" s="2">
        <v>253.45</v>
      </c>
      <c r="R204" s="3" t="s">
        <v>75</v>
      </c>
      <c r="S204">
        <f>COUNTIF(A:A,A204)</f>
        <v>1</v>
      </c>
      <c r="T204" t="str">
        <f>IF(OR(H204="",LOWER(TRIM(H204&amp;""))="missing",LOWER(TRIM(H204&amp;""))=""),"Missing/",IFERROR(IF(OR(VALUE(H204)&lt;0,VALUE(H204)&gt;110),"Invalid","Valid"),"Check Format"))</f>
        <v>Valid</v>
      </c>
      <c r="U204">
        <f>IF(Raw_Data[[#This Row],[Age_Check]]="Valid",H204,"")</f>
        <v>52</v>
      </c>
      <c r="V204" t="str">
        <f>IF(OR(K204="",UPPER(TRIM(K204&amp;""))="",LOWER(TRIM(K204&amp;""))="",LOWER(TRIM(K204&amp;""))="",LOWER(TRIM(K204&amp;""))="missing"),"Missing/",IFERROR(IF(VALUE(K204)&lt;0,"Invalid","Valid"),"Check Format"))</f>
        <v>Valid</v>
      </c>
      <c r="W204" t="str">
        <f>IF(OR(E204="",F204=""),"Missing Date/Time",IFERROR(IF(F204&gt;E204,"Arrival After Appointment","OK"),"Check Format"))</f>
        <v>OK</v>
      </c>
      <c r="X204" t="str">
        <f>IF(OR(F204="",G204=""),"Missing Date/Time",IFERROR(IF(G204&lt;F204,"Discharge Before Arrival","OK"),"Check Format"))</f>
        <v>OK</v>
      </c>
    </row>
    <row r="205" spans="1:24" x14ac:dyDescent="0.25">
      <c r="A205" s="2" t="s">
        <v>477</v>
      </c>
      <c r="B205" s="2" t="s">
        <v>478</v>
      </c>
      <c r="C205" s="3" t="s">
        <v>94</v>
      </c>
      <c r="D205" s="3" t="s">
        <v>55</v>
      </c>
      <c r="E205" s="4">
        <v>45447.319444444445</v>
      </c>
      <c r="F205" s="4">
        <v>45447.303472222222</v>
      </c>
      <c r="H205" s="5">
        <v>11</v>
      </c>
      <c r="I205" s="3" t="s">
        <v>73</v>
      </c>
      <c r="J205" s="3" t="s">
        <v>67</v>
      </c>
      <c r="K205" s="5">
        <v>72</v>
      </c>
      <c r="L205" s="5">
        <v>65</v>
      </c>
      <c r="M205" s="3" t="s">
        <v>50</v>
      </c>
      <c r="N205" t="s">
        <v>91</v>
      </c>
      <c r="O205" s="5">
        <v>0</v>
      </c>
      <c r="P205" s="3" t="s">
        <v>25</v>
      </c>
      <c r="Q205" s="2">
        <v>83.1</v>
      </c>
      <c r="R205" s="3" t="s">
        <v>58</v>
      </c>
      <c r="S205">
        <f>COUNTIF(A:A,A205)</f>
        <v>1</v>
      </c>
      <c r="T205" t="str">
        <f>IF(OR(H205="",LOWER(TRIM(H205&amp;""))="missing",LOWER(TRIM(H205&amp;""))=""),"Missing/",IFERROR(IF(OR(VALUE(H205)&lt;0,VALUE(H205)&gt;110),"Invalid","Valid"),"Check Format"))</f>
        <v>Valid</v>
      </c>
      <c r="U205">
        <f>IF(Raw_Data[[#This Row],[Age_Check]]="Valid",H205,"")</f>
        <v>11</v>
      </c>
      <c r="V205" t="str">
        <f>IF(OR(K205="",UPPER(TRIM(K205&amp;""))="",LOWER(TRIM(K205&amp;""))="",LOWER(TRIM(K205&amp;""))="",LOWER(TRIM(K205&amp;""))="missing"),"Missing/",IFERROR(IF(VALUE(K205)&lt;0,"Invalid","Valid"),"Check Format"))</f>
        <v>Valid</v>
      </c>
      <c r="W205" t="str">
        <f>IF(OR(E205="",F205=""),"Missing Date/Time",IFERROR(IF(F205&gt;E205,"Arrival After Appointment","OK"),"Check Format"))</f>
        <v>OK</v>
      </c>
      <c r="X205" t="str">
        <f>IF(OR(F205="",G205=""),"Missing Date/Time",IFERROR(IF(G205&lt;F205,"Discharge Before Arrival","OK"),"Check Format"))</f>
        <v>Missing Date/Time</v>
      </c>
    </row>
    <row r="206" spans="1:24" x14ac:dyDescent="0.25">
      <c r="A206" s="2" t="s">
        <v>479</v>
      </c>
      <c r="B206" s="2" t="s">
        <v>480</v>
      </c>
      <c r="C206" s="3" t="s">
        <v>46</v>
      </c>
      <c r="D206" s="3" t="s">
        <v>115</v>
      </c>
      <c r="E206" s="4">
        <v>45349.479166666664</v>
      </c>
      <c r="F206" s="4">
        <v>45349.461111111108</v>
      </c>
      <c r="I206" s="3" t="s">
        <v>73</v>
      </c>
      <c r="J206" s="3" t="s">
        <v>62</v>
      </c>
      <c r="K206" s="5">
        <v>14</v>
      </c>
      <c r="L206" s="5">
        <v>5</v>
      </c>
      <c r="M206" s="3" t="s">
        <v>50</v>
      </c>
      <c r="N206" t="s">
        <v>74</v>
      </c>
      <c r="Q206" s="2">
        <v>264.68</v>
      </c>
      <c r="R206" s="3" t="s">
        <v>43</v>
      </c>
      <c r="S206">
        <f>COUNTIF(A:A,A206)</f>
        <v>1</v>
      </c>
      <c r="T206" t="str">
        <f>IF(OR(H206="",LOWER(TRIM(H206&amp;""))="missing",LOWER(TRIM(H206&amp;""))=""),"Missing/",IFERROR(IF(OR(VALUE(H206)&lt;0,VALUE(H206)&gt;110),"Invalid","Valid"),"Check Format"))</f>
        <v>Missing/</v>
      </c>
      <c r="U206" t="str">
        <f>IF(Raw_Data[[#This Row],[Age_Check]]="Valid",H206,"")</f>
        <v/>
      </c>
      <c r="V206" t="str">
        <f>IF(OR(K206="",UPPER(TRIM(K206&amp;""))="",LOWER(TRIM(K206&amp;""))="",LOWER(TRIM(K206&amp;""))="",LOWER(TRIM(K206&amp;""))="missing"),"Missing/",IFERROR(IF(VALUE(K206)&lt;0,"Invalid","Valid"),"Check Format"))</f>
        <v>Valid</v>
      </c>
      <c r="W206" t="str">
        <f>IF(OR(E206="",F206=""),"Missing Date/Time",IFERROR(IF(F206&gt;E206,"Arrival After Appointment","OK"),"Check Format"))</f>
        <v>OK</v>
      </c>
      <c r="X206" t="str">
        <f>IF(OR(F206="",G206=""),"Missing Date/Time",IFERROR(IF(G206&lt;F206,"Discharge Before Arrival","OK"),"Check Format"))</f>
        <v>Missing Date/Time</v>
      </c>
    </row>
    <row r="207" spans="1:24" x14ac:dyDescent="0.25">
      <c r="A207" s="2" t="s">
        <v>481</v>
      </c>
      <c r="B207" s="2" t="s">
        <v>442</v>
      </c>
      <c r="C207" s="3" t="s">
        <v>46</v>
      </c>
      <c r="D207" s="3" t="s">
        <v>99</v>
      </c>
      <c r="E207" s="4">
        <v>45622.409722222219</v>
      </c>
      <c r="F207" s="4">
        <v>45622.390277777777</v>
      </c>
      <c r="H207" s="5">
        <v>85</v>
      </c>
      <c r="I207" s="3" t="s">
        <v>73</v>
      </c>
      <c r="J207" s="3" t="s">
        <v>67</v>
      </c>
      <c r="L207" s="5">
        <v>30</v>
      </c>
      <c r="N207" t="s">
        <v>91</v>
      </c>
      <c r="P207" s="3" t="s">
        <v>25</v>
      </c>
      <c r="Q207" s="2">
        <v>167.4</v>
      </c>
      <c r="R207" s="3" t="s">
        <v>43</v>
      </c>
      <c r="S207">
        <f>COUNTIF(A:A,A207)</f>
        <v>1</v>
      </c>
      <c r="T207" t="str">
        <f>IF(OR(H207="",LOWER(TRIM(H207&amp;""))="missing",LOWER(TRIM(H207&amp;""))=""),"Missing/",IFERROR(IF(OR(VALUE(H207)&lt;0,VALUE(H207)&gt;110),"Invalid","Valid"),"Check Format"))</f>
        <v>Valid</v>
      </c>
      <c r="U207">
        <f>IF(Raw_Data[[#This Row],[Age_Check]]="Valid",H207,"")</f>
        <v>85</v>
      </c>
      <c r="V207" t="str">
        <f>IF(OR(K207="",UPPER(TRIM(K207&amp;""))="",LOWER(TRIM(K207&amp;""))="",LOWER(TRIM(K207&amp;""))="",LOWER(TRIM(K207&amp;""))="missing"),"Missing/",IFERROR(IF(VALUE(K207)&lt;0,"Invalid","Valid"),"Check Format"))</f>
        <v>Missing/</v>
      </c>
      <c r="W207" t="str">
        <f>IF(OR(E207="",F207=""),"Missing Date/Time",IFERROR(IF(F207&gt;E207,"Arrival After Appointment","OK"),"Check Format"))</f>
        <v>OK</v>
      </c>
      <c r="X207" t="str">
        <f>IF(OR(F207="",G207=""),"Missing Date/Time",IFERROR(IF(G207&lt;F207,"Discharge Before Arrival","OK"),"Check Format"))</f>
        <v>Missing Date/Time</v>
      </c>
    </row>
    <row r="208" spans="1:24" x14ac:dyDescent="0.25">
      <c r="A208" s="2" t="s">
        <v>482</v>
      </c>
      <c r="B208" s="2" t="s">
        <v>483</v>
      </c>
      <c r="D208" s="3" t="s">
        <v>38</v>
      </c>
      <c r="E208" s="4">
        <v>45996.673611111109</v>
      </c>
      <c r="F208" s="4">
        <v>45996.660416666666</v>
      </c>
      <c r="G208" s="4">
        <v>45996.738888888889</v>
      </c>
      <c r="H208" s="5">
        <v>80</v>
      </c>
      <c r="I208" s="3" t="s">
        <v>39</v>
      </c>
      <c r="J208" s="3" t="s">
        <v>150</v>
      </c>
      <c r="K208" s="5">
        <v>18</v>
      </c>
      <c r="L208" s="5">
        <v>76</v>
      </c>
      <c r="M208" s="3" t="s">
        <v>68</v>
      </c>
      <c r="O208" s="5">
        <v>0</v>
      </c>
      <c r="P208" s="3" t="s">
        <v>80</v>
      </c>
      <c r="Q208" s="2">
        <v>155.34</v>
      </c>
      <c r="R208" s="3" t="s">
        <v>26</v>
      </c>
      <c r="S208">
        <f>COUNTIF(A:A,A208)</f>
        <v>1</v>
      </c>
      <c r="T208" t="str">
        <f>IF(OR(H208="",LOWER(TRIM(H208&amp;""))="missing",LOWER(TRIM(H208&amp;""))=""),"Missing/",IFERROR(IF(OR(VALUE(H208)&lt;0,VALUE(H208)&gt;110),"Invalid","Valid"),"Check Format"))</f>
        <v>Valid</v>
      </c>
      <c r="U208">
        <f>IF(Raw_Data[[#This Row],[Age_Check]]="Valid",H208,"")</f>
        <v>80</v>
      </c>
      <c r="V208" t="str">
        <f>IF(OR(K208="",UPPER(TRIM(K208&amp;""))="",LOWER(TRIM(K208&amp;""))="",LOWER(TRIM(K208&amp;""))="",LOWER(TRIM(K208&amp;""))="missing"),"Missing/",IFERROR(IF(VALUE(K208)&lt;0,"Invalid","Valid"),"Check Format"))</f>
        <v>Valid</v>
      </c>
      <c r="W208" t="str">
        <f>IF(OR(E208="",F208=""),"Missing Date/Time",IFERROR(IF(F208&gt;E208,"Arrival After Appointment","OK"),"Check Format"))</f>
        <v>OK</v>
      </c>
      <c r="X208" t="str">
        <f>IF(OR(F208="",G208=""),"Missing Date/Time",IFERROR(IF(G208&lt;F208,"Discharge Before Arrival","OK"),"Check Format"))</f>
        <v>OK</v>
      </c>
    </row>
    <row r="209" spans="1:24" x14ac:dyDescent="0.25">
      <c r="A209" s="2" t="s">
        <v>484</v>
      </c>
      <c r="B209" s="2" t="s">
        <v>485</v>
      </c>
      <c r="C209" s="3" t="s">
        <v>94</v>
      </c>
      <c r="D209" s="3" t="s">
        <v>99</v>
      </c>
      <c r="E209" s="4">
        <v>45741.760416666664</v>
      </c>
      <c r="F209" s="4">
        <v>45741.759722222225</v>
      </c>
      <c r="G209" s="4">
        <v>45741.834027777775</v>
      </c>
      <c r="J209" s="3" t="s">
        <v>67</v>
      </c>
      <c r="K209" s="5">
        <v>61</v>
      </c>
      <c r="L209" s="5">
        <v>45</v>
      </c>
      <c r="M209" s="3" t="s">
        <v>32</v>
      </c>
      <c r="N209" t="s">
        <v>24</v>
      </c>
      <c r="O209" s="5">
        <v>6</v>
      </c>
      <c r="P209" s="3" t="s">
        <v>25</v>
      </c>
      <c r="Q209" s="2">
        <v>183.48</v>
      </c>
      <c r="R209" s="3" t="s">
        <v>58</v>
      </c>
      <c r="S209">
        <f>COUNTIF(A:A,A209)</f>
        <v>1</v>
      </c>
      <c r="T209" t="str">
        <f>IF(OR(H209="",LOWER(TRIM(H209&amp;""))="missing",LOWER(TRIM(H209&amp;""))=""),"Missing/",IFERROR(IF(OR(VALUE(H209)&lt;0,VALUE(H209)&gt;110),"Invalid","Valid"),"Check Format"))</f>
        <v>Missing/</v>
      </c>
      <c r="U209" t="str">
        <f>IF(Raw_Data[[#This Row],[Age_Check]]="Valid",H209,"")</f>
        <v/>
      </c>
      <c r="V209" t="str">
        <f>IF(OR(K209="",UPPER(TRIM(K209&amp;""))="",LOWER(TRIM(K209&amp;""))="",LOWER(TRIM(K209&amp;""))="",LOWER(TRIM(K209&amp;""))="missing"),"Missing/",IFERROR(IF(VALUE(K209)&lt;0,"Invalid","Valid"),"Check Format"))</f>
        <v>Valid</v>
      </c>
      <c r="W209" t="str">
        <f>IF(OR(E209="",F209=""),"Missing Date/Time",IFERROR(IF(F209&gt;E209,"Arrival After Appointment","OK"),"Check Format"))</f>
        <v>OK</v>
      </c>
      <c r="X209" t="str">
        <f>IF(OR(F209="",G209=""),"Missing Date/Time",IFERROR(IF(G209&lt;F209,"Discharge Before Arrival","OK"),"Check Format"))</f>
        <v>OK</v>
      </c>
    </row>
    <row r="210" spans="1:24" x14ac:dyDescent="0.25">
      <c r="A210" s="2" t="s">
        <v>486</v>
      </c>
      <c r="B210" s="2" t="s">
        <v>117</v>
      </c>
      <c r="C210" s="3" t="s">
        <v>46</v>
      </c>
      <c r="D210" s="3" t="s">
        <v>55</v>
      </c>
      <c r="E210" s="4">
        <v>45859.378472222219</v>
      </c>
      <c r="F210" s="4">
        <v>45859.368750000001</v>
      </c>
      <c r="I210" s="3" t="s">
        <v>95</v>
      </c>
      <c r="K210" s="5">
        <v>65</v>
      </c>
      <c r="L210" s="5">
        <v>17</v>
      </c>
      <c r="M210" s="3" t="s">
        <v>87</v>
      </c>
      <c r="O210" s="5">
        <v>5</v>
      </c>
      <c r="P210" s="3" t="s">
        <v>25</v>
      </c>
      <c r="Q210" s="2">
        <v>182.72</v>
      </c>
      <c r="R210" s="3" t="s">
        <v>26</v>
      </c>
      <c r="S210">
        <f>COUNTIF(A:A,A210)</f>
        <v>1</v>
      </c>
      <c r="T210" t="str">
        <f>IF(OR(H210="",LOWER(TRIM(H210&amp;""))="missing",LOWER(TRIM(H210&amp;""))=""),"Missing/",IFERROR(IF(OR(VALUE(H210)&lt;0,VALUE(H210)&gt;110),"Invalid","Valid"),"Check Format"))</f>
        <v>Missing/</v>
      </c>
      <c r="U210" t="str">
        <f>IF(Raw_Data[[#This Row],[Age_Check]]="Valid",H210,"")</f>
        <v/>
      </c>
      <c r="V210" t="str">
        <f>IF(OR(K210="",UPPER(TRIM(K210&amp;""))="",LOWER(TRIM(K210&amp;""))="",LOWER(TRIM(K210&amp;""))="",LOWER(TRIM(K210&amp;""))="missing"),"Missing/",IFERROR(IF(VALUE(K210)&lt;0,"Invalid","Valid"),"Check Format"))</f>
        <v>Valid</v>
      </c>
      <c r="W210" t="str">
        <f>IF(OR(E210="",F210=""),"Missing Date/Time",IFERROR(IF(F210&gt;E210,"Arrival After Appointment","OK"),"Check Format"))</f>
        <v>OK</v>
      </c>
      <c r="X210" t="str">
        <f>IF(OR(F210="",G210=""),"Missing Date/Time",IFERROR(IF(G210&lt;F210,"Discharge Before Arrival","OK"),"Check Format"))</f>
        <v>Missing Date/Time</v>
      </c>
    </row>
    <row r="211" spans="1:24" x14ac:dyDescent="0.25">
      <c r="A211" s="2" t="s">
        <v>487</v>
      </c>
      <c r="B211" s="2" t="s">
        <v>488</v>
      </c>
      <c r="C211" s="3" t="s">
        <v>19</v>
      </c>
      <c r="D211" s="3" t="s">
        <v>30</v>
      </c>
      <c r="E211" s="4">
        <v>45856.40625</v>
      </c>
      <c r="F211" s="4">
        <v>45856.39166666667</v>
      </c>
      <c r="H211" s="5">
        <v>16</v>
      </c>
      <c r="I211" s="3" t="s">
        <v>73</v>
      </c>
      <c r="J211" s="3" t="s">
        <v>22</v>
      </c>
      <c r="K211" s="5">
        <v>123</v>
      </c>
      <c r="L211" s="5">
        <v>56</v>
      </c>
      <c r="M211" s="3" t="s">
        <v>23</v>
      </c>
      <c r="N211" t="s">
        <v>24</v>
      </c>
      <c r="O211" s="5">
        <v>2</v>
      </c>
      <c r="P211" s="3" t="s">
        <v>25</v>
      </c>
      <c r="Q211" s="2">
        <v>272.45</v>
      </c>
      <c r="R211" s="3" t="s">
        <v>58</v>
      </c>
      <c r="S211">
        <f>COUNTIF(A:A,A211)</f>
        <v>1</v>
      </c>
      <c r="T211" t="str">
        <f>IF(OR(H211="",LOWER(TRIM(H211&amp;""))="missing",LOWER(TRIM(H211&amp;""))=""),"Missing/",IFERROR(IF(OR(VALUE(H211)&lt;0,VALUE(H211)&gt;110),"Invalid","Valid"),"Check Format"))</f>
        <v>Valid</v>
      </c>
      <c r="U211">
        <f>IF(Raw_Data[[#This Row],[Age_Check]]="Valid",H211,"")</f>
        <v>16</v>
      </c>
      <c r="V211" t="str">
        <f>IF(OR(K211="",UPPER(TRIM(K211&amp;""))="",LOWER(TRIM(K211&amp;""))="",LOWER(TRIM(K211&amp;""))="",LOWER(TRIM(K211&amp;""))="missing"),"Missing/",IFERROR(IF(VALUE(K211)&lt;0,"Invalid","Valid"),"Check Format"))</f>
        <v>Valid</v>
      </c>
      <c r="W211" t="str">
        <f>IF(OR(E211="",F211=""),"Missing Date/Time",IFERROR(IF(F211&gt;E211,"Arrival After Appointment","OK"),"Check Format"))</f>
        <v>OK</v>
      </c>
      <c r="X211" t="str">
        <f>IF(OR(F211="",G211=""),"Missing Date/Time",IFERROR(IF(G211&lt;F211,"Discharge Before Arrival","OK"),"Check Format"))</f>
        <v>Missing Date/Time</v>
      </c>
    </row>
    <row r="212" spans="1:24" x14ac:dyDescent="0.25">
      <c r="A212" s="2" t="s">
        <v>489</v>
      </c>
      <c r="B212" s="2" t="s">
        <v>490</v>
      </c>
      <c r="D212" s="3" t="s">
        <v>149</v>
      </c>
      <c r="E212" s="4">
        <v>45554.309027777781</v>
      </c>
      <c r="F212" s="4">
        <v>45554.290972222225</v>
      </c>
      <c r="J212" s="3" t="s">
        <v>2639</v>
      </c>
      <c r="K212" s="5">
        <v>40</v>
      </c>
      <c r="L212" s="5">
        <v>14</v>
      </c>
      <c r="N212" t="s">
        <v>91</v>
      </c>
      <c r="P212" s="3" t="s">
        <v>25</v>
      </c>
      <c r="R212" s="3" t="s">
        <v>58</v>
      </c>
      <c r="S212">
        <f>COUNTIF(A:A,A212)</f>
        <v>1</v>
      </c>
      <c r="T212" t="str">
        <f>IF(OR(H212="",LOWER(TRIM(H212&amp;""))="missing",LOWER(TRIM(H212&amp;""))=""),"Missing/",IFERROR(IF(OR(VALUE(H212)&lt;0,VALUE(H212)&gt;110),"Invalid","Valid"),"Check Format"))</f>
        <v>Missing/</v>
      </c>
      <c r="U212" t="str">
        <f>IF(Raw_Data[[#This Row],[Age_Check]]="Valid",H212,"")</f>
        <v/>
      </c>
      <c r="V212" t="str">
        <f>IF(OR(K212="",UPPER(TRIM(K212&amp;""))="",LOWER(TRIM(K212&amp;""))="",LOWER(TRIM(K212&amp;""))="",LOWER(TRIM(K212&amp;""))="missing"),"Missing/",IFERROR(IF(VALUE(K212)&lt;0,"Invalid","Valid"),"Check Format"))</f>
        <v>Valid</v>
      </c>
      <c r="W212" t="str">
        <f>IF(OR(E212="",F212=""),"Missing Date/Time",IFERROR(IF(F212&gt;E212,"Arrival After Appointment","OK"),"Check Format"))</f>
        <v>OK</v>
      </c>
      <c r="X212" t="str">
        <f>IF(OR(F212="",G212=""),"Missing Date/Time",IFERROR(IF(G212&lt;F212,"Discharge Before Arrival","OK"),"Check Format"))</f>
        <v>Missing Date/Time</v>
      </c>
    </row>
    <row r="213" spans="1:24" x14ac:dyDescent="0.25">
      <c r="A213" s="2" t="s">
        <v>491</v>
      </c>
      <c r="B213" s="2" t="s">
        <v>480</v>
      </c>
      <c r="C213" s="3" t="s">
        <v>37</v>
      </c>
      <c r="D213" s="3" t="s">
        <v>115</v>
      </c>
      <c r="E213" s="4">
        <v>45823.336805555555</v>
      </c>
      <c r="F213" s="4">
        <v>45823.315972222219</v>
      </c>
      <c r="G213" s="4">
        <v>45823.396527777775</v>
      </c>
      <c r="I213" s="3" t="s">
        <v>73</v>
      </c>
      <c r="J213" s="3" t="s">
        <v>2639</v>
      </c>
      <c r="K213" s="5">
        <v>53</v>
      </c>
      <c r="L213" s="5">
        <v>33</v>
      </c>
      <c r="M213" s="3" t="s">
        <v>41</v>
      </c>
      <c r="N213" t="s">
        <v>24</v>
      </c>
      <c r="O213" s="5">
        <v>1</v>
      </c>
      <c r="Q213" s="2">
        <v>232.54</v>
      </c>
      <c r="R213" s="3" t="s">
        <v>58</v>
      </c>
      <c r="S213">
        <f>COUNTIF(A:A,A213)</f>
        <v>1</v>
      </c>
      <c r="T213" t="str">
        <f>IF(OR(H213="",LOWER(TRIM(H213&amp;""))="missing",LOWER(TRIM(H213&amp;""))=""),"Missing/",IFERROR(IF(OR(VALUE(H213)&lt;0,VALUE(H213)&gt;110),"Invalid","Valid"),"Check Format"))</f>
        <v>Missing/</v>
      </c>
      <c r="U213" t="str">
        <f>IF(Raw_Data[[#This Row],[Age_Check]]="Valid",H213,"")</f>
        <v/>
      </c>
      <c r="V213" t="str">
        <f>IF(OR(K213="",UPPER(TRIM(K213&amp;""))="",LOWER(TRIM(K213&amp;""))="",LOWER(TRIM(K213&amp;""))="",LOWER(TRIM(K213&amp;""))="missing"),"Missing/",IFERROR(IF(VALUE(K213)&lt;0,"Invalid","Valid"),"Check Format"))</f>
        <v>Valid</v>
      </c>
      <c r="W213" t="str">
        <f>IF(OR(E213="",F213=""),"Missing Date/Time",IFERROR(IF(F213&gt;E213,"Arrival After Appointment","OK"),"Check Format"))</f>
        <v>OK</v>
      </c>
      <c r="X213" t="str">
        <f>IF(OR(F213="",G213=""),"Missing Date/Time",IFERROR(IF(G213&lt;F213,"Discharge Before Arrival","OK"),"Check Format"))</f>
        <v>OK</v>
      </c>
    </row>
    <row r="214" spans="1:24" x14ac:dyDescent="0.25">
      <c r="A214" s="2" t="s">
        <v>492</v>
      </c>
      <c r="B214" s="2" t="s">
        <v>105</v>
      </c>
      <c r="C214" s="3" t="s">
        <v>94</v>
      </c>
      <c r="D214" s="3" t="s">
        <v>115</v>
      </c>
      <c r="E214" s="4">
        <v>45817.600694444445</v>
      </c>
      <c r="F214" s="4">
        <v>45906.59375</v>
      </c>
      <c r="G214" s="4">
        <v>45906.64166666667</v>
      </c>
      <c r="H214" s="5">
        <v>69</v>
      </c>
      <c r="I214" s="3" t="s">
        <v>95</v>
      </c>
      <c r="J214" s="3" t="s">
        <v>150</v>
      </c>
      <c r="K214" s="5">
        <v>0</v>
      </c>
      <c r="L214" s="5">
        <v>59</v>
      </c>
      <c r="M214" s="3" t="s">
        <v>63</v>
      </c>
      <c r="N214" t="s">
        <v>91</v>
      </c>
      <c r="O214" s="5">
        <v>0</v>
      </c>
      <c r="P214" s="3" t="s">
        <v>25</v>
      </c>
      <c r="Q214" s="2">
        <v>132.36000000000001</v>
      </c>
      <c r="R214" s="3" t="s">
        <v>75</v>
      </c>
      <c r="S214">
        <f>COUNTIF(A:A,A214)</f>
        <v>1</v>
      </c>
      <c r="T214" t="str">
        <f>IF(OR(H214="",LOWER(TRIM(H214&amp;""))="missing",LOWER(TRIM(H214&amp;""))=""),"Missing/",IFERROR(IF(OR(VALUE(H214)&lt;0,VALUE(H214)&gt;110),"Invalid","Valid"),"Check Format"))</f>
        <v>Valid</v>
      </c>
      <c r="U214">
        <f>IF(Raw_Data[[#This Row],[Age_Check]]="Valid",H214,"")</f>
        <v>69</v>
      </c>
      <c r="V214" t="str">
        <f>IF(OR(K214="",UPPER(TRIM(K214&amp;""))="",LOWER(TRIM(K214&amp;""))="",LOWER(TRIM(K214&amp;""))="",LOWER(TRIM(K214&amp;""))="missing"),"Missing/",IFERROR(IF(VALUE(K214)&lt;0,"Invalid","Valid"),"Check Format"))</f>
        <v>Valid</v>
      </c>
      <c r="W214" t="str">
        <f>IF(OR(E214="",F214=""),"Missing Date/Time",IFERROR(IF(F214&gt;E214,"Arrival After Appointment","OK"),"Check Format"))</f>
        <v>Arrival After Appointment</v>
      </c>
      <c r="X214" t="str">
        <f>IF(OR(F214="",G214=""),"Missing Date/Time",IFERROR(IF(G214&lt;F214,"Discharge Before Arrival","OK"),"Check Format"))</f>
        <v>OK</v>
      </c>
    </row>
    <row r="215" spans="1:24" x14ac:dyDescent="0.25">
      <c r="A215" s="2" t="s">
        <v>493</v>
      </c>
      <c r="B215" s="2" t="s">
        <v>301</v>
      </c>
      <c r="C215" s="3" t="s">
        <v>46</v>
      </c>
      <c r="D215" s="3" t="s">
        <v>20</v>
      </c>
      <c r="E215" s="4">
        <v>45423.305555555555</v>
      </c>
      <c r="F215" s="4">
        <v>45601.294444444444</v>
      </c>
      <c r="G215" s="4">
        <v>45601.344444444447</v>
      </c>
      <c r="H215" s="5">
        <v>73</v>
      </c>
      <c r="I215" s="3" t="s">
        <v>95</v>
      </c>
      <c r="J215" s="3" t="s">
        <v>2639</v>
      </c>
      <c r="K215" s="5">
        <v>43</v>
      </c>
      <c r="L215" s="5">
        <v>13</v>
      </c>
      <c r="M215" s="3" t="s">
        <v>32</v>
      </c>
      <c r="N215" t="s">
        <v>91</v>
      </c>
      <c r="P215" s="3" t="s">
        <v>25</v>
      </c>
      <c r="Q215" s="2">
        <v>12.61</v>
      </c>
      <c r="R215" s="3" t="s">
        <v>43</v>
      </c>
      <c r="S215">
        <f>COUNTIF(A:A,A215)</f>
        <v>1</v>
      </c>
      <c r="T215" t="str">
        <f>IF(OR(H215="",LOWER(TRIM(H215&amp;""))="missing",LOWER(TRIM(H215&amp;""))=""),"Missing/",IFERROR(IF(OR(VALUE(H215)&lt;0,VALUE(H215)&gt;110),"Invalid","Valid"),"Check Format"))</f>
        <v>Valid</v>
      </c>
      <c r="U215">
        <f>IF(Raw_Data[[#This Row],[Age_Check]]="Valid",H215,"")</f>
        <v>73</v>
      </c>
      <c r="V215" t="str">
        <f>IF(OR(K215="",UPPER(TRIM(K215&amp;""))="",LOWER(TRIM(K215&amp;""))="",LOWER(TRIM(K215&amp;""))="",LOWER(TRIM(K215&amp;""))="missing"),"Missing/",IFERROR(IF(VALUE(K215)&lt;0,"Invalid","Valid"),"Check Format"))</f>
        <v>Valid</v>
      </c>
      <c r="W215" t="str">
        <f>IF(OR(E215="",F215=""),"Missing Date/Time",IFERROR(IF(F215&gt;E215,"Arrival After Appointment","OK"),"Check Format"))</f>
        <v>Arrival After Appointment</v>
      </c>
      <c r="X215" t="str">
        <f>IF(OR(F215="",G215=""),"Missing Date/Time",IFERROR(IF(G215&lt;F215,"Discharge Before Arrival","OK"),"Check Format"))</f>
        <v>OK</v>
      </c>
    </row>
    <row r="216" spans="1:24" x14ac:dyDescent="0.25">
      <c r="A216" s="2" t="s">
        <v>494</v>
      </c>
      <c r="B216" s="2" t="s">
        <v>495</v>
      </c>
      <c r="D216" s="3" t="s">
        <v>99</v>
      </c>
      <c r="E216" s="4" t="s">
        <v>496</v>
      </c>
      <c r="F216" s="4">
        <v>45701.661805555559</v>
      </c>
      <c r="G216" s="4">
        <v>45701.759722222225</v>
      </c>
      <c r="I216" s="3" t="s">
        <v>90</v>
      </c>
      <c r="J216" s="3" t="s">
        <v>62</v>
      </c>
      <c r="K216" s="5">
        <v>86</v>
      </c>
      <c r="L216" s="5">
        <v>33</v>
      </c>
      <c r="M216" s="3" t="s">
        <v>87</v>
      </c>
      <c r="O216" s="5">
        <v>4</v>
      </c>
      <c r="Q216" s="2">
        <v>41.8</v>
      </c>
      <c r="R216" s="3" t="s">
        <v>58</v>
      </c>
      <c r="S216">
        <f>COUNTIF(A:A,A216)</f>
        <v>1</v>
      </c>
      <c r="T216" t="str">
        <f>IF(OR(H216="",LOWER(TRIM(H216&amp;""))="missing",LOWER(TRIM(H216&amp;""))=""),"Missing/",IFERROR(IF(OR(VALUE(H216)&lt;0,VALUE(H216)&gt;110),"Invalid","Valid"),"Check Format"))</f>
        <v>Missing/</v>
      </c>
      <c r="U216" t="str">
        <f>IF(Raw_Data[[#This Row],[Age_Check]]="Valid",H216,"")</f>
        <v/>
      </c>
      <c r="V216" t="str">
        <f>IF(OR(K216="",UPPER(TRIM(K216&amp;""))="",LOWER(TRIM(K216&amp;""))="",LOWER(TRIM(K216&amp;""))="",LOWER(TRIM(K216&amp;""))="missing"),"Missing/",IFERROR(IF(VALUE(K216)&lt;0,"Invalid","Valid"),"Check Format"))</f>
        <v>Valid</v>
      </c>
      <c r="W216" t="str">
        <f>IF(OR(E216="",F216=""),"Missing Date/Time",IFERROR(IF(F216&gt;E216,"Arrival After Appointment","OK"),"Check Format"))</f>
        <v>OK</v>
      </c>
      <c r="X216" t="str">
        <f>IF(OR(F216="",G216=""),"Missing Date/Time",IFERROR(IF(G216&lt;F216,"Discharge Before Arrival","OK"),"Check Format"))</f>
        <v>OK</v>
      </c>
    </row>
    <row r="217" spans="1:24" x14ac:dyDescent="0.25">
      <c r="A217" s="2" t="s">
        <v>497</v>
      </c>
      <c r="B217" s="2" t="s">
        <v>498</v>
      </c>
      <c r="C217" s="3" t="s">
        <v>46</v>
      </c>
      <c r="D217" s="3" t="s">
        <v>47</v>
      </c>
      <c r="E217" s="4">
        <v>45524.784722222219</v>
      </c>
      <c r="F217" s="4">
        <v>45524.772222222222</v>
      </c>
      <c r="G217" s="4">
        <v>45524.810416666667</v>
      </c>
      <c r="H217" s="5">
        <v>89</v>
      </c>
      <c r="I217" s="3" t="s">
        <v>95</v>
      </c>
      <c r="J217" s="3" t="s">
        <v>67</v>
      </c>
      <c r="K217" s="5">
        <v>12</v>
      </c>
      <c r="L217" s="5">
        <v>25</v>
      </c>
      <c r="M217" s="3" t="s">
        <v>87</v>
      </c>
      <c r="N217" t="s">
        <v>69</v>
      </c>
      <c r="O217" s="5">
        <v>6</v>
      </c>
      <c r="P217" s="3" t="s">
        <v>25</v>
      </c>
      <c r="Q217" s="2">
        <v>278.52</v>
      </c>
      <c r="R217" s="3" t="s">
        <v>58</v>
      </c>
      <c r="S217">
        <f>COUNTIF(A:A,A217)</f>
        <v>1</v>
      </c>
      <c r="T217" t="str">
        <f>IF(OR(H217="",LOWER(TRIM(H217&amp;""))="missing",LOWER(TRIM(H217&amp;""))=""),"Missing/",IFERROR(IF(OR(VALUE(H217)&lt;0,VALUE(H217)&gt;110),"Invalid","Valid"),"Check Format"))</f>
        <v>Valid</v>
      </c>
      <c r="U217">
        <f>IF(Raw_Data[[#This Row],[Age_Check]]="Valid",H217,"")</f>
        <v>89</v>
      </c>
      <c r="V217" t="str">
        <f>IF(OR(K217="",UPPER(TRIM(K217&amp;""))="",LOWER(TRIM(K217&amp;""))="",LOWER(TRIM(K217&amp;""))="",LOWER(TRIM(K217&amp;""))="missing"),"Missing/",IFERROR(IF(VALUE(K217)&lt;0,"Invalid","Valid"),"Check Format"))</f>
        <v>Valid</v>
      </c>
      <c r="W217" t="str">
        <f>IF(OR(E217="",F217=""),"Missing Date/Time",IFERROR(IF(F217&gt;E217,"Arrival After Appointment","OK"),"Check Format"))</f>
        <v>OK</v>
      </c>
      <c r="X217" t="str">
        <f>IF(OR(F217="",G217=""),"Missing Date/Time",IFERROR(IF(G217&lt;F217,"Discharge Before Arrival","OK"),"Check Format"))</f>
        <v>OK</v>
      </c>
    </row>
    <row r="218" spans="1:24" x14ac:dyDescent="0.25">
      <c r="A218" s="2" t="s">
        <v>499</v>
      </c>
      <c r="B218" s="2" t="s">
        <v>500</v>
      </c>
      <c r="C218" s="3" t="s">
        <v>94</v>
      </c>
      <c r="D218" s="3" t="s">
        <v>115</v>
      </c>
      <c r="E218" s="4">
        <v>45376.614583333336</v>
      </c>
      <c r="F218" s="4">
        <v>45376.597916666666</v>
      </c>
      <c r="G218" s="4">
        <v>45376.651388888888</v>
      </c>
      <c r="H218" s="5">
        <v>145</v>
      </c>
      <c r="I218" s="3" t="s">
        <v>73</v>
      </c>
      <c r="J218" s="3" t="s">
        <v>67</v>
      </c>
      <c r="K218" s="5">
        <v>48</v>
      </c>
      <c r="L218" s="5">
        <v>5</v>
      </c>
      <c r="M218" s="3" t="s">
        <v>32</v>
      </c>
      <c r="N218" t="s">
        <v>69</v>
      </c>
      <c r="O218" s="5">
        <v>6</v>
      </c>
      <c r="P218" s="3" t="s">
        <v>25</v>
      </c>
      <c r="Q218" s="2">
        <v>125.34</v>
      </c>
      <c r="R218" s="3" t="s">
        <v>26</v>
      </c>
      <c r="S218">
        <f>COUNTIF(A:A,A218)</f>
        <v>1</v>
      </c>
      <c r="T218" t="str">
        <f>IF(OR(H218="",LOWER(TRIM(H218&amp;""))="missing",LOWER(TRIM(H218&amp;""))=""),"Missing/",IFERROR(IF(OR(VALUE(H218)&lt;0,VALUE(H218)&gt;110),"Invalid","Valid"),"Check Format"))</f>
        <v>Invalid</v>
      </c>
      <c r="U218" t="str">
        <f>IF(Raw_Data[[#This Row],[Age_Check]]="Valid",H218,"")</f>
        <v/>
      </c>
      <c r="V218" t="str">
        <f>IF(OR(K218="",UPPER(TRIM(K218&amp;""))="",LOWER(TRIM(K218&amp;""))="",LOWER(TRIM(K218&amp;""))="",LOWER(TRIM(K218&amp;""))="missing"),"Missing/",IFERROR(IF(VALUE(K218)&lt;0,"Invalid","Valid"),"Check Format"))</f>
        <v>Valid</v>
      </c>
      <c r="W218" t="str">
        <f>IF(OR(E218="",F218=""),"Missing Date/Time",IFERROR(IF(F218&gt;E218,"Arrival After Appointment","OK"),"Check Format"))</f>
        <v>OK</v>
      </c>
      <c r="X218" t="str">
        <f>IF(OR(F218="",G218=""),"Missing Date/Time",IFERROR(IF(G218&lt;F218,"Discharge Before Arrival","OK"),"Check Format"))</f>
        <v>OK</v>
      </c>
    </row>
    <row r="219" spans="1:24" x14ac:dyDescent="0.25">
      <c r="A219" s="2" t="s">
        <v>501</v>
      </c>
      <c r="B219" s="2" t="s">
        <v>447</v>
      </c>
      <c r="C219" s="3" t="s">
        <v>29</v>
      </c>
      <c r="D219" s="3" t="s">
        <v>66</v>
      </c>
      <c r="E219" s="4">
        <v>45623.739583333336</v>
      </c>
      <c r="F219" s="4">
        <v>45623.731944444444</v>
      </c>
      <c r="G219" s="4">
        <v>45623.776388888888</v>
      </c>
      <c r="H219" s="5">
        <v>39</v>
      </c>
      <c r="I219" s="3" t="s">
        <v>39</v>
      </c>
      <c r="J219" s="3" t="s">
        <v>62</v>
      </c>
      <c r="K219" s="5">
        <v>48</v>
      </c>
      <c r="L219" s="5">
        <v>5</v>
      </c>
      <c r="M219" s="3" t="s">
        <v>32</v>
      </c>
      <c r="O219" s="5">
        <v>2</v>
      </c>
      <c r="Q219" s="2">
        <v>140.66</v>
      </c>
      <c r="R219" s="3" t="s">
        <v>75</v>
      </c>
      <c r="S219">
        <f>COUNTIF(A:A,A219)</f>
        <v>1</v>
      </c>
      <c r="T219" t="str">
        <f>IF(OR(H219="",LOWER(TRIM(H219&amp;""))="missing",LOWER(TRIM(H219&amp;""))=""),"Missing/",IFERROR(IF(OR(VALUE(H219)&lt;0,VALUE(H219)&gt;110),"Invalid","Valid"),"Check Format"))</f>
        <v>Valid</v>
      </c>
      <c r="U219">
        <f>IF(Raw_Data[[#This Row],[Age_Check]]="Valid",H219,"")</f>
        <v>39</v>
      </c>
      <c r="V219" t="str">
        <f>IF(OR(K219="",UPPER(TRIM(K219&amp;""))="",LOWER(TRIM(K219&amp;""))="",LOWER(TRIM(K219&amp;""))="",LOWER(TRIM(K219&amp;""))="missing"),"Missing/",IFERROR(IF(VALUE(K219)&lt;0,"Invalid","Valid"),"Check Format"))</f>
        <v>Valid</v>
      </c>
      <c r="W219" t="str">
        <f>IF(OR(E219="",F219=""),"Missing Date/Time",IFERROR(IF(F219&gt;E219,"Arrival After Appointment","OK"),"Check Format"))</f>
        <v>OK</v>
      </c>
      <c r="X219" t="str">
        <f>IF(OR(F219="",G219=""),"Missing Date/Time",IFERROR(IF(G219&lt;F219,"Discharge Before Arrival","OK"),"Check Format"))</f>
        <v>OK</v>
      </c>
    </row>
    <row r="220" spans="1:24" x14ac:dyDescent="0.25">
      <c r="A220" s="2" t="s">
        <v>502</v>
      </c>
      <c r="B220" s="2" t="s">
        <v>251</v>
      </c>
      <c r="C220" s="3" t="s">
        <v>19</v>
      </c>
      <c r="D220" s="3" t="s">
        <v>106</v>
      </c>
      <c r="E220" s="4" t="s">
        <v>503</v>
      </c>
      <c r="F220" s="4">
        <v>45347.4375</v>
      </c>
      <c r="H220" s="5">
        <v>145</v>
      </c>
      <c r="I220" s="3" t="s">
        <v>73</v>
      </c>
      <c r="J220" s="3" t="s">
        <v>171</v>
      </c>
      <c r="K220" s="5">
        <v>49</v>
      </c>
      <c r="L220" s="5">
        <v>44</v>
      </c>
      <c r="M220" s="3" t="s">
        <v>50</v>
      </c>
      <c r="O220" s="5">
        <v>6</v>
      </c>
      <c r="P220" s="3" t="s">
        <v>80</v>
      </c>
      <c r="Q220" s="2">
        <v>292.92</v>
      </c>
      <c r="R220" s="3" t="s">
        <v>43</v>
      </c>
      <c r="S220">
        <f>COUNTIF(A:A,A220)</f>
        <v>1</v>
      </c>
      <c r="T220" t="str">
        <f>IF(OR(H220="",LOWER(TRIM(H220&amp;""))="missing",LOWER(TRIM(H220&amp;""))=""),"Missing/",IFERROR(IF(OR(VALUE(H220)&lt;0,VALUE(H220)&gt;110),"Invalid","Valid"),"Check Format"))</f>
        <v>Invalid</v>
      </c>
      <c r="U220" t="str">
        <f>IF(Raw_Data[[#This Row],[Age_Check]]="Valid",H220,"")</f>
        <v/>
      </c>
      <c r="V220" t="str">
        <f>IF(OR(K220="",UPPER(TRIM(K220&amp;""))="",LOWER(TRIM(K220&amp;""))="",LOWER(TRIM(K220&amp;""))="",LOWER(TRIM(K220&amp;""))="missing"),"Missing/",IFERROR(IF(VALUE(K220)&lt;0,"Invalid","Valid"),"Check Format"))</f>
        <v>Valid</v>
      </c>
      <c r="W220" t="str">
        <f>IF(OR(E220="",F220=""),"Missing Date/Time",IFERROR(IF(F220&gt;E220,"Arrival After Appointment","OK"),"Check Format"))</f>
        <v>OK</v>
      </c>
      <c r="X220" t="str">
        <f>IF(OR(F220="",G220=""),"Missing Date/Time",IFERROR(IF(G220&lt;F220,"Discharge Before Arrival","OK"),"Check Format"))</f>
        <v>Missing Date/Time</v>
      </c>
    </row>
    <row r="221" spans="1:24" x14ac:dyDescent="0.25">
      <c r="A221" s="2" t="s">
        <v>504</v>
      </c>
      <c r="B221" s="2" t="s">
        <v>355</v>
      </c>
      <c r="C221" s="3" t="s">
        <v>46</v>
      </c>
      <c r="D221" s="3" t="s">
        <v>55</v>
      </c>
      <c r="E221" s="4">
        <v>45971.625</v>
      </c>
      <c r="G221" s="4">
        <v>45971.711111111108</v>
      </c>
      <c r="I221" s="3" t="s">
        <v>90</v>
      </c>
      <c r="J221" s="3" t="s">
        <v>22</v>
      </c>
      <c r="K221" s="5">
        <v>97</v>
      </c>
      <c r="L221" s="5">
        <v>27</v>
      </c>
      <c r="M221" s="3" t="s">
        <v>41</v>
      </c>
      <c r="N221" t="s">
        <v>100</v>
      </c>
      <c r="P221" s="3" t="s">
        <v>80</v>
      </c>
      <c r="Q221" s="2">
        <v>56.48</v>
      </c>
      <c r="R221" s="3" t="s">
        <v>58</v>
      </c>
      <c r="S221">
        <f>COUNTIF(A:A,A221)</f>
        <v>1</v>
      </c>
      <c r="T221" t="str">
        <f>IF(OR(H221="",LOWER(TRIM(H221&amp;""))="missing",LOWER(TRIM(H221&amp;""))=""),"Missing/",IFERROR(IF(OR(VALUE(H221)&lt;0,VALUE(H221)&gt;110),"Invalid","Valid"),"Check Format"))</f>
        <v>Missing/</v>
      </c>
      <c r="U221" t="str">
        <f>IF(Raw_Data[[#This Row],[Age_Check]]="Valid",H221,"")</f>
        <v/>
      </c>
      <c r="V221" t="str">
        <f>IF(OR(K221="",UPPER(TRIM(K221&amp;""))="",LOWER(TRIM(K221&amp;""))="",LOWER(TRIM(K221&amp;""))="",LOWER(TRIM(K221&amp;""))="missing"),"Missing/",IFERROR(IF(VALUE(K221)&lt;0,"Invalid","Valid"),"Check Format"))</f>
        <v>Valid</v>
      </c>
      <c r="W221" t="str">
        <f>IF(OR(E221="",F221=""),"Missing Date/Time",IFERROR(IF(F221&gt;E221,"Arrival After Appointment","OK"),"Check Format"))</f>
        <v>Missing Date/Time</v>
      </c>
      <c r="X221" t="str">
        <f>IF(OR(F221="",G221=""),"Missing Date/Time",IFERROR(IF(G221&lt;F221,"Discharge Before Arrival","OK"),"Check Format"))</f>
        <v>Missing Date/Time</v>
      </c>
    </row>
    <row r="222" spans="1:24" x14ac:dyDescent="0.25">
      <c r="A222" s="2" t="s">
        <v>505</v>
      </c>
      <c r="B222" s="2" t="s">
        <v>506</v>
      </c>
      <c r="C222" s="3" t="s">
        <v>46</v>
      </c>
      <c r="D222" s="3" t="s">
        <v>55</v>
      </c>
      <c r="E222" s="4">
        <v>45788.694444444445</v>
      </c>
      <c r="G222" s="4">
        <v>45788.820138888892</v>
      </c>
      <c r="I222" s="3" t="s">
        <v>95</v>
      </c>
      <c r="J222" s="3" t="s">
        <v>62</v>
      </c>
      <c r="K222" s="5">
        <v>148</v>
      </c>
      <c r="L222" s="5">
        <v>33</v>
      </c>
      <c r="M222" s="3" t="s">
        <v>68</v>
      </c>
      <c r="N222" t="s">
        <v>74</v>
      </c>
      <c r="P222" s="3" t="s">
        <v>42</v>
      </c>
      <c r="Q222" s="2">
        <v>146.11000000000001</v>
      </c>
      <c r="R222" s="3" t="s">
        <v>26</v>
      </c>
      <c r="S222">
        <f>COUNTIF(A:A,A222)</f>
        <v>1</v>
      </c>
      <c r="T222" t="str">
        <f>IF(OR(H222="",LOWER(TRIM(H222&amp;""))="missing",LOWER(TRIM(H222&amp;""))=""),"Missing/",IFERROR(IF(OR(VALUE(H222)&lt;0,VALUE(H222)&gt;110),"Invalid","Valid"),"Check Format"))</f>
        <v>Missing/</v>
      </c>
      <c r="U222" t="str">
        <f>IF(Raw_Data[[#This Row],[Age_Check]]="Valid",H222,"")</f>
        <v/>
      </c>
      <c r="V222" t="str">
        <f>IF(OR(K222="",UPPER(TRIM(K222&amp;""))="",LOWER(TRIM(K222&amp;""))="",LOWER(TRIM(K222&amp;""))="",LOWER(TRIM(K222&amp;""))="missing"),"Missing/",IFERROR(IF(VALUE(K222)&lt;0,"Invalid","Valid"),"Check Format"))</f>
        <v>Valid</v>
      </c>
      <c r="W222" t="str">
        <f>IF(OR(E222="",F222=""),"Missing Date/Time",IFERROR(IF(F222&gt;E222,"Arrival After Appointment","OK"),"Check Format"))</f>
        <v>Missing Date/Time</v>
      </c>
      <c r="X222" t="str">
        <f>IF(OR(F222="",G222=""),"Missing Date/Time",IFERROR(IF(G222&lt;F222,"Discharge Before Arrival","OK"),"Check Format"))</f>
        <v>Missing Date/Time</v>
      </c>
    </row>
    <row r="223" spans="1:24" x14ac:dyDescent="0.25">
      <c r="A223" s="2" t="s">
        <v>507</v>
      </c>
      <c r="B223" s="2" t="s">
        <v>508</v>
      </c>
      <c r="C223" s="3" t="s">
        <v>94</v>
      </c>
      <c r="D223" s="3" t="s">
        <v>20</v>
      </c>
      <c r="E223" s="4">
        <v>45688.319444444445</v>
      </c>
      <c r="F223" s="4">
        <v>45688.311111111114</v>
      </c>
      <c r="G223" s="4">
        <v>45688.383333333331</v>
      </c>
      <c r="I223" s="3" t="s">
        <v>73</v>
      </c>
      <c r="J223" s="3" t="s">
        <v>22</v>
      </c>
      <c r="K223" s="5">
        <v>57</v>
      </c>
      <c r="L223" s="5">
        <v>35</v>
      </c>
      <c r="N223" t="s">
        <v>24</v>
      </c>
      <c r="O223" s="5">
        <v>0</v>
      </c>
      <c r="P223" s="3" t="s">
        <v>25</v>
      </c>
      <c r="Q223" s="2">
        <v>133.44999999999999</v>
      </c>
      <c r="R223" s="3" t="s">
        <v>75</v>
      </c>
      <c r="S223">
        <f>COUNTIF(A:A,A223)</f>
        <v>1</v>
      </c>
      <c r="T223" t="str">
        <f>IF(OR(H223="",LOWER(TRIM(H223&amp;""))="missing",LOWER(TRIM(H223&amp;""))=""),"Missing/",IFERROR(IF(OR(VALUE(H223)&lt;0,VALUE(H223)&gt;110),"Invalid","Valid"),"Check Format"))</f>
        <v>Missing/</v>
      </c>
      <c r="U223" t="str">
        <f>IF(Raw_Data[[#This Row],[Age_Check]]="Valid",H223,"")</f>
        <v/>
      </c>
      <c r="V223" t="str">
        <f>IF(OR(K223="",UPPER(TRIM(K223&amp;""))="",LOWER(TRIM(K223&amp;""))="",LOWER(TRIM(K223&amp;""))="",LOWER(TRIM(K223&amp;""))="missing"),"Missing/",IFERROR(IF(VALUE(K223)&lt;0,"Invalid","Valid"),"Check Format"))</f>
        <v>Valid</v>
      </c>
      <c r="W223" t="str">
        <f>IF(OR(E223="",F223=""),"Missing Date/Time",IFERROR(IF(F223&gt;E223,"Arrival After Appointment","OK"),"Check Format"))</f>
        <v>OK</v>
      </c>
      <c r="X223" t="str">
        <f>IF(OR(F223="",G223=""),"Missing Date/Time",IFERROR(IF(G223&lt;F223,"Discharge Before Arrival","OK"),"Check Format"))</f>
        <v>OK</v>
      </c>
    </row>
    <row r="224" spans="1:24" x14ac:dyDescent="0.25">
      <c r="A224" s="2" t="s">
        <v>509</v>
      </c>
      <c r="B224" s="2" t="s">
        <v>510</v>
      </c>
      <c r="C224" s="3" t="s">
        <v>94</v>
      </c>
      <c r="D224" s="3" t="s">
        <v>106</v>
      </c>
      <c r="E224" s="4">
        <v>45886.659722222219</v>
      </c>
      <c r="F224" s="4">
        <v>45886.63958333333</v>
      </c>
      <c r="G224" s="4">
        <v>45886.700694444444</v>
      </c>
      <c r="H224" s="5">
        <v>145</v>
      </c>
      <c r="I224" s="3" t="s">
        <v>95</v>
      </c>
      <c r="J224" s="3" t="s">
        <v>2639</v>
      </c>
      <c r="K224" s="5">
        <v>37</v>
      </c>
      <c r="L224" s="5">
        <v>22</v>
      </c>
      <c r="M224" s="3" t="s">
        <v>41</v>
      </c>
      <c r="N224" t="s">
        <v>100</v>
      </c>
      <c r="P224" s="3" t="s">
        <v>25</v>
      </c>
      <c r="Q224" s="2">
        <v>142.38</v>
      </c>
      <c r="R224" s="3" t="s">
        <v>43</v>
      </c>
      <c r="S224">
        <f>COUNTIF(A:A,A224)</f>
        <v>1</v>
      </c>
      <c r="T224" t="str">
        <f>IF(OR(H224="",LOWER(TRIM(H224&amp;""))="missing",LOWER(TRIM(H224&amp;""))=""),"Missing/",IFERROR(IF(OR(VALUE(H224)&lt;0,VALUE(H224)&gt;110),"Invalid","Valid"),"Check Format"))</f>
        <v>Invalid</v>
      </c>
      <c r="U224" t="str">
        <f>IF(Raw_Data[[#This Row],[Age_Check]]="Valid",H224,"")</f>
        <v/>
      </c>
      <c r="V224" t="str">
        <f>IF(OR(K224="",UPPER(TRIM(K224&amp;""))="",LOWER(TRIM(K224&amp;""))="",LOWER(TRIM(K224&amp;""))="",LOWER(TRIM(K224&amp;""))="missing"),"Missing/",IFERROR(IF(VALUE(K224)&lt;0,"Invalid","Valid"),"Check Format"))</f>
        <v>Valid</v>
      </c>
      <c r="W224" t="str">
        <f>IF(OR(E224="",F224=""),"Missing Date/Time",IFERROR(IF(F224&gt;E224,"Arrival After Appointment","OK"),"Check Format"))</f>
        <v>OK</v>
      </c>
      <c r="X224" t="str">
        <f>IF(OR(F224="",G224=""),"Missing Date/Time",IFERROR(IF(G224&lt;F224,"Discharge Before Arrival","OK"),"Check Format"))</f>
        <v>OK</v>
      </c>
    </row>
    <row r="225" spans="1:24" x14ac:dyDescent="0.25">
      <c r="A225" s="2" t="s">
        <v>511</v>
      </c>
      <c r="B225" s="2" t="s">
        <v>512</v>
      </c>
      <c r="C225" s="3" t="s">
        <v>37</v>
      </c>
      <c r="D225" s="3" t="s">
        <v>99</v>
      </c>
      <c r="E225" s="4" t="s">
        <v>513</v>
      </c>
      <c r="F225" s="4">
        <v>45715.552083333336</v>
      </c>
      <c r="J225" s="3" t="s">
        <v>62</v>
      </c>
      <c r="K225" s="5">
        <v>38</v>
      </c>
      <c r="L225" s="5">
        <v>19</v>
      </c>
      <c r="M225" s="3" t="s">
        <v>50</v>
      </c>
      <c r="P225" s="3" t="s">
        <v>25</v>
      </c>
      <c r="Q225" s="2">
        <v>153.51</v>
      </c>
      <c r="R225" s="3" t="s">
        <v>58</v>
      </c>
      <c r="S225">
        <f>COUNTIF(A:A,A225)</f>
        <v>1</v>
      </c>
      <c r="T225" t="str">
        <f>IF(OR(H225="",LOWER(TRIM(H225&amp;""))="missing",LOWER(TRIM(H225&amp;""))=""),"Missing/",IFERROR(IF(OR(VALUE(H225)&lt;0,VALUE(H225)&gt;110),"Invalid","Valid"),"Check Format"))</f>
        <v>Missing/</v>
      </c>
      <c r="U225" t="str">
        <f>IF(Raw_Data[[#This Row],[Age_Check]]="Valid",H225,"")</f>
        <v/>
      </c>
      <c r="V225" t="str">
        <f>IF(OR(K225="",UPPER(TRIM(K225&amp;""))="",LOWER(TRIM(K225&amp;""))="",LOWER(TRIM(K225&amp;""))="",LOWER(TRIM(K225&amp;""))="missing"),"Missing/",IFERROR(IF(VALUE(K225)&lt;0,"Invalid","Valid"),"Check Format"))</f>
        <v>Valid</v>
      </c>
      <c r="W225" t="str">
        <f>IF(OR(E225="",F225=""),"Missing Date/Time",IFERROR(IF(F225&gt;E225,"Arrival After Appointment","OK"),"Check Format"))</f>
        <v>OK</v>
      </c>
      <c r="X225" t="str">
        <f>IF(OR(F225="",G225=""),"Missing Date/Time",IFERROR(IF(G225&lt;F225,"Discharge Before Arrival","OK"),"Check Format"))</f>
        <v>Missing Date/Time</v>
      </c>
    </row>
    <row r="226" spans="1:24" x14ac:dyDescent="0.25">
      <c r="A226" s="2" t="s">
        <v>514</v>
      </c>
      <c r="B226" s="2" t="s">
        <v>515</v>
      </c>
      <c r="C226" s="3" t="s">
        <v>37</v>
      </c>
      <c r="D226" s="3" t="s">
        <v>174</v>
      </c>
      <c r="E226" s="4">
        <v>45957.506944444445</v>
      </c>
      <c r="F226" s="4">
        <v>45957.497916666667</v>
      </c>
      <c r="G226" s="4">
        <v>45957.581944444442</v>
      </c>
      <c r="I226" s="3" t="s">
        <v>73</v>
      </c>
      <c r="J226" s="3" t="s">
        <v>67</v>
      </c>
      <c r="K226" s="5">
        <v>49</v>
      </c>
      <c r="L226" s="5">
        <v>59</v>
      </c>
      <c r="M226" s="3" t="s">
        <v>50</v>
      </c>
      <c r="N226" t="s">
        <v>24</v>
      </c>
      <c r="O226" s="5">
        <v>0</v>
      </c>
      <c r="Q226" s="2">
        <v>0</v>
      </c>
      <c r="R226" s="3" t="s">
        <v>75</v>
      </c>
      <c r="S226">
        <f>COUNTIF(A:A,A226)</f>
        <v>1</v>
      </c>
      <c r="T226" t="str">
        <f>IF(OR(H226="",LOWER(TRIM(H226&amp;""))="missing",LOWER(TRIM(H226&amp;""))=""),"Missing/",IFERROR(IF(OR(VALUE(H226)&lt;0,VALUE(H226)&gt;110),"Invalid","Valid"),"Check Format"))</f>
        <v>Missing/</v>
      </c>
      <c r="U226" t="str">
        <f>IF(Raw_Data[[#This Row],[Age_Check]]="Valid",H226,"")</f>
        <v/>
      </c>
      <c r="V226" t="str">
        <f>IF(OR(K226="",UPPER(TRIM(K226&amp;""))="",LOWER(TRIM(K226&amp;""))="",LOWER(TRIM(K226&amp;""))="",LOWER(TRIM(K226&amp;""))="missing"),"Missing/",IFERROR(IF(VALUE(K226)&lt;0,"Invalid","Valid"),"Check Format"))</f>
        <v>Valid</v>
      </c>
      <c r="W226" t="str">
        <f>IF(OR(E226="",F226=""),"Missing Date/Time",IFERROR(IF(F226&gt;E226,"Arrival After Appointment","OK"),"Check Format"))</f>
        <v>OK</v>
      </c>
      <c r="X226" t="str">
        <f>IF(OR(F226="",G226=""),"Missing Date/Time",IFERROR(IF(G226&lt;F226,"Discharge Before Arrival","OK"),"Check Format"))</f>
        <v>OK</v>
      </c>
    </row>
    <row r="227" spans="1:24" x14ac:dyDescent="0.25">
      <c r="A227" s="2" t="s">
        <v>516</v>
      </c>
      <c r="B227" s="2" t="s">
        <v>517</v>
      </c>
      <c r="C227" s="3" t="s">
        <v>46</v>
      </c>
      <c r="D227" s="3" t="s">
        <v>99</v>
      </c>
      <c r="E227" s="4">
        <v>45628.704861111109</v>
      </c>
      <c r="F227" s="4">
        <v>45334.695138888892</v>
      </c>
      <c r="G227" s="4">
        <v>45334.809027777781</v>
      </c>
      <c r="H227" s="5">
        <v>145</v>
      </c>
      <c r="J227" s="3" t="s">
        <v>67</v>
      </c>
      <c r="K227" s="5">
        <v>96</v>
      </c>
      <c r="L227" s="5">
        <v>54</v>
      </c>
      <c r="N227" t="s">
        <v>74</v>
      </c>
      <c r="O227" s="5">
        <v>6</v>
      </c>
      <c r="Q227" s="2">
        <v>0</v>
      </c>
      <c r="R227" s="3" t="s">
        <v>58</v>
      </c>
      <c r="S227">
        <f>COUNTIF(A:A,A227)</f>
        <v>1</v>
      </c>
      <c r="T227" t="str">
        <f>IF(OR(H227="",LOWER(TRIM(H227&amp;""))="missing",LOWER(TRIM(H227&amp;""))=""),"Missing/",IFERROR(IF(OR(VALUE(H227)&lt;0,VALUE(H227)&gt;110),"Invalid","Valid"),"Check Format"))</f>
        <v>Invalid</v>
      </c>
      <c r="U227" t="str">
        <f>IF(Raw_Data[[#This Row],[Age_Check]]="Valid",H227,"")</f>
        <v/>
      </c>
      <c r="V227" t="str">
        <f>IF(OR(K227="",UPPER(TRIM(K227&amp;""))="",LOWER(TRIM(K227&amp;""))="",LOWER(TRIM(K227&amp;""))="",LOWER(TRIM(K227&amp;""))="missing"),"Missing/",IFERROR(IF(VALUE(K227)&lt;0,"Invalid","Valid"),"Check Format"))</f>
        <v>Valid</v>
      </c>
      <c r="W227" t="str">
        <f>IF(OR(E227="",F227=""),"Missing Date/Time",IFERROR(IF(F227&gt;E227,"Arrival After Appointment","OK"),"Check Format"))</f>
        <v>OK</v>
      </c>
      <c r="X227" t="str">
        <f>IF(OR(F227="",G227=""),"Missing Date/Time",IFERROR(IF(G227&lt;F227,"Discharge Before Arrival","OK"),"Check Format"))</f>
        <v>OK</v>
      </c>
    </row>
    <row r="228" spans="1:24" x14ac:dyDescent="0.25">
      <c r="A228" s="2" t="s">
        <v>518</v>
      </c>
      <c r="B228" s="2" t="s">
        <v>71</v>
      </c>
      <c r="C228" s="3" t="s">
        <v>94</v>
      </c>
      <c r="D228" s="3" t="s">
        <v>61</v>
      </c>
      <c r="E228" s="4">
        <v>45584.590277777781</v>
      </c>
      <c r="F228" s="4">
        <v>45584.576388888891</v>
      </c>
      <c r="G228" s="4">
        <v>45584.63958333333</v>
      </c>
      <c r="H228" s="5">
        <v>92</v>
      </c>
      <c r="I228" s="3" t="s">
        <v>95</v>
      </c>
      <c r="J228" s="3" t="s">
        <v>67</v>
      </c>
      <c r="K228" s="5">
        <v>46</v>
      </c>
      <c r="L228" s="5">
        <v>25</v>
      </c>
      <c r="M228" s="3" t="s">
        <v>68</v>
      </c>
      <c r="N228" t="s">
        <v>69</v>
      </c>
      <c r="O228" s="5">
        <v>0</v>
      </c>
      <c r="P228" s="3" t="s">
        <v>25</v>
      </c>
      <c r="Q228" s="2">
        <v>32.4</v>
      </c>
      <c r="R228" s="3" t="s">
        <v>26</v>
      </c>
      <c r="S228">
        <f>COUNTIF(A:A,A228)</f>
        <v>1</v>
      </c>
      <c r="T228" t="str">
        <f>IF(OR(H228="",LOWER(TRIM(H228&amp;""))="missing",LOWER(TRIM(H228&amp;""))=""),"Missing/",IFERROR(IF(OR(VALUE(H228)&lt;0,VALUE(H228)&gt;110),"Invalid","Valid"),"Check Format"))</f>
        <v>Valid</v>
      </c>
      <c r="U228">
        <f>IF(Raw_Data[[#This Row],[Age_Check]]="Valid",H228,"")</f>
        <v>92</v>
      </c>
      <c r="V228" t="str">
        <f>IF(OR(K228="",UPPER(TRIM(K228&amp;""))="",LOWER(TRIM(K228&amp;""))="",LOWER(TRIM(K228&amp;""))="",LOWER(TRIM(K228&amp;""))="missing"),"Missing/",IFERROR(IF(VALUE(K228)&lt;0,"Invalid","Valid"),"Check Format"))</f>
        <v>Valid</v>
      </c>
      <c r="W228" t="str">
        <f>IF(OR(E228="",F228=""),"Missing Date/Time",IFERROR(IF(F228&gt;E228,"Arrival After Appointment","OK"),"Check Format"))</f>
        <v>OK</v>
      </c>
      <c r="X228" t="str">
        <f>IF(OR(F228="",G228=""),"Missing Date/Time",IFERROR(IF(G228&lt;F228,"Discharge Before Arrival","OK"),"Check Format"))</f>
        <v>OK</v>
      </c>
    </row>
    <row r="229" spans="1:24" x14ac:dyDescent="0.25">
      <c r="A229" s="2" t="s">
        <v>519</v>
      </c>
      <c r="B229" s="2" t="s">
        <v>520</v>
      </c>
      <c r="D229" s="3" t="s">
        <v>99</v>
      </c>
      <c r="E229" s="4">
        <v>45384.475694444445</v>
      </c>
      <c r="F229" s="4">
        <v>45384.474305555559</v>
      </c>
      <c r="G229" s="4">
        <v>45384.504861111112</v>
      </c>
      <c r="H229" s="5">
        <v>145</v>
      </c>
      <c r="J229" s="3" t="s">
        <v>171</v>
      </c>
      <c r="K229" s="5">
        <v>30</v>
      </c>
      <c r="L229" s="5">
        <v>12</v>
      </c>
      <c r="M229" s="3" t="s">
        <v>68</v>
      </c>
      <c r="N229" t="s">
        <v>69</v>
      </c>
      <c r="O229" s="5">
        <v>5</v>
      </c>
      <c r="Q229" s="2">
        <v>285.18</v>
      </c>
      <c r="R229" s="3" t="s">
        <v>75</v>
      </c>
      <c r="S229">
        <f>COUNTIF(A:A,A229)</f>
        <v>1</v>
      </c>
      <c r="T229" t="str">
        <f>IF(OR(H229="",LOWER(TRIM(H229&amp;""))="missing",LOWER(TRIM(H229&amp;""))=""),"Missing/",IFERROR(IF(OR(VALUE(H229)&lt;0,VALUE(H229)&gt;110),"Invalid","Valid"),"Check Format"))</f>
        <v>Invalid</v>
      </c>
      <c r="U229" t="str">
        <f>IF(Raw_Data[[#This Row],[Age_Check]]="Valid",H229,"")</f>
        <v/>
      </c>
      <c r="V229" t="str">
        <f>IF(OR(K229="",UPPER(TRIM(K229&amp;""))="",LOWER(TRIM(K229&amp;""))="",LOWER(TRIM(K229&amp;""))="",LOWER(TRIM(K229&amp;""))="missing"),"Missing/",IFERROR(IF(VALUE(K229)&lt;0,"Invalid","Valid"),"Check Format"))</f>
        <v>Valid</v>
      </c>
      <c r="W229" t="str">
        <f>IF(OR(E229="",F229=""),"Missing Date/Time",IFERROR(IF(F229&gt;E229,"Arrival After Appointment","OK"),"Check Format"))</f>
        <v>OK</v>
      </c>
      <c r="X229" t="str">
        <f>IF(OR(F229="",G229=""),"Missing Date/Time",IFERROR(IF(G229&lt;F229,"Discharge Before Arrival","OK"),"Check Format"))</f>
        <v>OK</v>
      </c>
    </row>
    <row r="230" spans="1:24" x14ac:dyDescent="0.25">
      <c r="A230" s="2" t="s">
        <v>521</v>
      </c>
      <c r="B230" s="2" t="s">
        <v>269</v>
      </c>
      <c r="D230" s="3" t="s">
        <v>72</v>
      </c>
      <c r="E230" s="4" t="s">
        <v>522</v>
      </c>
      <c r="F230" s="4">
        <v>45440.409722222219</v>
      </c>
      <c r="H230" s="5">
        <v>16</v>
      </c>
      <c r="J230" s="3" t="s">
        <v>67</v>
      </c>
      <c r="K230" s="5">
        <v>90</v>
      </c>
      <c r="L230" s="5">
        <v>54</v>
      </c>
      <c r="M230" s="3" t="s">
        <v>63</v>
      </c>
      <c r="N230" t="s">
        <v>74</v>
      </c>
      <c r="O230" s="5">
        <v>0</v>
      </c>
      <c r="P230" s="3" t="s">
        <v>25</v>
      </c>
      <c r="Q230" s="2">
        <v>202.73</v>
      </c>
      <c r="R230" s="3" t="s">
        <v>26</v>
      </c>
      <c r="S230">
        <f>COUNTIF(A:A,A230)</f>
        <v>1</v>
      </c>
      <c r="T230" t="str">
        <f>IF(OR(H230="",LOWER(TRIM(H230&amp;""))="missing",LOWER(TRIM(H230&amp;""))=""),"Missing/",IFERROR(IF(OR(VALUE(H230)&lt;0,VALUE(H230)&gt;110),"Invalid","Valid"),"Check Format"))</f>
        <v>Valid</v>
      </c>
      <c r="U230">
        <f>IF(Raw_Data[[#This Row],[Age_Check]]="Valid",H230,"")</f>
        <v>16</v>
      </c>
      <c r="V230" t="str">
        <f>IF(OR(K230="",UPPER(TRIM(K230&amp;""))="",LOWER(TRIM(K230&amp;""))="",LOWER(TRIM(K230&amp;""))="",LOWER(TRIM(K230&amp;""))="missing"),"Missing/",IFERROR(IF(VALUE(K230)&lt;0,"Invalid","Valid"),"Check Format"))</f>
        <v>Valid</v>
      </c>
      <c r="W230" t="str">
        <f>IF(OR(E230="",F230=""),"Missing Date/Time",IFERROR(IF(F230&gt;E230,"Arrival After Appointment","OK"),"Check Format"))</f>
        <v>OK</v>
      </c>
      <c r="X230" t="str">
        <f>IF(OR(F230="",G230=""),"Missing Date/Time",IFERROR(IF(G230&lt;F230,"Discharge Before Arrival","OK"),"Check Format"))</f>
        <v>Missing Date/Time</v>
      </c>
    </row>
    <row r="231" spans="1:24" x14ac:dyDescent="0.25">
      <c r="A231" s="2" t="s">
        <v>523</v>
      </c>
      <c r="B231" s="2" t="s">
        <v>524</v>
      </c>
      <c r="C231" s="3" t="s">
        <v>46</v>
      </c>
      <c r="D231" s="3" t="s">
        <v>66</v>
      </c>
      <c r="E231" s="4">
        <v>45779.604166666664</v>
      </c>
      <c r="F231" s="4">
        <v>45779.592361111114</v>
      </c>
      <c r="G231" s="4">
        <v>45779.631944444445</v>
      </c>
      <c r="H231" s="5">
        <v>6</v>
      </c>
      <c r="I231" s="3" t="s">
        <v>95</v>
      </c>
      <c r="J231" s="3" t="s">
        <v>62</v>
      </c>
      <c r="K231" s="5">
        <v>18</v>
      </c>
      <c r="L231" s="5">
        <v>22</v>
      </c>
      <c r="M231" s="3" t="s">
        <v>87</v>
      </c>
      <c r="N231" t="s">
        <v>91</v>
      </c>
      <c r="O231" s="5">
        <v>1</v>
      </c>
      <c r="P231" s="3" t="s">
        <v>42</v>
      </c>
      <c r="Q231" s="2">
        <v>184.15</v>
      </c>
      <c r="R231" s="3" t="s">
        <v>26</v>
      </c>
      <c r="S231">
        <f>COUNTIF(A:A,A231)</f>
        <v>1</v>
      </c>
      <c r="T231" t="str">
        <f>IF(OR(H231="",LOWER(TRIM(H231&amp;""))="missing",LOWER(TRIM(H231&amp;""))=""),"Missing/",IFERROR(IF(OR(VALUE(H231)&lt;0,VALUE(H231)&gt;110),"Invalid","Valid"),"Check Format"))</f>
        <v>Valid</v>
      </c>
      <c r="U231">
        <f>IF(Raw_Data[[#This Row],[Age_Check]]="Valid",H231,"")</f>
        <v>6</v>
      </c>
      <c r="V231" t="str">
        <f>IF(OR(K231="",UPPER(TRIM(K231&amp;""))="",LOWER(TRIM(K231&amp;""))="",LOWER(TRIM(K231&amp;""))="",LOWER(TRIM(K231&amp;""))="missing"),"Missing/",IFERROR(IF(VALUE(K231)&lt;0,"Invalid","Valid"),"Check Format"))</f>
        <v>Valid</v>
      </c>
      <c r="W231" t="str">
        <f>IF(OR(E231="",F231=""),"Missing Date/Time",IFERROR(IF(F231&gt;E231,"Arrival After Appointment","OK"),"Check Format"))</f>
        <v>OK</v>
      </c>
      <c r="X231" t="str">
        <f>IF(OR(F231="",G231=""),"Missing Date/Time",IFERROR(IF(G231&lt;F231,"Discharge Before Arrival","OK"),"Check Format"))</f>
        <v>OK</v>
      </c>
    </row>
    <row r="232" spans="1:24" x14ac:dyDescent="0.25">
      <c r="A232" s="2" t="s">
        <v>525</v>
      </c>
      <c r="B232" s="2" t="s">
        <v>526</v>
      </c>
      <c r="C232" s="3" t="s">
        <v>29</v>
      </c>
      <c r="D232" s="3" t="s">
        <v>149</v>
      </c>
      <c r="E232" s="4">
        <v>45718.381944444445</v>
      </c>
      <c r="F232" s="4">
        <v>45718.380555555559</v>
      </c>
      <c r="G232" s="4">
        <v>45718.42291666667</v>
      </c>
      <c r="I232" s="3" t="s">
        <v>73</v>
      </c>
      <c r="J232" s="3" t="s">
        <v>22</v>
      </c>
      <c r="K232" s="5">
        <v>15</v>
      </c>
      <c r="L232" s="5">
        <v>44</v>
      </c>
      <c r="O232" s="5">
        <v>0</v>
      </c>
      <c r="P232" s="3" t="s">
        <v>80</v>
      </c>
      <c r="Q232" s="2">
        <v>125.77</v>
      </c>
      <c r="R232" s="3" t="s">
        <v>75</v>
      </c>
      <c r="S232">
        <f>COUNTIF(A:A,A232)</f>
        <v>1</v>
      </c>
      <c r="T232" t="str">
        <f>IF(OR(H232="",LOWER(TRIM(H232&amp;""))="missing",LOWER(TRIM(H232&amp;""))=""),"Missing/",IFERROR(IF(OR(VALUE(H232)&lt;0,VALUE(H232)&gt;110),"Invalid","Valid"),"Check Format"))</f>
        <v>Missing/</v>
      </c>
      <c r="U232" t="str">
        <f>IF(Raw_Data[[#This Row],[Age_Check]]="Valid",H232,"")</f>
        <v/>
      </c>
      <c r="V232" t="str">
        <f>IF(OR(K232="",UPPER(TRIM(K232&amp;""))="",LOWER(TRIM(K232&amp;""))="",LOWER(TRIM(K232&amp;""))="",LOWER(TRIM(K232&amp;""))="missing"),"Missing/",IFERROR(IF(VALUE(K232)&lt;0,"Invalid","Valid"),"Check Format"))</f>
        <v>Valid</v>
      </c>
      <c r="W232" t="str">
        <f>IF(OR(E232="",F232=""),"Missing Date/Time",IFERROR(IF(F232&gt;E232,"Arrival After Appointment","OK"),"Check Format"))</f>
        <v>OK</v>
      </c>
      <c r="X232" t="str">
        <f>IF(OR(F232="",G232=""),"Missing Date/Time",IFERROR(IF(G232&lt;F232,"Discharge Before Arrival","OK"),"Check Format"))</f>
        <v>OK</v>
      </c>
    </row>
    <row r="233" spans="1:24" x14ac:dyDescent="0.25">
      <c r="A233" s="2" t="s">
        <v>527</v>
      </c>
      <c r="B233" s="2" t="s">
        <v>485</v>
      </c>
      <c r="C233" s="3" t="s">
        <v>46</v>
      </c>
      <c r="D233" s="3" t="s">
        <v>149</v>
      </c>
      <c r="E233" s="4">
        <v>45506.666666666664</v>
      </c>
      <c r="F233" s="4">
        <v>45506.647916666669</v>
      </c>
      <c r="G233" s="4">
        <v>45506.727777777778</v>
      </c>
      <c r="H233" s="5">
        <v>145</v>
      </c>
      <c r="I233" s="3" t="s">
        <v>39</v>
      </c>
      <c r="J233" s="3" t="s">
        <v>62</v>
      </c>
      <c r="K233" s="5">
        <v>44</v>
      </c>
      <c r="L233" s="5">
        <v>44</v>
      </c>
      <c r="M233" s="3" t="s">
        <v>68</v>
      </c>
      <c r="O233" s="5">
        <v>6</v>
      </c>
      <c r="P233" s="3" t="s">
        <v>42</v>
      </c>
      <c r="Q233" s="2">
        <v>180.54</v>
      </c>
      <c r="R233" s="3" t="s">
        <v>58</v>
      </c>
      <c r="S233">
        <f>COUNTIF(A:A,A233)</f>
        <v>1</v>
      </c>
      <c r="T233" t="str">
        <f>IF(OR(H233="",LOWER(TRIM(H233&amp;""))="missing",LOWER(TRIM(H233&amp;""))=""),"Missing/",IFERROR(IF(OR(VALUE(H233)&lt;0,VALUE(H233)&gt;110),"Invalid","Valid"),"Check Format"))</f>
        <v>Invalid</v>
      </c>
      <c r="U233" t="str">
        <f>IF(Raw_Data[[#This Row],[Age_Check]]="Valid",H233,"")</f>
        <v/>
      </c>
      <c r="V233" t="str">
        <f>IF(OR(K233="",UPPER(TRIM(K233&amp;""))="",LOWER(TRIM(K233&amp;""))="",LOWER(TRIM(K233&amp;""))="",LOWER(TRIM(K233&amp;""))="missing"),"Missing/",IFERROR(IF(VALUE(K233)&lt;0,"Invalid","Valid"),"Check Format"))</f>
        <v>Valid</v>
      </c>
      <c r="W233" t="str">
        <f>IF(OR(E233="",F233=""),"Missing Date/Time",IFERROR(IF(F233&gt;E233,"Arrival After Appointment","OK"),"Check Format"))</f>
        <v>OK</v>
      </c>
      <c r="X233" t="str">
        <f>IF(OR(F233="",G233=""),"Missing Date/Time",IFERROR(IF(G233&lt;F233,"Discharge Before Arrival","OK"),"Check Format"))</f>
        <v>OK</v>
      </c>
    </row>
    <row r="234" spans="1:24" x14ac:dyDescent="0.25">
      <c r="A234" s="2" t="s">
        <v>528</v>
      </c>
      <c r="B234" s="2" t="s">
        <v>281</v>
      </c>
      <c r="C234" s="3" t="s">
        <v>19</v>
      </c>
      <c r="D234" s="3" t="s">
        <v>23</v>
      </c>
      <c r="E234" s="4">
        <v>45589.416666666664</v>
      </c>
      <c r="F234" s="4">
        <v>45589.412499999999</v>
      </c>
      <c r="G234" s="4">
        <v>45589.484027777777</v>
      </c>
      <c r="H234" s="5">
        <v>53</v>
      </c>
      <c r="I234" s="3" t="s">
        <v>39</v>
      </c>
      <c r="J234" s="3" t="s">
        <v>62</v>
      </c>
      <c r="K234" s="5">
        <v>45</v>
      </c>
      <c r="L234" s="5">
        <v>52</v>
      </c>
      <c r="M234" s="3" t="s">
        <v>41</v>
      </c>
      <c r="P234" s="3" t="s">
        <v>80</v>
      </c>
      <c r="Q234" s="2">
        <v>58.51</v>
      </c>
      <c r="R234" s="3" t="s">
        <v>75</v>
      </c>
      <c r="S234">
        <f>COUNTIF(A:A,A234)</f>
        <v>1</v>
      </c>
      <c r="T234" t="str">
        <f>IF(OR(H234="",LOWER(TRIM(H234&amp;""))="missing",LOWER(TRIM(H234&amp;""))=""),"Missing/",IFERROR(IF(OR(VALUE(H234)&lt;0,VALUE(H234)&gt;110),"Invalid","Valid"),"Check Format"))</f>
        <v>Valid</v>
      </c>
      <c r="U234">
        <f>IF(Raw_Data[[#This Row],[Age_Check]]="Valid",H234,"")</f>
        <v>53</v>
      </c>
      <c r="V234" t="str">
        <f>IF(OR(K234="",UPPER(TRIM(K234&amp;""))="",LOWER(TRIM(K234&amp;""))="",LOWER(TRIM(K234&amp;""))="",LOWER(TRIM(K234&amp;""))="missing"),"Missing/",IFERROR(IF(VALUE(K234)&lt;0,"Invalid","Valid"),"Check Format"))</f>
        <v>Valid</v>
      </c>
      <c r="W234" t="str">
        <f>IF(OR(E234="",F234=""),"Missing Date/Time",IFERROR(IF(F234&gt;E234,"Arrival After Appointment","OK"),"Check Format"))</f>
        <v>OK</v>
      </c>
      <c r="X234" t="str">
        <f>IF(OR(F234="",G234=""),"Missing Date/Time",IFERROR(IF(G234&lt;F234,"Discharge Before Arrival","OK"),"Check Format"))</f>
        <v>OK</v>
      </c>
    </row>
    <row r="235" spans="1:24" x14ac:dyDescent="0.25">
      <c r="A235" s="2" t="s">
        <v>436</v>
      </c>
      <c r="B235" s="2" t="s">
        <v>437</v>
      </c>
      <c r="C235" s="3" t="s">
        <v>94</v>
      </c>
      <c r="D235" s="3" t="s">
        <v>99</v>
      </c>
      <c r="F235" s="4">
        <v>45332.717361111114</v>
      </c>
      <c r="G235" s="4">
        <v>45332.790972222225</v>
      </c>
      <c r="H235" s="5">
        <v>145</v>
      </c>
      <c r="I235" s="3" t="s">
        <v>90</v>
      </c>
      <c r="J235" s="3" t="s">
        <v>62</v>
      </c>
      <c r="K235" s="5">
        <v>44</v>
      </c>
      <c r="L235" s="5">
        <v>50</v>
      </c>
      <c r="N235" t="s">
        <v>24</v>
      </c>
      <c r="Q235" s="2">
        <v>98.85</v>
      </c>
      <c r="R235" s="3" t="s">
        <v>58</v>
      </c>
      <c r="S235">
        <f>COUNTIF(A:A,A235)</f>
        <v>2</v>
      </c>
      <c r="T235" t="str">
        <f>IF(OR(H235="",LOWER(TRIM(H235&amp;""))="missing",LOWER(TRIM(H235&amp;""))=""),"Missing/",IFERROR(IF(OR(VALUE(H235)&lt;0,VALUE(H235)&gt;110),"Invalid","Valid"),"Check Format"))</f>
        <v>Invalid</v>
      </c>
      <c r="U235" t="str">
        <f>IF(Raw_Data[[#This Row],[Age_Check]]="Valid",H235,"")</f>
        <v/>
      </c>
      <c r="V235" t="str">
        <f>IF(OR(K235="",UPPER(TRIM(K235&amp;""))="",LOWER(TRIM(K235&amp;""))="",LOWER(TRIM(K235&amp;""))="",LOWER(TRIM(K235&amp;""))="missing"),"Missing/",IFERROR(IF(VALUE(K235)&lt;0,"Invalid","Valid"),"Check Format"))</f>
        <v>Valid</v>
      </c>
      <c r="W235" t="str">
        <f>IF(OR(E235="",F235=""),"Missing Date/Time",IFERROR(IF(F235&gt;E235,"Arrival After Appointment","OK"),"Check Format"))</f>
        <v>Missing Date/Time</v>
      </c>
      <c r="X235" t="str">
        <f>IF(OR(F235="",G235=""),"Missing Date/Time",IFERROR(IF(G235&lt;F235,"Discharge Before Arrival","OK"),"Check Format"))</f>
        <v>OK</v>
      </c>
    </row>
    <row r="236" spans="1:24" x14ac:dyDescent="0.25">
      <c r="A236" s="2" t="s">
        <v>436</v>
      </c>
      <c r="B236" s="2" t="s">
        <v>383</v>
      </c>
      <c r="C236" s="3" t="s">
        <v>94</v>
      </c>
      <c r="D236" s="3" t="s">
        <v>66</v>
      </c>
      <c r="E236" s="4" t="s">
        <v>438</v>
      </c>
      <c r="F236" s="4">
        <v>45434.57708333333</v>
      </c>
      <c r="G236" s="4">
        <v>45434.658333333333</v>
      </c>
      <c r="H236" s="5">
        <v>84</v>
      </c>
      <c r="I236" s="3" t="s">
        <v>95</v>
      </c>
      <c r="J236" s="3" t="s">
        <v>2639</v>
      </c>
      <c r="K236" s="5">
        <v>87</v>
      </c>
      <c r="L236" s="5">
        <v>11</v>
      </c>
      <c r="M236" s="3" t="s">
        <v>41</v>
      </c>
      <c r="N236" t="s">
        <v>100</v>
      </c>
      <c r="O236" s="5">
        <v>0</v>
      </c>
      <c r="P236" s="3" t="s">
        <v>80</v>
      </c>
      <c r="Q236" s="2">
        <v>187.38</v>
      </c>
      <c r="R236" s="3" t="s">
        <v>58</v>
      </c>
      <c r="S236">
        <f>COUNTIF(A:A,A236)</f>
        <v>2</v>
      </c>
      <c r="T236" t="str">
        <f>IF(OR(H236="",LOWER(TRIM(H236&amp;""))="missing",LOWER(TRIM(H236&amp;""))=""),"Missing/",IFERROR(IF(OR(VALUE(H236)&lt;0,VALUE(H236)&gt;110),"Invalid","Valid"),"Check Format"))</f>
        <v>Valid</v>
      </c>
      <c r="U236">
        <f>IF(Raw_Data[[#This Row],[Age_Check]]="Valid",H236,"")</f>
        <v>84</v>
      </c>
      <c r="V236" t="str">
        <f>IF(OR(K236="",UPPER(TRIM(K236&amp;""))="",LOWER(TRIM(K236&amp;""))="",LOWER(TRIM(K236&amp;""))="",LOWER(TRIM(K236&amp;""))="missing"),"Missing/",IFERROR(IF(VALUE(K236)&lt;0,"Invalid","Valid"),"Check Format"))</f>
        <v>Valid</v>
      </c>
      <c r="W236" t="str">
        <f>IF(OR(E236="",F236=""),"Missing Date/Time",IFERROR(IF(F236&gt;E236,"Arrival After Appointment","OK"),"Check Format"))</f>
        <v>OK</v>
      </c>
      <c r="X236" t="str">
        <f>IF(OR(F236="",G236=""),"Missing Date/Time",IFERROR(IF(G236&lt;F236,"Discharge Before Arrival","OK"),"Check Format"))</f>
        <v>OK</v>
      </c>
    </row>
    <row r="237" spans="1:24" x14ac:dyDescent="0.25">
      <c r="A237" s="2" t="s">
        <v>532</v>
      </c>
      <c r="B237" s="2" t="s">
        <v>533</v>
      </c>
      <c r="C237" s="3" t="s">
        <v>37</v>
      </c>
      <c r="D237" s="3" t="s">
        <v>72</v>
      </c>
      <c r="E237" s="4">
        <v>45614.75</v>
      </c>
      <c r="F237" s="4">
        <v>45614.731944444444</v>
      </c>
      <c r="G237" s="4">
        <v>45614.800694444442</v>
      </c>
      <c r="I237" s="3" t="s">
        <v>95</v>
      </c>
      <c r="J237" s="3" t="s">
        <v>22</v>
      </c>
      <c r="K237" s="5">
        <v>51</v>
      </c>
      <c r="L237" s="5">
        <v>22</v>
      </c>
      <c r="M237" s="3" t="s">
        <v>23</v>
      </c>
      <c r="N237" t="s">
        <v>91</v>
      </c>
      <c r="O237" s="5">
        <v>1</v>
      </c>
      <c r="P237" s="3" t="s">
        <v>80</v>
      </c>
      <c r="Q237" s="2">
        <v>228.92</v>
      </c>
      <c r="R237" s="3" t="s">
        <v>58</v>
      </c>
      <c r="S237">
        <f>COUNTIF(A:A,A237)</f>
        <v>1</v>
      </c>
      <c r="T237" t="str">
        <f>IF(OR(H237="",LOWER(TRIM(H237&amp;""))="missing",LOWER(TRIM(H237&amp;""))=""),"Missing/",IFERROR(IF(OR(VALUE(H237)&lt;0,VALUE(H237)&gt;110),"Invalid","Valid"),"Check Format"))</f>
        <v>Missing/</v>
      </c>
      <c r="U237" t="str">
        <f>IF(Raw_Data[[#This Row],[Age_Check]]="Valid",H237,"")</f>
        <v/>
      </c>
      <c r="V237" t="str">
        <f>IF(OR(K237="",UPPER(TRIM(K237&amp;""))="",LOWER(TRIM(K237&amp;""))="",LOWER(TRIM(K237&amp;""))="",LOWER(TRIM(K237&amp;""))="missing"),"Missing/",IFERROR(IF(VALUE(K237)&lt;0,"Invalid","Valid"),"Check Format"))</f>
        <v>Valid</v>
      </c>
      <c r="W237" t="str">
        <f>IF(OR(E237="",F237=""),"Missing Date/Time",IFERROR(IF(F237&gt;E237,"Arrival After Appointment","OK"),"Check Format"))</f>
        <v>OK</v>
      </c>
      <c r="X237" t="str">
        <f>IF(OR(F237="",G237=""),"Missing Date/Time",IFERROR(IF(G237&lt;F237,"Discharge Before Arrival","OK"),"Check Format"))</f>
        <v>OK</v>
      </c>
    </row>
    <row r="238" spans="1:24" x14ac:dyDescent="0.25">
      <c r="A238" s="2" t="s">
        <v>534</v>
      </c>
      <c r="B238" s="2" t="s">
        <v>535</v>
      </c>
      <c r="C238" s="3" t="s">
        <v>19</v>
      </c>
      <c r="D238" s="3" t="s">
        <v>38</v>
      </c>
      <c r="E238" s="4">
        <v>45935.777777777781</v>
      </c>
      <c r="F238" s="4">
        <v>45787.756944444445</v>
      </c>
      <c r="G238" s="4">
        <v>45787.804861111108</v>
      </c>
      <c r="I238" s="3" t="s">
        <v>95</v>
      </c>
      <c r="J238" s="3" t="s">
        <v>22</v>
      </c>
      <c r="K238" s="5">
        <v>33</v>
      </c>
      <c r="L238" s="5">
        <v>6</v>
      </c>
      <c r="M238" s="3" t="s">
        <v>32</v>
      </c>
      <c r="N238" t="s">
        <v>69</v>
      </c>
      <c r="O238" s="5">
        <v>5</v>
      </c>
      <c r="P238" s="3" t="s">
        <v>25</v>
      </c>
      <c r="Q238" s="2">
        <v>20.47</v>
      </c>
      <c r="R238" s="3" t="s">
        <v>26</v>
      </c>
      <c r="S238">
        <f>COUNTIF(A:A,A238)</f>
        <v>1</v>
      </c>
      <c r="T238" t="str">
        <f>IF(OR(H238="",LOWER(TRIM(H238&amp;""))="missing",LOWER(TRIM(H238&amp;""))=""),"Missing/",IFERROR(IF(OR(VALUE(H238)&lt;0,VALUE(H238)&gt;110),"Invalid","Valid"),"Check Format"))</f>
        <v>Missing/</v>
      </c>
      <c r="U238" t="str">
        <f>IF(Raw_Data[[#This Row],[Age_Check]]="Valid",H238,"")</f>
        <v/>
      </c>
      <c r="V238" t="str">
        <f>IF(OR(K238="",UPPER(TRIM(K238&amp;""))="",LOWER(TRIM(K238&amp;""))="",LOWER(TRIM(K238&amp;""))="",LOWER(TRIM(K238&amp;""))="missing"),"Missing/",IFERROR(IF(VALUE(K238)&lt;0,"Invalid","Valid"),"Check Format"))</f>
        <v>Valid</v>
      </c>
      <c r="W238" t="str">
        <f>IF(OR(E238="",F238=""),"Missing Date/Time",IFERROR(IF(F238&gt;E238,"Arrival After Appointment","OK"),"Check Format"))</f>
        <v>OK</v>
      </c>
      <c r="X238" t="str">
        <f>IF(OR(F238="",G238=""),"Missing Date/Time",IFERROR(IF(G238&lt;F238,"Discharge Before Arrival","OK"),"Check Format"))</f>
        <v>OK</v>
      </c>
    </row>
    <row r="239" spans="1:24" x14ac:dyDescent="0.25">
      <c r="A239" s="2" t="s">
        <v>536</v>
      </c>
      <c r="B239" s="2" t="s">
        <v>537</v>
      </c>
      <c r="C239" s="3" t="s">
        <v>29</v>
      </c>
      <c r="D239" s="3" t="s">
        <v>23</v>
      </c>
      <c r="E239" s="4" t="s">
        <v>538</v>
      </c>
      <c r="F239" s="4">
        <v>45397.65347222222</v>
      </c>
      <c r="G239" s="4">
        <v>45397.720138888886</v>
      </c>
      <c r="I239" s="3" t="s">
        <v>73</v>
      </c>
      <c r="J239" s="3" t="s">
        <v>22</v>
      </c>
      <c r="K239" s="5">
        <v>79</v>
      </c>
      <c r="L239" s="5">
        <v>8</v>
      </c>
      <c r="M239" s="3" t="s">
        <v>63</v>
      </c>
      <c r="N239" t="s">
        <v>69</v>
      </c>
      <c r="O239" s="5">
        <v>2</v>
      </c>
      <c r="P239" s="3" t="s">
        <v>25</v>
      </c>
      <c r="Q239" s="2">
        <v>285.38</v>
      </c>
      <c r="R239" s="3" t="s">
        <v>26</v>
      </c>
      <c r="S239">
        <f>COUNTIF(A:A,A239)</f>
        <v>1</v>
      </c>
      <c r="T239" t="str">
        <f>IF(OR(H239="",LOWER(TRIM(H239&amp;""))="missing",LOWER(TRIM(H239&amp;""))=""),"Missing/",IFERROR(IF(OR(VALUE(H239)&lt;0,VALUE(H239)&gt;110),"Invalid","Valid"),"Check Format"))</f>
        <v>Missing/</v>
      </c>
      <c r="U239" t="str">
        <f>IF(Raw_Data[[#This Row],[Age_Check]]="Valid",H239,"")</f>
        <v/>
      </c>
      <c r="V239" t="str">
        <f>IF(OR(K239="",UPPER(TRIM(K239&amp;""))="",LOWER(TRIM(K239&amp;""))="",LOWER(TRIM(K239&amp;""))="",LOWER(TRIM(K239&amp;""))="missing"),"Missing/",IFERROR(IF(VALUE(K239)&lt;0,"Invalid","Valid"),"Check Format"))</f>
        <v>Valid</v>
      </c>
      <c r="W239" t="str">
        <f>IF(OR(E239="",F239=""),"Missing Date/Time",IFERROR(IF(F239&gt;E239,"Arrival After Appointment","OK"),"Check Format"))</f>
        <v>OK</v>
      </c>
      <c r="X239" t="str">
        <f>IF(OR(F239="",G239=""),"Missing Date/Time",IFERROR(IF(G239&lt;F239,"Discharge Before Arrival","OK"),"Check Format"))</f>
        <v>OK</v>
      </c>
    </row>
    <row r="240" spans="1:24" x14ac:dyDescent="0.25">
      <c r="A240" s="2" t="s">
        <v>539</v>
      </c>
      <c r="B240" s="2" t="s">
        <v>540</v>
      </c>
      <c r="C240" s="3" t="s">
        <v>46</v>
      </c>
      <c r="D240" s="3" t="s">
        <v>149</v>
      </c>
      <c r="E240" s="4">
        <v>45618.465277777781</v>
      </c>
      <c r="F240" s="4">
        <v>45618.458333333336</v>
      </c>
      <c r="G240" s="4">
        <v>45618.508333333331</v>
      </c>
      <c r="H240" s="5">
        <v>6</v>
      </c>
      <c r="I240" s="3" t="s">
        <v>73</v>
      </c>
      <c r="J240" s="3" t="s">
        <v>22</v>
      </c>
      <c r="K240" s="5">
        <v>0</v>
      </c>
      <c r="L240" s="5">
        <v>62</v>
      </c>
      <c r="M240" s="3" t="s">
        <v>87</v>
      </c>
      <c r="N240" t="s">
        <v>100</v>
      </c>
      <c r="O240" s="5">
        <v>4</v>
      </c>
      <c r="P240" s="3" t="s">
        <v>80</v>
      </c>
      <c r="Q240" s="2">
        <v>161.88</v>
      </c>
      <c r="R240" s="3" t="s">
        <v>26</v>
      </c>
      <c r="S240">
        <f>COUNTIF(A:A,A240)</f>
        <v>1</v>
      </c>
      <c r="T240" t="str">
        <f>IF(OR(H240="",LOWER(TRIM(H240&amp;""))="missing",LOWER(TRIM(H240&amp;""))=""),"Missing/",IFERROR(IF(OR(VALUE(H240)&lt;0,VALUE(H240)&gt;110),"Invalid","Valid"),"Check Format"))</f>
        <v>Valid</v>
      </c>
      <c r="U240">
        <f>IF(Raw_Data[[#This Row],[Age_Check]]="Valid",H240,"")</f>
        <v>6</v>
      </c>
      <c r="V240" t="str">
        <f>IF(OR(K240="",UPPER(TRIM(K240&amp;""))="",LOWER(TRIM(K240&amp;""))="",LOWER(TRIM(K240&amp;""))="",LOWER(TRIM(K240&amp;""))="missing"),"Missing/",IFERROR(IF(VALUE(K240)&lt;0,"Invalid","Valid"),"Check Format"))</f>
        <v>Valid</v>
      </c>
      <c r="W240" t="str">
        <f>IF(OR(E240="",F240=""),"Missing Date/Time",IFERROR(IF(F240&gt;E240,"Arrival After Appointment","OK"),"Check Format"))</f>
        <v>OK</v>
      </c>
      <c r="X240" t="str">
        <f>IF(OR(F240="",G240=""),"Missing Date/Time",IFERROR(IF(G240&lt;F240,"Discharge Before Arrival","OK"),"Check Format"))</f>
        <v>OK</v>
      </c>
    </row>
    <row r="241" spans="1:24" x14ac:dyDescent="0.25">
      <c r="A241" s="2" t="s">
        <v>541</v>
      </c>
      <c r="B241" s="2" t="s">
        <v>542</v>
      </c>
      <c r="C241" s="3" t="s">
        <v>19</v>
      </c>
      <c r="D241" s="3" t="s">
        <v>30</v>
      </c>
      <c r="E241" s="4">
        <v>45748.684027777781</v>
      </c>
      <c r="F241" s="4">
        <v>45748.667361111111</v>
      </c>
      <c r="G241" s="4">
        <v>45748.736805555556</v>
      </c>
      <c r="H241" s="5">
        <v>72</v>
      </c>
      <c r="I241" s="3" t="s">
        <v>73</v>
      </c>
      <c r="J241" s="3" t="s">
        <v>22</v>
      </c>
      <c r="K241" s="5">
        <v>54</v>
      </c>
      <c r="L241" s="5">
        <v>22</v>
      </c>
      <c r="M241" s="3" t="s">
        <v>23</v>
      </c>
      <c r="N241" t="s">
        <v>24</v>
      </c>
      <c r="O241" s="5">
        <v>0</v>
      </c>
      <c r="P241" s="3" t="s">
        <v>80</v>
      </c>
      <c r="Q241" s="2">
        <v>176.93</v>
      </c>
      <c r="R241" s="3" t="s">
        <v>43</v>
      </c>
      <c r="S241">
        <f>COUNTIF(A:A,A241)</f>
        <v>1</v>
      </c>
      <c r="T241" t="str">
        <f>IF(OR(H241="",LOWER(TRIM(H241&amp;""))="missing",LOWER(TRIM(H241&amp;""))=""),"Missing/",IFERROR(IF(OR(VALUE(H241)&lt;0,VALUE(H241)&gt;110),"Invalid","Valid"),"Check Format"))</f>
        <v>Valid</v>
      </c>
      <c r="U241">
        <f>IF(Raw_Data[[#This Row],[Age_Check]]="Valid",H241,"")</f>
        <v>72</v>
      </c>
      <c r="V241" t="str">
        <f>IF(OR(K241="",UPPER(TRIM(K241&amp;""))="",LOWER(TRIM(K241&amp;""))="",LOWER(TRIM(K241&amp;""))="",LOWER(TRIM(K241&amp;""))="missing"),"Missing/",IFERROR(IF(VALUE(K241)&lt;0,"Invalid","Valid"),"Check Format"))</f>
        <v>Valid</v>
      </c>
      <c r="W241" t="str">
        <f>IF(OR(E241="",F241=""),"Missing Date/Time",IFERROR(IF(F241&gt;E241,"Arrival After Appointment","OK"),"Check Format"))</f>
        <v>OK</v>
      </c>
      <c r="X241" t="str">
        <f>IF(OR(F241="",G241=""),"Missing Date/Time",IFERROR(IF(G241&lt;F241,"Discharge Before Arrival","OK"),"Check Format"))</f>
        <v>OK</v>
      </c>
    </row>
    <row r="242" spans="1:24" x14ac:dyDescent="0.25">
      <c r="A242" s="2" t="s">
        <v>543</v>
      </c>
      <c r="B242" s="2" t="s">
        <v>389</v>
      </c>
      <c r="C242" s="3" t="s">
        <v>46</v>
      </c>
      <c r="D242" s="3" t="s">
        <v>38</v>
      </c>
      <c r="E242" s="4">
        <v>45779.413194444445</v>
      </c>
      <c r="F242" s="4">
        <v>45693.411111111112</v>
      </c>
      <c r="G242" s="4">
        <v>45693.487500000003</v>
      </c>
      <c r="I242" s="3" t="s">
        <v>39</v>
      </c>
      <c r="J242" s="3" t="s">
        <v>150</v>
      </c>
      <c r="K242" s="5">
        <v>56</v>
      </c>
      <c r="L242" s="5">
        <v>51</v>
      </c>
      <c r="M242" s="3" t="s">
        <v>68</v>
      </c>
      <c r="Q242" s="2">
        <v>154.13999999999999</v>
      </c>
      <c r="R242" s="3" t="s">
        <v>26</v>
      </c>
      <c r="S242">
        <f>COUNTIF(A:A,A242)</f>
        <v>1</v>
      </c>
      <c r="T242" t="str">
        <f>IF(OR(H242="",LOWER(TRIM(H242&amp;""))="missing",LOWER(TRIM(H242&amp;""))=""),"Missing/",IFERROR(IF(OR(VALUE(H242)&lt;0,VALUE(H242)&gt;110),"Invalid","Valid"),"Check Format"))</f>
        <v>Missing/</v>
      </c>
      <c r="U242" t="str">
        <f>IF(Raw_Data[[#This Row],[Age_Check]]="Valid",H242,"")</f>
        <v/>
      </c>
      <c r="V242" t="str">
        <f>IF(OR(K242="",UPPER(TRIM(K242&amp;""))="",LOWER(TRIM(K242&amp;""))="",LOWER(TRIM(K242&amp;""))="",LOWER(TRIM(K242&amp;""))="missing"),"Missing/",IFERROR(IF(VALUE(K242)&lt;0,"Invalid","Valid"),"Check Format"))</f>
        <v>Valid</v>
      </c>
      <c r="W242" t="str">
        <f>IF(OR(E242="",F242=""),"Missing Date/Time",IFERROR(IF(F242&gt;E242,"Arrival After Appointment","OK"),"Check Format"))</f>
        <v>OK</v>
      </c>
      <c r="X242" t="str">
        <f>IF(OR(F242="",G242=""),"Missing Date/Time",IFERROR(IF(G242&lt;F242,"Discharge Before Arrival","OK"),"Check Format"))</f>
        <v>OK</v>
      </c>
    </row>
    <row r="243" spans="1:24" x14ac:dyDescent="0.25">
      <c r="A243" s="2" t="s">
        <v>544</v>
      </c>
      <c r="B243" s="2" t="s">
        <v>545</v>
      </c>
      <c r="D243" s="3" t="s">
        <v>149</v>
      </c>
      <c r="E243" s="4">
        <v>45702.6875</v>
      </c>
      <c r="F243" s="4">
        <v>45702.680555555555</v>
      </c>
      <c r="G243" s="4">
        <v>45702.748611111114</v>
      </c>
      <c r="I243" s="3" t="s">
        <v>95</v>
      </c>
      <c r="J243" s="3" t="s">
        <v>2639</v>
      </c>
      <c r="K243" s="5">
        <v>63</v>
      </c>
      <c r="L243" s="5">
        <v>25</v>
      </c>
      <c r="M243" s="3" t="s">
        <v>41</v>
      </c>
      <c r="P243" s="3" t="s">
        <v>42</v>
      </c>
      <c r="Q243" s="2">
        <v>140.44</v>
      </c>
      <c r="R243" s="3" t="s">
        <v>26</v>
      </c>
      <c r="S243">
        <f>COUNTIF(A:A,A243)</f>
        <v>1</v>
      </c>
      <c r="T243" t="str">
        <f>IF(OR(H243="",LOWER(TRIM(H243&amp;""))="missing",LOWER(TRIM(H243&amp;""))=""),"Missing/",IFERROR(IF(OR(VALUE(H243)&lt;0,VALUE(H243)&gt;110),"Invalid","Valid"),"Check Format"))</f>
        <v>Missing/</v>
      </c>
      <c r="U243" t="str">
        <f>IF(Raw_Data[[#This Row],[Age_Check]]="Valid",H243,"")</f>
        <v/>
      </c>
      <c r="V243" t="str">
        <f>IF(OR(K243="",UPPER(TRIM(K243&amp;""))="",LOWER(TRIM(K243&amp;""))="",LOWER(TRIM(K243&amp;""))="",LOWER(TRIM(K243&amp;""))="missing"),"Missing/",IFERROR(IF(VALUE(K243)&lt;0,"Invalid","Valid"),"Check Format"))</f>
        <v>Valid</v>
      </c>
      <c r="W243" t="str">
        <f>IF(OR(E243="",F243=""),"Missing Date/Time",IFERROR(IF(F243&gt;E243,"Arrival After Appointment","OK"),"Check Format"))</f>
        <v>OK</v>
      </c>
      <c r="X243" t="str">
        <f>IF(OR(F243="",G243=""),"Missing Date/Time",IFERROR(IF(G243&lt;F243,"Discharge Before Arrival","OK"),"Check Format"))</f>
        <v>OK</v>
      </c>
    </row>
    <row r="244" spans="1:24" x14ac:dyDescent="0.25">
      <c r="A244" s="2" t="s">
        <v>546</v>
      </c>
      <c r="B244" s="2" t="s">
        <v>547</v>
      </c>
      <c r="C244" s="3" t="s">
        <v>19</v>
      </c>
      <c r="D244" s="3" t="s">
        <v>55</v>
      </c>
      <c r="E244" s="4" t="s">
        <v>548</v>
      </c>
      <c r="F244" s="4">
        <v>45625.615277777775</v>
      </c>
      <c r="G244" s="4">
        <v>45625.679166666669</v>
      </c>
      <c r="I244" s="3" t="s">
        <v>95</v>
      </c>
      <c r="J244" s="3" t="s">
        <v>62</v>
      </c>
      <c r="K244" s="5">
        <v>68</v>
      </c>
      <c r="L244" s="5">
        <v>5</v>
      </c>
      <c r="M244" s="3" t="s">
        <v>23</v>
      </c>
      <c r="N244" t="s">
        <v>24</v>
      </c>
      <c r="R244" s="3" t="s">
        <v>43</v>
      </c>
      <c r="S244">
        <f>COUNTIF(A:A,A244)</f>
        <v>1</v>
      </c>
      <c r="T244" t="str">
        <f>IF(OR(H244="",LOWER(TRIM(H244&amp;""))="missing",LOWER(TRIM(H244&amp;""))=""),"Missing/",IFERROR(IF(OR(VALUE(H244)&lt;0,VALUE(H244)&gt;110),"Invalid","Valid"),"Check Format"))</f>
        <v>Missing/</v>
      </c>
      <c r="U244" t="str">
        <f>IF(Raw_Data[[#This Row],[Age_Check]]="Valid",H244,"")</f>
        <v/>
      </c>
      <c r="V244" t="str">
        <f>IF(OR(K244="",UPPER(TRIM(K244&amp;""))="",LOWER(TRIM(K244&amp;""))="",LOWER(TRIM(K244&amp;""))="",LOWER(TRIM(K244&amp;""))="missing"),"Missing/",IFERROR(IF(VALUE(K244)&lt;0,"Invalid","Valid"),"Check Format"))</f>
        <v>Valid</v>
      </c>
      <c r="W244" t="str">
        <f>IF(OR(E244="",F244=""),"Missing Date/Time",IFERROR(IF(F244&gt;E244,"Arrival After Appointment","OK"),"Check Format"))</f>
        <v>OK</v>
      </c>
      <c r="X244" t="str">
        <f>IF(OR(F244="",G244=""),"Missing Date/Time",IFERROR(IF(G244&lt;F244,"Discharge Before Arrival","OK"),"Check Format"))</f>
        <v>OK</v>
      </c>
    </row>
    <row r="245" spans="1:24" x14ac:dyDescent="0.25">
      <c r="A245" s="2" t="s">
        <v>549</v>
      </c>
      <c r="B245" s="2" t="s">
        <v>530</v>
      </c>
      <c r="C245" s="3" t="s">
        <v>46</v>
      </c>
      <c r="D245" s="3" t="s">
        <v>20</v>
      </c>
      <c r="E245" s="4" t="s">
        <v>550</v>
      </c>
      <c r="F245" s="4">
        <v>45922.67083333333</v>
      </c>
      <c r="G245" s="4">
        <v>45922.729166666664</v>
      </c>
      <c r="H245" s="5">
        <v>145</v>
      </c>
      <c r="I245" s="3" t="s">
        <v>95</v>
      </c>
      <c r="J245" s="3" t="s">
        <v>2639</v>
      </c>
      <c r="K245" s="5">
        <v>10</v>
      </c>
      <c r="L245" s="5">
        <v>45</v>
      </c>
      <c r="N245" t="s">
        <v>69</v>
      </c>
      <c r="P245" s="3" t="s">
        <v>25</v>
      </c>
      <c r="Q245" s="2">
        <v>158.66999999999999</v>
      </c>
      <c r="R245" s="3" t="s">
        <v>58</v>
      </c>
      <c r="S245">
        <f>COUNTIF(A:A,A245)</f>
        <v>1</v>
      </c>
      <c r="T245" t="str">
        <f>IF(OR(H245="",LOWER(TRIM(H245&amp;""))="missing",LOWER(TRIM(H245&amp;""))=""),"Missing/",IFERROR(IF(OR(VALUE(H245)&lt;0,VALUE(H245)&gt;110),"Invalid","Valid"),"Check Format"))</f>
        <v>Invalid</v>
      </c>
      <c r="U245" t="str">
        <f>IF(Raw_Data[[#This Row],[Age_Check]]="Valid",H245,"")</f>
        <v/>
      </c>
      <c r="V245" t="str">
        <f>IF(OR(K245="",UPPER(TRIM(K245&amp;""))="",LOWER(TRIM(K245&amp;""))="",LOWER(TRIM(K245&amp;""))="",LOWER(TRIM(K245&amp;""))="missing"),"Missing/",IFERROR(IF(VALUE(K245)&lt;0,"Invalid","Valid"),"Check Format"))</f>
        <v>Valid</v>
      </c>
      <c r="W245" t="str">
        <f>IF(OR(E245="",F245=""),"Missing Date/Time",IFERROR(IF(F245&gt;E245,"Arrival After Appointment","OK"),"Check Format"))</f>
        <v>OK</v>
      </c>
      <c r="X245" t="str">
        <f>IF(OR(F245="",G245=""),"Missing Date/Time",IFERROR(IF(G245&lt;F245,"Discharge Before Arrival","OK"),"Check Format"))</f>
        <v>OK</v>
      </c>
    </row>
    <row r="246" spans="1:24" x14ac:dyDescent="0.25">
      <c r="A246" s="2" t="s">
        <v>551</v>
      </c>
      <c r="B246" s="2" t="s">
        <v>552</v>
      </c>
      <c r="C246" s="3" t="s">
        <v>94</v>
      </c>
      <c r="D246" s="3" t="s">
        <v>99</v>
      </c>
      <c r="E246" s="4">
        <v>45580.302083333336</v>
      </c>
      <c r="F246" s="4">
        <v>45580.293055555558</v>
      </c>
      <c r="G246" s="4">
        <v>45580.359722222223</v>
      </c>
      <c r="I246" s="3" t="s">
        <v>95</v>
      </c>
      <c r="J246" s="3" t="s">
        <v>67</v>
      </c>
      <c r="K246" s="5">
        <v>51</v>
      </c>
      <c r="L246" s="5">
        <v>32</v>
      </c>
      <c r="M246" s="3" t="s">
        <v>50</v>
      </c>
      <c r="O246" s="5">
        <v>0</v>
      </c>
      <c r="P246" s="3" t="s">
        <v>80</v>
      </c>
      <c r="Q246" s="2">
        <v>172.81</v>
      </c>
      <c r="R246" s="3" t="s">
        <v>43</v>
      </c>
      <c r="S246">
        <f>COUNTIF(A:A,A246)</f>
        <v>1</v>
      </c>
      <c r="T246" t="str">
        <f>IF(OR(H246="",LOWER(TRIM(H246&amp;""))="missing",LOWER(TRIM(H246&amp;""))=""),"Missing/",IFERROR(IF(OR(VALUE(H246)&lt;0,VALUE(H246)&gt;110),"Invalid","Valid"),"Check Format"))</f>
        <v>Missing/</v>
      </c>
      <c r="U246" t="str">
        <f>IF(Raw_Data[[#This Row],[Age_Check]]="Valid",H246,"")</f>
        <v/>
      </c>
      <c r="V246" t="str">
        <f>IF(OR(K246="",UPPER(TRIM(K246&amp;""))="",LOWER(TRIM(K246&amp;""))="",LOWER(TRIM(K246&amp;""))="",LOWER(TRIM(K246&amp;""))="missing"),"Missing/",IFERROR(IF(VALUE(K246)&lt;0,"Invalid","Valid"),"Check Format"))</f>
        <v>Valid</v>
      </c>
      <c r="W246" t="str">
        <f>IF(OR(E246="",F246=""),"Missing Date/Time",IFERROR(IF(F246&gt;E246,"Arrival After Appointment","OK"),"Check Format"))</f>
        <v>OK</v>
      </c>
      <c r="X246" t="str">
        <f>IF(OR(F246="",G246=""),"Missing Date/Time",IFERROR(IF(G246&lt;F246,"Discharge Before Arrival","OK"),"Check Format"))</f>
        <v>OK</v>
      </c>
    </row>
    <row r="247" spans="1:24" x14ac:dyDescent="0.25">
      <c r="A247" s="2" t="s">
        <v>553</v>
      </c>
      <c r="B247" s="2" t="s">
        <v>554</v>
      </c>
      <c r="C247" s="3" t="s">
        <v>94</v>
      </c>
      <c r="D247" s="3" t="s">
        <v>66</v>
      </c>
      <c r="E247" s="4">
        <v>45790.729166666664</v>
      </c>
      <c r="F247" s="4">
        <v>45790.709722222222</v>
      </c>
      <c r="G247" s="4">
        <v>45790.768055555556</v>
      </c>
      <c r="H247" s="5">
        <v>145</v>
      </c>
      <c r="I247" s="3" t="s">
        <v>95</v>
      </c>
      <c r="J247" s="3" t="s">
        <v>171</v>
      </c>
      <c r="K247" s="5">
        <v>39</v>
      </c>
      <c r="L247" s="5">
        <v>600</v>
      </c>
      <c r="M247" s="3" t="s">
        <v>32</v>
      </c>
      <c r="O247" s="5">
        <v>0</v>
      </c>
      <c r="P247" s="3" t="s">
        <v>80</v>
      </c>
      <c r="Q247" s="2">
        <v>160.66999999999999</v>
      </c>
      <c r="R247" s="3" t="s">
        <v>43</v>
      </c>
      <c r="S247">
        <f>COUNTIF(A:A,A247)</f>
        <v>1</v>
      </c>
      <c r="T247" t="str">
        <f>IF(OR(H247="",LOWER(TRIM(H247&amp;""))="missing",LOWER(TRIM(H247&amp;""))=""),"Missing/",IFERROR(IF(OR(VALUE(H247)&lt;0,VALUE(H247)&gt;110),"Invalid","Valid"),"Check Format"))</f>
        <v>Invalid</v>
      </c>
      <c r="U247" t="str">
        <f>IF(Raw_Data[[#This Row],[Age_Check]]="Valid",H247,"")</f>
        <v/>
      </c>
      <c r="V247" t="str">
        <f>IF(OR(K247="",UPPER(TRIM(K247&amp;""))="",LOWER(TRIM(K247&amp;""))="",LOWER(TRIM(K247&amp;""))="",LOWER(TRIM(K247&amp;""))="missing"),"Missing/",IFERROR(IF(VALUE(K247)&lt;0,"Invalid","Valid"),"Check Format"))</f>
        <v>Valid</v>
      </c>
      <c r="W247" t="str">
        <f>IF(OR(E247="",F247=""),"Missing Date/Time",IFERROR(IF(F247&gt;E247,"Arrival After Appointment","OK"),"Check Format"))</f>
        <v>OK</v>
      </c>
      <c r="X247" t="str">
        <f>IF(OR(F247="",G247=""),"Missing Date/Time",IFERROR(IF(G247&lt;F247,"Discharge Before Arrival","OK"),"Check Format"))</f>
        <v>OK</v>
      </c>
    </row>
    <row r="248" spans="1:24" x14ac:dyDescent="0.25">
      <c r="A248" s="2" t="s">
        <v>555</v>
      </c>
      <c r="B248" s="2" t="s">
        <v>556</v>
      </c>
      <c r="D248" s="3" t="s">
        <v>72</v>
      </c>
      <c r="E248" s="4" t="s">
        <v>557</v>
      </c>
      <c r="F248" s="4">
        <v>45534.775694444441</v>
      </c>
      <c r="G248" s="4">
        <v>45534.820833333331</v>
      </c>
      <c r="H248" s="5">
        <v>10</v>
      </c>
      <c r="J248" s="3" t="s">
        <v>22</v>
      </c>
      <c r="K248" s="5">
        <v>23</v>
      </c>
      <c r="L248" s="5">
        <v>39</v>
      </c>
      <c r="M248" s="3" t="s">
        <v>63</v>
      </c>
      <c r="N248" t="s">
        <v>24</v>
      </c>
      <c r="O248" s="5">
        <v>6</v>
      </c>
      <c r="P248" s="3" t="s">
        <v>25</v>
      </c>
      <c r="Q248" s="2">
        <v>8.7899999999999991</v>
      </c>
      <c r="R248" s="3" t="s">
        <v>58</v>
      </c>
      <c r="S248">
        <f>COUNTIF(A:A,A248)</f>
        <v>1</v>
      </c>
      <c r="T248" t="str">
        <f>IF(OR(H248="",LOWER(TRIM(H248&amp;""))="missing",LOWER(TRIM(H248&amp;""))=""),"Missing/",IFERROR(IF(OR(VALUE(H248)&lt;0,VALUE(H248)&gt;110),"Invalid","Valid"),"Check Format"))</f>
        <v>Valid</v>
      </c>
      <c r="U248">
        <f>IF(Raw_Data[[#This Row],[Age_Check]]="Valid",H248,"")</f>
        <v>10</v>
      </c>
      <c r="V248" t="str">
        <f>IF(OR(K248="",UPPER(TRIM(K248&amp;""))="",LOWER(TRIM(K248&amp;""))="",LOWER(TRIM(K248&amp;""))="",LOWER(TRIM(K248&amp;""))="missing"),"Missing/",IFERROR(IF(VALUE(K248)&lt;0,"Invalid","Valid"),"Check Format"))</f>
        <v>Valid</v>
      </c>
      <c r="W248" t="str">
        <f>IF(OR(E248="",F248=""),"Missing Date/Time",IFERROR(IF(F248&gt;E248,"Arrival After Appointment","OK"),"Check Format"))</f>
        <v>OK</v>
      </c>
      <c r="X248" t="str">
        <f>IF(OR(F248="",G248=""),"Missing Date/Time",IFERROR(IF(G248&lt;F248,"Discharge Before Arrival","OK"),"Check Format"))</f>
        <v>OK</v>
      </c>
    </row>
    <row r="249" spans="1:24" x14ac:dyDescent="0.25">
      <c r="A249" s="2" t="s">
        <v>558</v>
      </c>
      <c r="B249" s="2" t="s">
        <v>559</v>
      </c>
      <c r="C249" s="3" t="s">
        <v>46</v>
      </c>
      <c r="D249" s="3" t="s">
        <v>149</v>
      </c>
      <c r="E249" s="4">
        <v>45992.736111111109</v>
      </c>
      <c r="F249" s="4">
        <v>45992.724999999999</v>
      </c>
      <c r="G249" s="4">
        <v>45992.82916666667</v>
      </c>
      <c r="I249" s="3" t="s">
        <v>95</v>
      </c>
      <c r="J249" s="3" t="s">
        <v>22</v>
      </c>
      <c r="K249" s="5">
        <v>94</v>
      </c>
      <c r="L249" s="5">
        <v>40</v>
      </c>
      <c r="M249" s="3" t="s">
        <v>41</v>
      </c>
      <c r="N249" t="s">
        <v>103</v>
      </c>
      <c r="O249" s="5">
        <v>3</v>
      </c>
      <c r="P249" s="3" t="s">
        <v>42</v>
      </c>
      <c r="Q249" s="2">
        <v>165.48</v>
      </c>
      <c r="R249" s="3" t="s">
        <v>75</v>
      </c>
      <c r="S249">
        <f>COUNTIF(A:A,A249)</f>
        <v>1</v>
      </c>
      <c r="T249" t="str">
        <f>IF(OR(H249="",LOWER(TRIM(H249&amp;""))="missing",LOWER(TRIM(H249&amp;""))=""),"Missing/",IFERROR(IF(OR(VALUE(H249)&lt;0,VALUE(H249)&gt;110),"Invalid","Valid"),"Check Format"))</f>
        <v>Missing/</v>
      </c>
      <c r="U249" t="str">
        <f>IF(Raw_Data[[#This Row],[Age_Check]]="Valid",H249,"")</f>
        <v/>
      </c>
      <c r="V249" t="str">
        <f>IF(OR(K249="",UPPER(TRIM(K249&amp;""))="",LOWER(TRIM(K249&amp;""))="",LOWER(TRIM(K249&amp;""))="",LOWER(TRIM(K249&amp;""))="missing"),"Missing/",IFERROR(IF(VALUE(K249)&lt;0,"Invalid","Valid"),"Check Format"))</f>
        <v>Valid</v>
      </c>
      <c r="W249" t="str">
        <f>IF(OR(E249="",F249=""),"Missing Date/Time",IFERROR(IF(F249&gt;E249,"Arrival After Appointment","OK"),"Check Format"))</f>
        <v>OK</v>
      </c>
      <c r="X249" t="str">
        <f>IF(OR(F249="",G249=""),"Missing Date/Time",IFERROR(IF(G249&lt;F249,"Discharge Before Arrival","OK"),"Check Format"))</f>
        <v>OK</v>
      </c>
    </row>
    <row r="250" spans="1:24" x14ac:dyDescent="0.25">
      <c r="A250" s="2" t="s">
        <v>560</v>
      </c>
      <c r="B250" s="2" t="s">
        <v>561</v>
      </c>
      <c r="C250" s="3" t="s">
        <v>46</v>
      </c>
      <c r="D250" s="3" t="s">
        <v>47</v>
      </c>
      <c r="E250" s="4" t="s">
        <v>562</v>
      </c>
      <c r="F250" s="4">
        <v>45776.672222222223</v>
      </c>
      <c r="I250" s="3" t="s">
        <v>95</v>
      </c>
      <c r="J250" s="3" t="s">
        <v>67</v>
      </c>
      <c r="K250" s="5">
        <v>92</v>
      </c>
      <c r="L250" s="5">
        <v>61</v>
      </c>
      <c r="M250" s="3" t="s">
        <v>63</v>
      </c>
      <c r="N250" t="s">
        <v>103</v>
      </c>
      <c r="P250" s="3" t="s">
        <v>25</v>
      </c>
      <c r="Q250" s="2">
        <v>226.15</v>
      </c>
      <c r="R250" s="3" t="s">
        <v>26</v>
      </c>
      <c r="S250">
        <f>COUNTIF(A:A,A250)</f>
        <v>1</v>
      </c>
      <c r="T250" t="str">
        <f>IF(OR(H250="",LOWER(TRIM(H250&amp;""))="missing",LOWER(TRIM(H250&amp;""))=""),"Missing/",IFERROR(IF(OR(VALUE(H250)&lt;0,VALUE(H250)&gt;110),"Invalid","Valid"),"Check Format"))</f>
        <v>Missing/</v>
      </c>
      <c r="U250" t="str">
        <f>IF(Raw_Data[[#This Row],[Age_Check]]="Valid",H250,"")</f>
        <v/>
      </c>
      <c r="V250" t="str">
        <f>IF(OR(K250="",UPPER(TRIM(K250&amp;""))="",LOWER(TRIM(K250&amp;""))="",LOWER(TRIM(K250&amp;""))="",LOWER(TRIM(K250&amp;""))="missing"),"Missing/",IFERROR(IF(VALUE(K250)&lt;0,"Invalid","Valid"),"Check Format"))</f>
        <v>Valid</v>
      </c>
      <c r="W250" t="str">
        <f>IF(OR(E250="",F250=""),"Missing Date/Time",IFERROR(IF(F250&gt;E250,"Arrival After Appointment","OK"),"Check Format"))</f>
        <v>OK</v>
      </c>
      <c r="X250" t="str">
        <f>IF(OR(F250="",G250=""),"Missing Date/Time",IFERROR(IF(G250&lt;F250,"Discharge Before Arrival","OK"),"Check Format"))</f>
        <v>Missing Date/Time</v>
      </c>
    </row>
    <row r="251" spans="1:24" x14ac:dyDescent="0.25">
      <c r="A251" s="2" t="s">
        <v>563</v>
      </c>
      <c r="B251" s="2" t="s">
        <v>564</v>
      </c>
      <c r="C251" s="3" t="s">
        <v>46</v>
      </c>
      <c r="D251" s="3" t="s">
        <v>174</v>
      </c>
      <c r="E251" s="4">
        <v>45471.496527777781</v>
      </c>
      <c r="F251" s="4">
        <v>45471.495138888888</v>
      </c>
      <c r="G251" s="4">
        <v>45471.502083333333</v>
      </c>
      <c r="I251" s="3" t="s">
        <v>95</v>
      </c>
      <c r="J251" s="3" t="s">
        <v>2639</v>
      </c>
      <c r="K251" s="5">
        <v>0</v>
      </c>
      <c r="L251" s="5">
        <v>8</v>
      </c>
      <c r="N251" t="s">
        <v>24</v>
      </c>
      <c r="O251" s="5">
        <v>2</v>
      </c>
      <c r="P251" s="3" t="s">
        <v>25</v>
      </c>
      <c r="Q251" s="2">
        <v>95.01</v>
      </c>
      <c r="R251" s="3" t="s">
        <v>75</v>
      </c>
      <c r="S251">
        <f>COUNTIF(A:A,A251)</f>
        <v>1</v>
      </c>
      <c r="T251" t="str">
        <f>IF(OR(H251="",LOWER(TRIM(H251&amp;""))="missing",LOWER(TRIM(H251&amp;""))=""),"Missing/",IFERROR(IF(OR(VALUE(H251)&lt;0,VALUE(H251)&gt;110),"Invalid","Valid"),"Check Format"))</f>
        <v>Missing/</v>
      </c>
      <c r="U251" t="str">
        <f>IF(Raw_Data[[#This Row],[Age_Check]]="Valid",H251,"")</f>
        <v/>
      </c>
      <c r="V251" t="str">
        <f>IF(OR(K251="",UPPER(TRIM(K251&amp;""))="",LOWER(TRIM(K251&amp;""))="",LOWER(TRIM(K251&amp;""))="",LOWER(TRIM(K251&amp;""))="missing"),"Missing/",IFERROR(IF(VALUE(K251)&lt;0,"Invalid","Valid"),"Check Format"))</f>
        <v>Valid</v>
      </c>
      <c r="W251" t="str">
        <f>IF(OR(E251="",F251=""),"Missing Date/Time",IFERROR(IF(F251&gt;E251,"Arrival After Appointment","OK"),"Check Format"))</f>
        <v>OK</v>
      </c>
      <c r="X251" t="str">
        <f>IF(OR(F251="",G251=""),"Missing Date/Time",IFERROR(IF(G251&lt;F251,"Discharge Before Arrival","OK"),"Check Format"))</f>
        <v>OK</v>
      </c>
    </row>
    <row r="252" spans="1:24" x14ac:dyDescent="0.25">
      <c r="A252" s="2" t="s">
        <v>565</v>
      </c>
      <c r="B252" s="2" t="s">
        <v>170</v>
      </c>
      <c r="C252" s="3" t="s">
        <v>37</v>
      </c>
      <c r="D252" s="3" t="s">
        <v>174</v>
      </c>
      <c r="E252" s="4" t="s">
        <v>566</v>
      </c>
      <c r="F252" s="4">
        <v>45345.384027777778</v>
      </c>
      <c r="G252" s="4">
        <v>45345.468055555553</v>
      </c>
      <c r="H252" s="5">
        <v>145</v>
      </c>
      <c r="I252" s="3" t="s">
        <v>95</v>
      </c>
      <c r="J252" s="3" t="s">
        <v>67</v>
      </c>
      <c r="K252" s="5">
        <v>58</v>
      </c>
      <c r="L252" s="5">
        <v>41</v>
      </c>
      <c r="M252" s="3" t="s">
        <v>87</v>
      </c>
      <c r="N252" t="s">
        <v>103</v>
      </c>
      <c r="P252" s="3" t="s">
        <v>25</v>
      </c>
      <c r="Q252" s="2">
        <v>86.94</v>
      </c>
      <c r="R252" s="3" t="s">
        <v>58</v>
      </c>
      <c r="S252">
        <f>COUNTIF(A:A,A252)</f>
        <v>1</v>
      </c>
      <c r="T252" t="str">
        <f>IF(OR(H252="",LOWER(TRIM(H252&amp;""))="missing",LOWER(TRIM(H252&amp;""))=""),"Missing/",IFERROR(IF(OR(VALUE(H252)&lt;0,VALUE(H252)&gt;110),"Invalid","Valid"),"Check Format"))</f>
        <v>Invalid</v>
      </c>
      <c r="U252" t="str">
        <f>IF(Raw_Data[[#This Row],[Age_Check]]="Valid",H252,"")</f>
        <v/>
      </c>
      <c r="V252" t="str">
        <f>IF(OR(K252="",UPPER(TRIM(K252&amp;""))="",LOWER(TRIM(K252&amp;""))="",LOWER(TRIM(K252&amp;""))="",LOWER(TRIM(K252&amp;""))="missing"),"Missing/",IFERROR(IF(VALUE(K252)&lt;0,"Invalid","Valid"),"Check Format"))</f>
        <v>Valid</v>
      </c>
      <c r="W252" t="str">
        <f>IF(OR(E252="",F252=""),"Missing Date/Time",IFERROR(IF(F252&gt;E252,"Arrival After Appointment","OK"),"Check Format"))</f>
        <v>OK</v>
      </c>
      <c r="X252" t="str">
        <f>IF(OR(F252="",G252=""),"Missing Date/Time",IFERROR(IF(G252&lt;F252,"Discharge Before Arrival","OK"),"Check Format"))</f>
        <v>OK</v>
      </c>
    </row>
    <row r="253" spans="1:24" x14ac:dyDescent="0.25">
      <c r="A253" s="2" t="s">
        <v>567</v>
      </c>
      <c r="B253" s="2" t="s">
        <v>196</v>
      </c>
      <c r="C253" s="3" t="s">
        <v>19</v>
      </c>
      <c r="D253" s="3" t="s">
        <v>30</v>
      </c>
      <c r="E253" s="4" t="s">
        <v>568</v>
      </c>
      <c r="F253" s="4">
        <v>45734.688888888886</v>
      </c>
      <c r="G253" s="4">
        <v>45734.758333333331</v>
      </c>
      <c r="H253" s="5">
        <v>95</v>
      </c>
      <c r="J253" s="3" t="s">
        <v>22</v>
      </c>
      <c r="K253" s="5">
        <v>64</v>
      </c>
      <c r="L253" s="5">
        <v>18</v>
      </c>
      <c r="M253" s="3" t="s">
        <v>50</v>
      </c>
      <c r="P253" s="3" t="s">
        <v>25</v>
      </c>
      <c r="R253" s="3" t="s">
        <v>58</v>
      </c>
      <c r="S253">
        <f>COUNTIF(A:A,A253)</f>
        <v>1</v>
      </c>
      <c r="T253" t="str">
        <f>IF(OR(H253="",LOWER(TRIM(H253&amp;""))="missing",LOWER(TRIM(H253&amp;""))=""),"Missing/",IFERROR(IF(OR(VALUE(H253)&lt;0,VALUE(H253)&gt;110),"Invalid","Valid"),"Check Format"))</f>
        <v>Valid</v>
      </c>
      <c r="U253">
        <f>IF(Raw_Data[[#This Row],[Age_Check]]="Valid",H253,"")</f>
        <v>95</v>
      </c>
      <c r="V253" t="str">
        <f>IF(OR(K253="",UPPER(TRIM(K253&amp;""))="",LOWER(TRIM(K253&amp;""))="",LOWER(TRIM(K253&amp;""))="",LOWER(TRIM(K253&amp;""))="missing"),"Missing/",IFERROR(IF(VALUE(K253)&lt;0,"Invalid","Valid"),"Check Format"))</f>
        <v>Valid</v>
      </c>
      <c r="W253" t="str">
        <f>IF(OR(E253="",F253=""),"Missing Date/Time",IFERROR(IF(F253&gt;E253,"Arrival After Appointment","OK"),"Check Format"))</f>
        <v>OK</v>
      </c>
      <c r="X253" t="str">
        <f>IF(OR(F253="",G253=""),"Missing Date/Time",IFERROR(IF(G253&lt;F253,"Discharge Before Arrival","OK"),"Check Format"))</f>
        <v>OK</v>
      </c>
    </row>
    <row r="254" spans="1:24" x14ac:dyDescent="0.25">
      <c r="A254" s="2" t="s">
        <v>569</v>
      </c>
      <c r="B254" s="2" t="s">
        <v>480</v>
      </c>
      <c r="C254" s="3" t="s">
        <v>46</v>
      </c>
      <c r="D254" s="3" t="s">
        <v>20</v>
      </c>
      <c r="E254" s="4" t="s">
        <v>570</v>
      </c>
      <c r="H254" s="5">
        <v>84</v>
      </c>
      <c r="J254" s="3" t="s">
        <v>150</v>
      </c>
      <c r="K254" s="5">
        <v>36</v>
      </c>
      <c r="L254" s="5">
        <v>6</v>
      </c>
      <c r="M254" s="3" t="s">
        <v>23</v>
      </c>
      <c r="N254" t="s">
        <v>100</v>
      </c>
      <c r="O254" s="5">
        <v>5</v>
      </c>
      <c r="P254" s="3" t="s">
        <v>80</v>
      </c>
      <c r="Q254" s="2">
        <v>71.14</v>
      </c>
      <c r="R254" s="3" t="s">
        <v>26</v>
      </c>
      <c r="S254">
        <f>COUNTIF(A:A,A254)</f>
        <v>1</v>
      </c>
      <c r="T254" t="str">
        <f>IF(OR(H254="",LOWER(TRIM(H254&amp;""))="missing",LOWER(TRIM(H254&amp;""))=""),"Missing/",IFERROR(IF(OR(VALUE(H254)&lt;0,VALUE(H254)&gt;110),"Invalid","Valid"),"Check Format"))</f>
        <v>Valid</v>
      </c>
      <c r="U254">
        <f>IF(Raw_Data[[#This Row],[Age_Check]]="Valid",H254,"")</f>
        <v>84</v>
      </c>
      <c r="V254" t="str">
        <f>IF(OR(K254="",UPPER(TRIM(K254&amp;""))="",LOWER(TRIM(K254&amp;""))="",LOWER(TRIM(K254&amp;""))="",LOWER(TRIM(K254&amp;""))="missing"),"Missing/",IFERROR(IF(VALUE(K254)&lt;0,"Invalid","Valid"),"Check Format"))</f>
        <v>Valid</v>
      </c>
      <c r="W254" t="str">
        <f>IF(OR(E254="",F254=""),"Missing Date/Time",IFERROR(IF(F254&gt;E254,"Arrival After Appointment","OK"),"Check Format"))</f>
        <v>Missing Date/Time</v>
      </c>
      <c r="X254" t="str">
        <f>IF(OR(F254="",G254=""),"Missing Date/Time",IFERROR(IF(G254&lt;F254,"Discharge Before Arrival","OK"),"Check Format"))</f>
        <v>Missing Date/Time</v>
      </c>
    </row>
    <row r="255" spans="1:24" x14ac:dyDescent="0.25">
      <c r="A255" s="2" t="s">
        <v>571</v>
      </c>
      <c r="B255" s="2" t="s">
        <v>60</v>
      </c>
      <c r="C255" s="3" t="s">
        <v>46</v>
      </c>
      <c r="D255" s="3" t="s">
        <v>47</v>
      </c>
      <c r="E255" s="4">
        <v>45480.472222222219</v>
      </c>
      <c r="F255" s="4">
        <v>45480.456944444442</v>
      </c>
      <c r="G255" s="4">
        <v>45480.488888888889</v>
      </c>
      <c r="H255" s="5">
        <v>32</v>
      </c>
      <c r="I255" s="3" t="s">
        <v>73</v>
      </c>
      <c r="J255" s="3" t="s">
        <v>62</v>
      </c>
      <c r="K255" s="5">
        <v>10</v>
      </c>
      <c r="L255" s="5">
        <v>14</v>
      </c>
      <c r="M255" s="3" t="s">
        <v>63</v>
      </c>
      <c r="N255" t="s">
        <v>74</v>
      </c>
      <c r="P255" s="3" t="s">
        <v>25</v>
      </c>
      <c r="Q255" s="2">
        <v>229.29</v>
      </c>
      <c r="R255" s="3" t="s">
        <v>75</v>
      </c>
      <c r="S255">
        <f>COUNTIF(A:A,A255)</f>
        <v>1</v>
      </c>
      <c r="T255" t="str">
        <f>IF(OR(H255="",LOWER(TRIM(H255&amp;""))="missing",LOWER(TRIM(H255&amp;""))=""),"Missing/",IFERROR(IF(OR(VALUE(H255)&lt;0,VALUE(H255)&gt;110),"Invalid","Valid"),"Check Format"))</f>
        <v>Valid</v>
      </c>
      <c r="U255">
        <f>IF(Raw_Data[[#This Row],[Age_Check]]="Valid",H255,"")</f>
        <v>32</v>
      </c>
      <c r="V255" t="str">
        <f>IF(OR(K255="",UPPER(TRIM(K255&amp;""))="",LOWER(TRIM(K255&amp;""))="",LOWER(TRIM(K255&amp;""))="",LOWER(TRIM(K255&amp;""))="missing"),"Missing/",IFERROR(IF(VALUE(K255)&lt;0,"Invalid","Valid"),"Check Format"))</f>
        <v>Valid</v>
      </c>
      <c r="W255" t="str">
        <f>IF(OR(E255="",F255=""),"Missing Date/Time",IFERROR(IF(F255&gt;E255,"Arrival After Appointment","OK"),"Check Format"))</f>
        <v>OK</v>
      </c>
      <c r="X255" t="str">
        <f>IF(OR(F255="",G255=""),"Missing Date/Time",IFERROR(IF(G255&lt;F255,"Discharge Before Arrival","OK"),"Check Format"))</f>
        <v>OK</v>
      </c>
    </row>
    <row r="256" spans="1:24" x14ac:dyDescent="0.25">
      <c r="A256" s="2" t="s">
        <v>572</v>
      </c>
      <c r="B256" s="2" t="s">
        <v>218</v>
      </c>
      <c r="C256" s="3" t="s">
        <v>94</v>
      </c>
      <c r="D256" s="3" t="s">
        <v>47</v>
      </c>
      <c r="E256" s="4">
        <v>45497.6875</v>
      </c>
      <c r="F256" s="4">
        <v>45497.673611111109</v>
      </c>
      <c r="I256" s="3" t="s">
        <v>73</v>
      </c>
      <c r="J256" s="3" t="s">
        <v>171</v>
      </c>
      <c r="K256" s="5">
        <v>24</v>
      </c>
      <c r="L256" s="5">
        <v>79</v>
      </c>
      <c r="M256" s="3" t="s">
        <v>87</v>
      </c>
      <c r="N256" t="s">
        <v>100</v>
      </c>
      <c r="P256" s="3" t="s">
        <v>25</v>
      </c>
      <c r="Q256" s="2">
        <v>184.47</v>
      </c>
      <c r="R256" s="3" t="s">
        <v>58</v>
      </c>
      <c r="S256">
        <f>COUNTIF(A:A,A256)</f>
        <v>1</v>
      </c>
      <c r="T256" t="str">
        <f>IF(OR(H256="",LOWER(TRIM(H256&amp;""))="missing",LOWER(TRIM(H256&amp;""))=""),"Missing/",IFERROR(IF(OR(VALUE(H256)&lt;0,VALUE(H256)&gt;110),"Invalid","Valid"),"Check Format"))</f>
        <v>Missing/</v>
      </c>
      <c r="U256" t="str">
        <f>IF(Raw_Data[[#This Row],[Age_Check]]="Valid",H256,"")</f>
        <v/>
      </c>
      <c r="V256" t="str">
        <f>IF(OR(K256="",UPPER(TRIM(K256&amp;""))="",LOWER(TRIM(K256&amp;""))="",LOWER(TRIM(K256&amp;""))="",LOWER(TRIM(K256&amp;""))="missing"),"Missing/",IFERROR(IF(VALUE(K256)&lt;0,"Invalid","Valid"),"Check Format"))</f>
        <v>Valid</v>
      </c>
      <c r="W256" t="str">
        <f>IF(OR(E256="",F256=""),"Missing Date/Time",IFERROR(IF(F256&gt;E256,"Arrival After Appointment","OK"),"Check Format"))</f>
        <v>OK</v>
      </c>
      <c r="X256" t="str">
        <f>IF(OR(F256="",G256=""),"Missing Date/Time",IFERROR(IF(G256&lt;F256,"Discharge Before Arrival","OK"),"Check Format"))</f>
        <v>Missing Date/Time</v>
      </c>
    </row>
    <row r="257" spans="1:24" x14ac:dyDescent="0.25">
      <c r="A257" s="2" t="s">
        <v>573</v>
      </c>
      <c r="B257" s="2" t="s">
        <v>574</v>
      </c>
      <c r="C257" s="3" t="s">
        <v>46</v>
      </c>
      <c r="D257" s="3" t="s">
        <v>55</v>
      </c>
      <c r="E257" s="4">
        <v>45506.729166666664</v>
      </c>
      <c r="F257" s="4">
        <v>45330.708333333336</v>
      </c>
      <c r="G257" s="4">
        <v>45330.784722222219</v>
      </c>
      <c r="I257" s="3" t="s">
        <v>73</v>
      </c>
      <c r="J257" s="3" t="s">
        <v>22</v>
      </c>
      <c r="K257" s="5">
        <v>64</v>
      </c>
      <c r="L257" s="5">
        <v>16</v>
      </c>
      <c r="M257" s="3" t="s">
        <v>50</v>
      </c>
      <c r="N257" t="s">
        <v>74</v>
      </c>
      <c r="O257" s="5">
        <v>4</v>
      </c>
      <c r="P257" s="3" t="s">
        <v>25</v>
      </c>
      <c r="Q257" s="2">
        <v>201.02</v>
      </c>
      <c r="R257" s="3" t="s">
        <v>75</v>
      </c>
      <c r="S257">
        <f>COUNTIF(A:A,A257)</f>
        <v>1</v>
      </c>
      <c r="T257" t="str">
        <f>IF(OR(H257="",LOWER(TRIM(H257&amp;""))="missing",LOWER(TRIM(H257&amp;""))=""),"Missing/",IFERROR(IF(OR(VALUE(H257)&lt;0,VALUE(H257)&gt;110),"Invalid","Valid"),"Check Format"))</f>
        <v>Missing/</v>
      </c>
      <c r="U257" t="str">
        <f>IF(Raw_Data[[#This Row],[Age_Check]]="Valid",H257,"")</f>
        <v/>
      </c>
      <c r="V257" t="str">
        <f>IF(OR(K257="",UPPER(TRIM(K257&amp;""))="",LOWER(TRIM(K257&amp;""))="",LOWER(TRIM(K257&amp;""))="",LOWER(TRIM(K257&amp;""))="missing"),"Missing/",IFERROR(IF(VALUE(K257)&lt;0,"Invalid","Valid"),"Check Format"))</f>
        <v>Valid</v>
      </c>
      <c r="W257" t="str">
        <f>IF(OR(E257="",F257=""),"Missing Date/Time",IFERROR(IF(F257&gt;E257,"Arrival After Appointment","OK"),"Check Format"))</f>
        <v>OK</v>
      </c>
      <c r="X257" t="str">
        <f>IF(OR(F257="",G257=""),"Missing Date/Time",IFERROR(IF(G257&lt;F257,"Discharge Before Arrival","OK"),"Check Format"))</f>
        <v>OK</v>
      </c>
    </row>
    <row r="258" spans="1:24" x14ac:dyDescent="0.25">
      <c r="A258" s="2" t="s">
        <v>575</v>
      </c>
      <c r="B258" s="2" t="s">
        <v>576</v>
      </c>
      <c r="D258" s="3" t="s">
        <v>106</v>
      </c>
      <c r="E258" s="4" t="s">
        <v>577</v>
      </c>
      <c r="F258" s="4">
        <v>45954.344444444447</v>
      </c>
      <c r="G258" s="4">
        <v>45954.400000000001</v>
      </c>
      <c r="H258" s="5">
        <v>22</v>
      </c>
      <c r="I258" s="3" t="s">
        <v>95</v>
      </c>
      <c r="K258" s="5">
        <v>37</v>
      </c>
      <c r="L258" s="5">
        <v>34</v>
      </c>
      <c r="M258" s="3" t="s">
        <v>50</v>
      </c>
      <c r="N258" t="s">
        <v>103</v>
      </c>
      <c r="P258" s="3" t="s">
        <v>42</v>
      </c>
      <c r="Q258" s="2">
        <v>349.81</v>
      </c>
      <c r="R258" s="3" t="s">
        <v>58</v>
      </c>
      <c r="S258">
        <f>COUNTIF(A:A,A258)</f>
        <v>1</v>
      </c>
      <c r="T258" t="str">
        <f>IF(OR(H258="",LOWER(TRIM(H258&amp;""))="missing",LOWER(TRIM(H258&amp;""))=""),"Missing/",IFERROR(IF(OR(VALUE(H258)&lt;0,VALUE(H258)&gt;110),"Invalid","Valid"),"Check Format"))</f>
        <v>Valid</v>
      </c>
      <c r="U258">
        <f>IF(Raw_Data[[#This Row],[Age_Check]]="Valid",H258,"")</f>
        <v>22</v>
      </c>
      <c r="V258" t="str">
        <f>IF(OR(K258="",UPPER(TRIM(K258&amp;""))="",LOWER(TRIM(K258&amp;""))="",LOWER(TRIM(K258&amp;""))="",LOWER(TRIM(K258&amp;""))="missing"),"Missing/",IFERROR(IF(VALUE(K258)&lt;0,"Invalid","Valid"),"Check Format"))</f>
        <v>Valid</v>
      </c>
      <c r="W258" t="str">
        <f>IF(OR(E258="",F258=""),"Missing Date/Time",IFERROR(IF(F258&gt;E258,"Arrival After Appointment","OK"),"Check Format"))</f>
        <v>OK</v>
      </c>
      <c r="X258" t="str">
        <f>IF(OR(F258="",G258=""),"Missing Date/Time",IFERROR(IF(G258&lt;F258,"Discharge Before Arrival","OK"),"Check Format"))</f>
        <v>OK</v>
      </c>
    </row>
    <row r="259" spans="1:24" x14ac:dyDescent="0.25">
      <c r="A259" s="2" t="s">
        <v>578</v>
      </c>
      <c r="B259" s="2" t="s">
        <v>579</v>
      </c>
      <c r="C259" s="3" t="s">
        <v>46</v>
      </c>
      <c r="D259" s="3" t="s">
        <v>174</v>
      </c>
      <c r="E259" s="4">
        <v>45328.416666666664</v>
      </c>
      <c r="F259" s="4">
        <v>45328.395833333336</v>
      </c>
      <c r="G259" s="4">
        <v>45328.490277777775</v>
      </c>
      <c r="H259" s="5">
        <v>57</v>
      </c>
      <c r="I259" s="3" t="s">
        <v>39</v>
      </c>
      <c r="J259" s="3" t="s">
        <v>2639</v>
      </c>
      <c r="K259" s="5">
        <v>54</v>
      </c>
      <c r="L259" s="5">
        <v>52</v>
      </c>
      <c r="M259" s="3" t="s">
        <v>87</v>
      </c>
      <c r="N259" t="s">
        <v>91</v>
      </c>
      <c r="O259" s="5">
        <v>1</v>
      </c>
      <c r="P259" s="3" t="s">
        <v>80</v>
      </c>
      <c r="Q259" s="2">
        <v>88.75</v>
      </c>
      <c r="R259" s="3" t="s">
        <v>26</v>
      </c>
      <c r="S259">
        <f>COUNTIF(A:A,A259)</f>
        <v>1</v>
      </c>
      <c r="T259" t="str">
        <f>IF(OR(H259="",LOWER(TRIM(H259&amp;""))="missing",LOWER(TRIM(H259&amp;""))=""),"Missing/",IFERROR(IF(OR(VALUE(H259)&lt;0,VALUE(H259)&gt;110),"Invalid","Valid"),"Check Format"))</f>
        <v>Valid</v>
      </c>
      <c r="U259">
        <f>IF(Raw_Data[[#This Row],[Age_Check]]="Valid",H259,"")</f>
        <v>57</v>
      </c>
      <c r="V259" t="str">
        <f>IF(OR(K259="",UPPER(TRIM(K259&amp;""))="",LOWER(TRIM(K259&amp;""))="",LOWER(TRIM(K259&amp;""))="",LOWER(TRIM(K259&amp;""))="missing"),"Missing/",IFERROR(IF(VALUE(K259)&lt;0,"Invalid","Valid"),"Check Format"))</f>
        <v>Valid</v>
      </c>
      <c r="W259" t="str">
        <f>IF(OR(E259="",F259=""),"Missing Date/Time",IFERROR(IF(F259&gt;E259,"Arrival After Appointment","OK"),"Check Format"))</f>
        <v>OK</v>
      </c>
      <c r="X259" t="str">
        <f>IF(OR(F259="",G259=""),"Missing Date/Time",IFERROR(IF(G259&lt;F259,"Discharge Before Arrival","OK"),"Check Format"))</f>
        <v>OK</v>
      </c>
    </row>
    <row r="260" spans="1:24" x14ac:dyDescent="0.25">
      <c r="A260" s="2" t="s">
        <v>580</v>
      </c>
      <c r="B260" s="2" t="s">
        <v>581</v>
      </c>
      <c r="C260" s="3" t="s">
        <v>94</v>
      </c>
      <c r="D260" s="3" t="s">
        <v>209</v>
      </c>
      <c r="E260" s="4">
        <v>45444.78125</v>
      </c>
      <c r="F260" s="4">
        <v>45444.78125</v>
      </c>
      <c r="G260" s="4">
        <v>45444.863888888889</v>
      </c>
      <c r="H260" s="5">
        <v>5</v>
      </c>
      <c r="I260" s="3" t="s">
        <v>95</v>
      </c>
      <c r="J260" s="3" t="s">
        <v>2639</v>
      </c>
      <c r="K260" s="5">
        <v>56</v>
      </c>
      <c r="L260" s="5">
        <v>63</v>
      </c>
      <c r="M260" s="3" t="s">
        <v>87</v>
      </c>
      <c r="N260" t="s">
        <v>69</v>
      </c>
      <c r="O260" s="5">
        <v>1</v>
      </c>
      <c r="P260" s="3" t="s">
        <v>80</v>
      </c>
      <c r="Q260" s="2">
        <v>94.84</v>
      </c>
      <c r="R260" s="3" t="s">
        <v>26</v>
      </c>
      <c r="S260">
        <f>COUNTIF(A:A,A260)</f>
        <v>1</v>
      </c>
      <c r="T260" t="str">
        <f>IF(OR(H260="",LOWER(TRIM(H260&amp;""))="missing",LOWER(TRIM(H260&amp;""))=""),"Missing/",IFERROR(IF(OR(VALUE(H260)&lt;0,VALUE(H260)&gt;110),"Invalid","Valid"),"Check Format"))</f>
        <v>Valid</v>
      </c>
      <c r="U260">
        <f>IF(Raw_Data[[#This Row],[Age_Check]]="Valid",H260,"")</f>
        <v>5</v>
      </c>
      <c r="V260" t="str">
        <f>IF(OR(K260="",UPPER(TRIM(K260&amp;""))="",LOWER(TRIM(K260&amp;""))="",LOWER(TRIM(K260&amp;""))="",LOWER(TRIM(K260&amp;""))="missing"),"Missing/",IFERROR(IF(VALUE(K260)&lt;0,"Invalid","Valid"),"Check Format"))</f>
        <v>Valid</v>
      </c>
      <c r="W260" t="str">
        <f>IF(OR(E260="",F260=""),"Missing Date/Time",IFERROR(IF(F260&gt;E260,"Arrival After Appointment","OK"),"Check Format"))</f>
        <v>OK</v>
      </c>
      <c r="X260" t="str">
        <f>IF(OR(F260="",G260=""),"Missing Date/Time",IFERROR(IF(G260&lt;F260,"Discharge Before Arrival","OK"),"Check Format"))</f>
        <v>OK</v>
      </c>
    </row>
    <row r="261" spans="1:24" x14ac:dyDescent="0.25">
      <c r="A261" s="2" t="s">
        <v>582</v>
      </c>
      <c r="B261" s="2" t="s">
        <v>247</v>
      </c>
      <c r="C261" s="3" t="s">
        <v>94</v>
      </c>
      <c r="D261" s="3" t="s">
        <v>38</v>
      </c>
      <c r="E261" s="4">
        <v>45901.677083333336</v>
      </c>
      <c r="F261" s="4">
        <v>45901.662499999999</v>
      </c>
      <c r="G261" s="4">
        <v>45901.791666666664</v>
      </c>
      <c r="H261" s="5">
        <v>41</v>
      </c>
      <c r="I261" s="3" t="s">
        <v>95</v>
      </c>
      <c r="J261" s="3" t="s">
        <v>62</v>
      </c>
      <c r="K261" s="5">
        <v>121</v>
      </c>
      <c r="L261" s="5">
        <v>44</v>
      </c>
      <c r="M261" s="3" t="s">
        <v>68</v>
      </c>
      <c r="N261" t="s">
        <v>91</v>
      </c>
      <c r="P261" s="3" t="s">
        <v>80</v>
      </c>
      <c r="Q261" s="2">
        <v>100</v>
      </c>
      <c r="R261" s="3" t="s">
        <v>43</v>
      </c>
      <c r="S261">
        <f>COUNTIF(A:A,A261)</f>
        <v>1</v>
      </c>
      <c r="T261" t="str">
        <f>IF(OR(H261="",LOWER(TRIM(H261&amp;""))="missing",LOWER(TRIM(H261&amp;""))=""),"Missing/",IFERROR(IF(OR(VALUE(H261)&lt;0,VALUE(H261)&gt;110),"Invalid","Valid"),"Check Format"))</f>
        <v>Valid</v>
      </c>
      <c r="U261">
        <f>IF(Raw_Data[[#This Row],[Age_Check]]="Valid",H261,"")</f>
        <v>41</v>
      </c>
      <c r="V261" t="str">
        <f>IF(OR(K261="",UPPER(TRIM(K261&amp;""))="",LOWER(TRIM(K261&amp;""))="",LOWER(TRIM(K261&amp;""))="",LOWER(TRIM(K261&amp;""))="missing"),"Missing/",IFERROR(IF(VALUE(K261)&lt;0,"Invalid","Valid"),"Check Format"))</f>
        <v>Valid</v>
      </c>
      <c r="W261" t="str">
        <f>IF(OR(E261="",F261=""),"Missing Date/Time",IFERROR(IF(F261&gt;E261,"Arrival After Appointment","OK"),"Check Format"))</f>
        <v>OK</v>
      </c>
      <c r="X261" t="str">
        <f>IF(OR(F261="",G261=""),"Missing Date/Time",IFERROR(IF(G261&lt;F261,"Discharge Before Arrival","OK"),"Check Format"))</f>
        <v>OK</v>
      </c>
    </row>
    <row r="262" spans="1:24" x14ac:dyDescent="0.25">
      <c r="A262" s="2" t="s">
        <v>583</v>
      </c>
      <c r="B262" s="2" t="s">
        <v>584</v>
      </c>
      <c r="D262" s="3" t="s">
        <v>38</v>
      </c>
      <c r="E262" s="4">
        <v>45887.298611111109</v>
      </c>
      <c r="F262" s="4">
        <v>45887.298611111109</v>
      </c>
      <c r="G262" s="4">
        <v>45887.388194444444</v>
      </c>
      <c r="J262" s="3" t="s">
        <v>62</v>
      </c>
      <c r="K262" s="5">
        <v>80</v>
      </c>
      <c r="L262" s="5">
        <v>49</v>
      </c>
      <c r="M262" s="3" t="s">
        <v>63</v>
      </c>
      <c r="N262" t="s">
        <v>69</v>
      </c>
      <c r="O262" s="5">
        <v>2</v>
      </c>
      <c r="P262" s="3" t="s">
        <v>80</v>
      </c>
      <c r="Q262" s="2">
        <v>194.74</v>
      </c>
      <c r="R262" s="3" t="s">
        <v>26</v>
      </c>
      <c r="S262">
        <f>COUNTIF(A:A,A262)</f>
        <v>1</v>
      </c>
      <c r="T262" t="str">
        <f>IF(OR(H262="",LOWER(TRIM(H262&amp;""))="missing",LOWER(TRIM(H262&amp;""))=""),"Missing/",IFERROR(IF(OR(VALUE(H262)&lt;0,VALUE(H262)&gt;110),"Invalid","Valid"),"Check Format"))</f>
        <v>Missing/</v>
      </c>
      <c r="U262" t="str">
        <f>IF(Raw_Data[[#This Row],[Age_Check]]="Valid",H262,"")</f>
        <v/>
      </c>
      <c r="V262" t="str">
        <f>IF(OR(K262="",UPPER(TRIM(K262&amp;""))="",LOWER(TRIM(K262&amp;""))="",LOWER(TRIM(K262&amp;""))="",LOWER(TRIM(K262&amp;""))="missing"),"Missing/",IFERROR(IF(VALUE(K262)&lt;0,"Invalid","Valid"),"Check Format"))</f>
        <v>Valid</v>
      </c>
      <c r="W262" t="str">
        <f>IF(OR(E262="",F262=""),"Missing Date/Time",IFERROR(IF(F262&gt;E262,"Arrival After Appointment","OK"),"Check Format"))</f>
        <v>OK</v>
      </c>
      <c r="X262" t="str">
        <f>IF(OR(F262="",G262=""),"Missing Date/Time",IFERROR(IF(G262&lt;F262,"Discharge Before Arrival","OK"),"Check Format"))</f>
        <v>OK</v>
      </c>
    </row>
    <row r="263" spans="1:24" x14ac:dyDescent="0.25">
      <c r="A263" s="2" t="s">
        <v>585</v>
      </c>
      <c r="B263" s="2" t="s">
        <v>586</v>
      </c>
      <c r="C263" s="3" t="s">
        <v>46</v>
      </c>
      <c r="D263" s="3" t="s">
        <v>99</v>
      </c>
      <c r="E263" s="4">
        <v>46000.322916666664</v>
      </c>
      <c r="F263" s="4">
        <v>46000.322916666664</v>
      </c>
      <c r="G263" s="4">
        <v>46000.337500000001</v>
      </c>
      <c r="H263" s="5">
        <v>145</v>
      </c>
      <c r="I263" s="3" t="s">
        <v>73</v>
      </c>
      <c r="J263" s="3" t="s">
        <v>171</v>
      </c>
      <c r="K263" s="5">
        <v>3</v>
      </c>
      <c r="L263" s="5">
        <v>18</v>
      </c>
      <c r="M263" s="3" t="s">
        <v>41</v>
      </c>
      <c r="O263" s="5">
        <v>0</v>
      </c>
      <c r="Q263" s="2">
        <v>125.2</v>
      </c>
      <c r="R263" s="3" t="s">
        <v>43</v>
      </c>
      <c r="S263">
        <f>COUNTIF(A:A,A263)</f>
        <v>1</v>
      </c>
      <c r="T263" t="str">
        <f>IF(OR(H263="",LOWER(TRIM(H263&amp;""))="missing",LOWER(TRIM(H263&amp;""))=""),"Missing/",IFERROR(IF(OR(VALUE(H263)&lt;0,VALUE(H263)&gt;110),"Invalid","Valid"),"Check Format"))</f>
        <v>Invalid</v>
      </c>
      <c r="U263" t="str">
        <f>IF(Raw_Data[[#This Row],[Age_Check]]="Valid",H263,"")</f>
        <v/>
      </c>
      <c r="V263" t="str">
        <f>IF(OR(K263="",UPPER(TRIM(K263&amp;""))="",LOWER(TRIM(K263&amp;""))="",LOWER(TRIM(K263&amp;""))="",LOWER(TRIM(K263&amp;""))="missing"),"Missing/",IFERROR(IF(VALUE(K263)&lt;0,"Invalid","Valid"),"Check Format"))</f>
        <v>Valid</v>
      </c>
      <c r="W263" t="str">
        <f>IF(OR(E263="",F263=""),"Missing Date/Time",IFERROR(IF(F263&gt;E263,"Arrival After Appointment","OK"),"Check Format"))</f>
        <v>OK</v>
      </c>
      <c r="X263" t="str">
        <f>IF(OR(F263="",G263=""),"Missing Date/Time",IFERROR(IF(G263&lt;F263,"Discharge Before Arrival","OK"),"Check Format"))</f>
        <v>OK</v>
      </c>
    </row>
    <row r="264" spans="1:24" x14ac:dyDescent="0.25">
      <c r="A264" s="2" t="s">
        <v>587</v>
      </c>
      <c r="B264" s="2" t="s">
        <v>588</v>
      </c>
      <c r="C264" s="3" t="s">
        <v>29</v>
      </c>
      <c r="D264" s="3" t="s">
        <v>55</v>
      </c>
      <c r="E264" s="4">
        <v>45993.607638888891</v>
      </c>
      <c r="F264" s="4">
        <v>45993.598611111112</v>
      </c>
      <c r="G264" s="4">
        <v>45993.675694444442</v>
      </c>
      <c r="H264" s="5">
        <v>78</v>
      </c>
      <c r="I264" s="3" t="s">
        <v>73</v>
      </c>
      <c r="J264" s="3" t="s">
        <v>171</v>
      </c>
      <c r="K264" s="5">
        <v>55</v>
      </c>
      <c r="L264" s="5">
        <v>43</v>
      </c>
      <c r="M264" s="3" t="s">
        <v>87</v>
      </c>
      <c r="O264" s="5">
        <v>2</v>
      </c>
      <c r="P264" s="3" t="s">
        <v>80</v>
      </c>
      <c r="Q264" s="2">
        <v>159.22</v>
      </c>
      <c r="R264" s="3" t="s">
        <v>58</v>
      </c>
      <c r="S264">
        <f>COUNTIF(A:A,A264)</f>
        <v>1</v>
      </c>
      <c r="T264" t="str">
        <f>IF(OR(H264="",LOWER(TRIM(H264&amp;""))="missing",LOWER(TRIM(H264&amp;""))=""),"Missing/",IFERROR(IF(OR(VALUE(H264)&lt;0,VALUE(H264)&gt;110),"Invalid","Valid"),"Check Format"))</f>
        <v>Valid</v>
      </c>
      <c r="U264">
        <f>IF(Raw_Data[[#This Row],[Age_Check]]="Valid",H264,"")</f>
        <v>78</v>
      </c>
      <c r="V264" t="str">
        <f>IF(OR(K264="",UPPER(TRIM(K264&amp;""))="",LOWER(TRIM(K264&amp;""))="",LOWER(TRIM(K264&amp;""))="",LOWER(TRIM(K264&amp;""))="missing"),"Missing/",IFERROR(IF(VALUE(K264)&lt;0,"Invalid","Valid"),"Check Format"))</f>
        <v>Valid</v>
      </c>
      <c r="W264" t="str">
        <f>IF(OR(E264="",F264=""),"Missing Date/Time",IFERROR(IF(F264&gt;E264,"Arrival After Appointment","OK"),"Check Format"))</f>
        <v>OK</v>
      </c>
      <c r="X264" t="str">
        <f>IF(OR(F264="",G264=""),"Missing Date/Time",IFERROR(IF(G264&lt;F264,"Discharge Before Arrival","OK"),"Check Format"))</f>
        <v>OK</v>
      </c>
    </row>
    <row r="265" spans="1:24" x14ac:dyDescent="0.25">
      <c r="A265" s="2" t="s">
        <v>589</v>
      </c>
      <c r="B265" s="2" t="s">
        <v>590</v>
      </c>
      <c r="C265" s="3" t="s">
        <v>19</v>
      </c>
      <c r="D265" s="3" t="s">
        <v>20</v>
      </c>
      <c r="E265" s="4">
        <v>45625.552083333336</v>
      </c>
      <c r="F265" s="4">
        <v>45625.543055555558</v>
      </c>
      <c r="G265" s="4">
        <v>45625.586111111108</v>
      </c>
      <c r="H265" s="5">
        <v>48</v>
      </c>
      <c r="I265" s="3" t="s">
        <v>73</v>
      </c>
      <c r="J265" s="3" t="s">
        <v>150</v>
      </c>
      <c r="K265" s="5">
        <v>11</v>
      </c>
      <c r="L265" s="5">
        <v>38</v>
      </c>
      <c r="M265" s="3" t="s">
        <v>32</v>
      </c>
      <c r="N265" t="s">
        <v>74</v>
      </c>
      <c r="O265" s="5">
        <v>2</v>
      </c>
      <c r="P265" s="3" t="s">
        <v>25</v>
      </c>
      <c r="Q265" s="2">
        <v>193.85</v>
      </c>
      <c r="R265" s="3" t="s">
        <v>58</v>
      </c>
      <c r="S265">
        <f>COUNTIF(A:A,A265)</f>
        <v>1</v>
      </c>
      <c r="T265" t="str">
        <f>IF(OR(H265="",LOWER(TRIM(H265&amp;""))="missing",LOWER(TRIM(H265&amp;""))=""),"Missing/",IFERROR(IF(OR(VALUE(H265)&lt;0,VALUE(H265)&gt;110),"Invalid","Valid"),"Check Format"))</f>
        <v>Valid</v>
      </c>
      <c r="U265">
        <f>IF(Raw_Data[[#This Row],[Age_Check]]="Valid",H265,"")</f>
        <v>48</v>
      </c>
      <c r="V265" t="str">
        <f>IF(OR(K265="",UPPER(TRIM(K265&amp;""))="",LOWER(TRIM(K265&amp;""))="",LOWER(TRIM(K265&amp;""))="",LOWER(TRIM(K265&amp;""))="missing"),"Missing/",IFERROR(IF(VALUE(K265)&lt;0,"Invalid","Valid"),"Check Format"))</f>
        <v>Valid</v>
      </c>
      <c r="W265" t="str">
        <f>IF(OR(E265="",F265=""),"Missing Date/Time",IFERROR(IF(F265&gt;E265,"Arrival After Appointment","OK"),"Check Format"))</f>
        <v>OK</v>
      </c>
      <c r="X265" t="str">
        <f>IF(OR(F265="",G265=""),"Missing Date/Time",IFERROR(IF(G265&lt;F265,"Discharge Before Arrival","OK"),"Check Format"))</f>
        <v>OK</v>
      </c>
    </row>
    <row r="266" spans="1:24" x14ac:dyDescent="0.25">
      <c r="A266" s="2" t="s">
        <v>591</v>
      </c>
      <c r="B266" s="2" t="s">
        <v>530</v>
      </c>
      <c r="C266" s="3" t="s">
        <v>46</v>
      </c>
      <c r="D266" s="3" t="s">
        <v>55</v>
      </c>
      <c r="E266" s="4">
        <v>45659.46875</v>
      </c>
      <c r="F266" s="4">
        <v>45659.466666666667</v>
      </c>
      <c r="G266" s="4">
        <v>45659.557638888888</v>
      </c>
      <c r="H266" s="5">
        <v>53</v>
      </c>
      <c r="I266" s="3" t="s">
        <v>39</v>
      </c>
      <c r="J266" s="3" t="s">
        <v>150</v>
      </c>
      <c r="K266" s="5">
        <v>77</v>
      </c>
      <c r="L266" s="5">
        <v>51</v>
      </c>
      <c r="M266" s="3" t="s">
        <v>50</v>
      </c>
      <c r="N266" t="s">
        <v>103</v>
      </c>
      <c r="P266" s="3" t="s">
        <v>25</v>
      </c>
      <c r="Q266" s="2">
        <v>211.71</v>
      </c>
      <c r="R266" s="3" t="s">
        <v>26</v>
      </c>
      <c r="S266">
        <f>COUNTIF(A:A,A266)</f>
        <v>1</v>
      </c>
      <c r="T266" t="str">
        <f>IF(OR(H266="",LOWER(TRIM(H266&amp;""))="missing",LOWER(TRIM(H266&amp;""))=""),"Missing/",IFERROR(IF(OR(VALUE(H266)&lt;0,VALUE(H266)&gt;110),"Invalid","Valid"),"Check Format"))</f>
        <v>Valid</v>
      </c>
      <c r="U266">
        <f>IF(Raw_Data[[#This Row],[Age_Check]]="Valid",H266,"")</f>
        <v>53</v>
      </c>
      <c r="V266" t="str">
        <f>IF(OR(K266="",UPPER(TRIM(K266&amp;""))="",LOWER(TRIM(K266&amp;""))="",LOWER(TRIM(K266&amp;""))="",LOWER(TRIM(K266&amp;""))="missing"),"Missing/",IFERROR(IF(VALUE(K266)&lt;0,"Invalid","Valid"),"Check Format"))</f>
        <v>Valid</v>
      </c>
      <c r="W266" t="str">
        <f>IF(OR(E266="",F266=""),"Missing Date/Time",IFERROR(IF(F266&gt;E266,"Arrival After Appointment","OK"),"Check Format"))</f>
        <v>OK</v>
      </c>
      <c r="X266" t="str">
        <f>IF(OR(F266="",G266=""),"Missing Date/Time",IFERROR(IF(G266&lt;F266,"Discharge Before Arrival","OK"),"Check Format"))</f>
        <v>OK</v>
      </c>
    </row>
    <row r="267" spans="1:24" x14ac:dyDescent="0.25">
      <c r="A267" s="2" t="s">
        <v>592</v>
      </c>
      <c r="B267" s="2" t="s">
        <v>593</v>
      </c>
      <c r="C267" s="3" t="s">
        <v>94</v>
      </c>
      <c r="D267" s="3" t="s">
        <v>106</v>
      </c>
      <c r="E267" s="4">
        <v>45826.59375</v>
      </c>
      <c r="F267" s="4">
        <v>45826.588888888888</v>
      </c>
      <c r="G267" s="4">
        <v>45826.665972222225</v>
      </c>
      <c r="H267" s="5">
        <v>74</v>
      </c>
      <c r="J267" s="3" t="s">
        <v>62</v>
      </c>
      <c r="K267" s="5">
        <v>74</v>
      </c>
      <c r="L267" s="5">
        <v>30</v>
      </c>
      <c r="M267" s="3" t="s">
        <v>68</v>
      </c>
      <c r="O267" s="5">
        <v>1</v>
      </c>
      <c r="P267" s="3" t="s">
        <v>25</v>
      </c>
      <c r="Q267" s="2">
        <v>12.12</v>
      </c>
      <c r="R267" s="3" t="s">
        <v>26</v>
      </c>
      <c r="S267">
        <f>COUNTIF(A:A,A267)</f>
        <v>1</v>
      </c>
      <c r="T267" t="str">
        <f>IF(OR(H267="",LOWER(TRIM(H267&amp;""))="missing",LOWER(TRIM(H267&amp;""))=""),"Missing/",IFERROR(IF(OR(VALUE(H267)&lt;0,VALUE(H267)&gt;110),"Invalid","Valid"),"Check Format"))</f>
        <v>Valid</v>
      </c>
      <c r="U267">
        <f>IF(Raw_Data[[#This Row],[Age_Check]]="Valid",H267,"")</f>
        <v>74</v>
      </c>
      <c r="V267" t="str">
        <f>IF(OR(K267="",UPPER(TRIM(K267&amp;""))="",LOWER(TRIM(K267&amp;""))="",LOWER(TRIM(K267&amp;""))="",LOWER(TRIM(K267&amp;""))="missing"),"Missing/",IFERROR(IF(VALUE(K267)&lt;0,"Invalid","Valid"),"Check Format"))</f>
        <v>Valid</v>
      </c>
      <c r="W267" t="str">
        <f>IF(OR(E267="",F267=""),"Missing Date/Time",IFERROR(IF(F267&gt;E267,"Arrival After Appointment","OK"),"Check Format"))</f>
        <v>OK</v>
      </c>
      <c r="X267" t="str">
        <f>IF(OR(F267="",G267=""),"Missing Date/Time",IFERROR(IF(G267&lt;F267,"Discharge Before Arrival","OK"),"Check Format"))</f>
        <v>OK</v>
      </c>
    </row>
    <row r="268" spans="1:24" x14ac:dyDescent="0.25">
      <c r="A268" s="2" t="s">
        <v>594</v>
      </c>
      <c r="B268" s="2" t="s">
        <v>371</v>
      </c>
      <c r="C268" s="3" t="s">
        <v>46</v>
      </c>
      <c r="D268" s="3" t="s">
        <v>20</v>
      </c>
      <c r="E268" s="4">
        <v>46005.357638888891</v>
      </c>
      <c r="F268" s="4">
        <v>46005.348611111112</v>
      </c>
      <c r="G268" s="4">
        <v>46005.432638888888</v>
      </c>
      <c r="I268" s="3" t="s">
        <v>73</v>
      </c>
      <c r="J268" s="3" t="s">
        <v>62</v>
      </c>
      <c r="K268" s="5">
        <v>73</v>
      </c>
      <c r="L268" s="5">
        <v>35</v>
      </c>
      <c r="M268" s="3" t="s">
        <v>23</v>
      </c>
      <c r="N268" t="s">
        <v>74</v>
      </c>
      <c r="O268" s="5">
        <v>3</v>
      </c>
      <c r="P268" s="3" t="s">
        <v>42</v>
      </c>
      <c r="Q268" s="2">
        <v>166.73</v>
      </c>
      <c r="R268" s="3" t="s">
        <v>26</v>
      </c>
      <c r="S268">
        <f>COUNTIF(A:A,A268)</f>
        <v>1</v>
      </c>
      <c r="T268" t="str">
        <f>IF(OR(H268="",LOWER(TRIM(H268&amp;""))="missing",LOWER(TRIM(H268&amp;""))=""),"Missing/",IFERROR(IF(OR(VALUE(H268)&lt;0,VALUE(H268)&gt;110),"Invalid","Valid"),"Check Format"))</f>
        <v>Missing/</v>
      </c>
      <c r="U268" t="str">
        <f>IF(Raw_Data[[#This Row],[Age_Check]]="Valid",H268,"")</f>
        <v/>
      </c>
      <c r="V268" t="str">
        <f>IF(OR(K268="",UPPER(TRIM(K268&amp;""))="",LOWER(TRIM(K268&amp;""))="",LOWER(TRIM(K268&amp;""))="",LOWER(TRIM(K268&amp;""))="missing"),"Missing/",IFERROR(IF(VALUE(K268)&lt;0,"Invalid","Valid"),"Check Format"))</f>
        <v>Valid</v>
      </c>
      <c r="W268" t="str">
        <f>IF(OR(E268="",F268=""),"Missing Date/Time",IFERROR(IF(F268&gt;E268,"Arrival After Appointment","OK"),"Check Format"))</f>
        <v>OK</v>
      </c>
      <c r="X268" t="str">
        <f>IF(OR(F268="",G268=""),"Missing Date/Time",IFERROR(IF(G268&lt;F268,"Discharge Before Arrival","OK"),"Check Format"))</f>
        <v>OK</v>
      </c>
    </row>
    <row r="269" spans="1:24" x14ac:dyDescent="0.25">
      <c r="A269" s="2" t="s">
        <v>595</v>
      </c>
      <c r="B269" s="2" t="s">
        <v>596</v>
      </c>
      <c r="C269" s="3" t="s">
        <v>46</v>
      </c>
      <c r="D269" s="3" t="s">
        <v>38</v>
      </c>
      <c r="E269" s="4" t="s">
        <v>597</v>
      </c>
      <c r="F269" s="4">
        <v>45433.769444444442</v>
      </c>
      <c r="G269" s="4">
        <v>45433.788194444445</v>
      </c>
      <c r="H269" s="5">
        <v>145</v>
      </c>
      <c r="I269" s="3" t="s">
        <v>95</v>
      </c>
      <c r="J269" s="3" t="s">
        <v>171</v>
      </c>
      <c r="K269" s="5">
        <v>13</v>
      </c>
      <c r="L269" s="5">
        <v>12</v>
      </c>
      <c r="M269" s="3" t="s">
        <v>63</v>
      </c>
      <c r="N269" t="s">
        <v>69</v>
      </c>
      <c r="O269" s="5">
        <v>6</v>
      </c>
      <c r="P269" s="3" t="s">
        <v>25</v>
      </c>
      <c r="Q269" s="2">
        <v>229.25</v>
      </c>
      <c r="R269" s="3" t="s">
        <v>58</v>
      </c>
      <c r="S269">
        <f>COUNTIF(A:A,A269)</f>
        <v>1</v>
      </c>
      <c r="T269" t="str">
        <f>IF(OR(H269="",LOWER(TRIM(H269&amp;""))="missing",LOWER(TRIM(H269&amp;""))=""),"Missing/",IFERROR(IF(OR(VALUE(H269)&lt;0,VALUE(H269)&gt;110),"Invalid","Valid"),"Check Format"))</f>
        <v>Invalid</v>
      </c>
      <c r="U269" t="str">
        <f>IF(Raw_Data[[#This Row],[Age_Check]]="Valid",H269,"")</f>
        <v/>
      </c>
      <c r="V269" t="str">
        <f>IF(OR(K269="",UPPER(TRIM(K269&amp;""))="",LOWER(TRIM(K269&amp;""))="",LOWER(TRIM(K269&amp;""))="",LOWER(TRIM(K269&amp;""))="missing"),"Missing/",IFERROR(IF(VALUE(K269)&lt;0,"Invalid","Valid"),"Check Format"))</f>
        <v>Valid</v>
      </c>
      <c r="W269" t="str">
        <f>IF(OR(E269="",F269=""),"Missing Date/Time",IFERROR(IF(F269&gt;E269,"Arrival After Appointment","OK"),"Check Format"))</f>
        <v>OK</v>
      </c>
      <c r="X269" t="str">
        <f>IF(OR(F269="",G269=""),"Missing Date/Time",IFERROR(IF(G269&lt;F269,"Discharge Before Arrival","OK"),"Check Format"))</f>
        <v>OK</v>
      </c>
    </row>
    <row r="270" spans="1:24" x14ac:dyDescent="0.25">
      <c r="A270" s="2" t="s">
        <v>598</v>
      </c>
      <c r="B270" s="2" t="s">
        <v>599</v>
      </c>
      <c r="C270" s="3" t="s">
        <v>46</v>
      </c>
      <c r="D270" s="3" t="s">
        <v>66</v>
      </c>
      <c r="E270" s="4">
        <v>45819.725694444445</v>
      </c>
      <c r="F270" s="4">
        <v>45819.722222222219</v>
      </c>
      <c r="G270" s="4">
        <v>45819.795138888891</v>
      </c>
      <c r="H270" s="5">
        <v>145</v>
      </c>
      <c r="I270" s="3" t="s">
        <v>73</v>
      </c>
      <c r="J270" s="3" t="s">
        <v>67</v>
      </c>
      <c r="K270" s="5">
        <v>56</v>
      </c>
      <c r="L270" s="5">
        <v>44</v>
      </c>
      <c r="M270" s="3" t="s">
        <v>68</v>
      </c>
      <c r="N270" t="s">
        <v>91</v>
      </c>
      <c r="O270" s="5">
        <v>2</v>
      </c>
      <c r="P270" s="3" t="s">
        <v>42</v>
      </c>
      <c r="Q270" s="2">
        <v>147.27000000000001</v>
      </c>
      <c r="R270" s="3" t="s">
        <v>26</v>
      </c>
      <c r="S270">
        <f>COUNTIF(A:A,A270)</f>
        <v>1</v>
      </c>
      <c r="T270" t="str">
        <f>IF(OR(H270="",LOWER(TRIM(H270&amp;""))="missing",LOWER(TRIM(H270&amp;""))=""),"Missing/",IFERROR(IF(OR(VALUE(H270)&lt;0,VALUE(H270)&gt;110),"Invalid","Valid"),"Check Format"))</f>
        <v>Invalid</v>
      </c>
      <c r="U270" t="str">
        <f>IF(Raw_Data[[#This Row],[Age_Check]]="Valid",H270,"")</f>
        <v/>
      </c>
      <c r="V270" t="str">
        <f>IF(OR(K270="",UPPER(TRIM(K270&amp;""))="",LOWER(TRIM(K270&amp;""))="",LOWER(TRIM(K270&amp;""))="",LOWER(TRIM(K270&amp;""))="missing"),"Missing/",IFERROR(IF(VALUE(K270)&lt;0,"Invalid","Valid"),"Check Format"))</f>
        <v>Valid</v>
      </c>
      <c r="W270" t="str">
        <f>IF(OR(E270="",F270=""),"Missing Date/Time",IFERROR(IF(F270&gt;E270,"Arrival After Appointment","OK"),"Check Format"))</f>
        <v>OK</v>
      </c>
      <c r="X270" t="str">
        <f>IF(OR(F270="",G270=""),"Missing Date/Time",IFERROR(IF(G270&lt;F270,"Discharge Before Arrival","OK"),"Check Format"))</f>
        <v>OK</v>
      </c>
    </row>
    <row r="271" spans="1:24" x14ac:dyDescent="0.25">
      <c r="A271" s="2" t="s">
        <v>600</v>
      </c>
      <c r="B271" s="2" t="s">
        <v>141</v>
      </c>
      <c r="C271" s="3" t="s">
        <v>19</v>
      </c>
      <c r="D271" s="3" t="s">
        <v>115</v>
      </c>
      <c r="E271" s="4">
        <v>45522.517361111109</v>
      </c>
      <c r="F271" s="4">
        <v>45522.507638888892</v>
      </c>
      <c r="G271" s="4">
        <v>45522.591666666667</v>
      </c>
      <c r="J271" s="3" t="s">
        <v>22</v>
      </c>
      <c r="K271" s="5">
        <v>59</v>
      </c>
      <c r="L271" s="5">
        <v>48</v>
      </c>
      <c r="M271" s="3" t="s">
        <v>63</v>
      </c>
      <c r="N271" t="s">
        <v>24</v>
      </c>
      <c r="P271" s="3" t="s">
        <v>42</v>
      </c>
      <c r="Q271" s="2">
        <v>103.72</v>
      </c>
      <c r="R271" s="3" t="s">
        <v>58</v>
      </c>
      <c r="S271">
        <f>COUNTIF(A:A,A271)</f>
        <v>1</v>
      </c>
      <c r="T271" t="str">
        <f>IF(OR(H271="",LOWER(TRIM(H271&amp;""))="missing",LOWER(TRIM(H271&amp;""))=""),"Missing/",IFERROR(IF(OR(VALUE(H271)&lt;0,VALUE(H271)&gt;110),"Invalid","Valid"),"Check Format"))</f>
        <v>Missing/</v>
      </c>
      <c r="U271" t="str">
        <f>IF(Raw_Data[[#This Row],[Age_Check]]="Valid",H271,"")</f>
        <v/>
      </c>
      <c r="V271" t="str">
        <f>IF(OR(K271="",UPPER(TRIM(K271&amp;""))="",LOWER(TRIM(K271&amp;""))="",LOWER(TRIM(K271&amp;""))="",LOWER(TRIM(K271&amp;""))="missing"),"Missing/",IFERROR(IF(VALUE(K271)&lt;0,"Invalid","Valid"),"Check Format"))</f>
        <v>Valid</v>
      </c>
      <c r="W271" t="str">
        <f>IF(OR(E271="",F271=""),"Missing Date/Time",IFERROR(IF(F271&gt;E271,"Arrival After Appointment","OK"),"Check Format"))</f>
        <v>OK</v>
      </c>
      <c r="X271" t="str">
        <f>IF(OR(F271="",G271=""),"Missing Date/Time",IFERROR(IF(G271&lt;F271,"Discharge Before Arrival","OK"),"Check Format"))</f>
        <v>OK</v>
      </c>
    </row>
    <row r="272" spans="1:24" x14ac:dyDescent="0.25">
      <c r="A272" s="2" t="s">
        <v>601</v>
      </c>
      <c r="B272" s="2" t="s">
        <v>602</v>
      </c>
      <c r="C272" s="3" t="s">
        <v>94</v>
      </c>
      <c r="D272" s="3" t="s">
        <v>66</v>
      </c>
      <c r="E272" s="4">
        <v>45692.388888888891</v>
      </c>
      <c r="F272" s="4">
        <v>45692.370138888888</v>
      </c>
      <c r="G272" s="4">
        <v>45692.447222222225</v>
      </c>
      <c r="I272" s="3" t="s">
        <v>95</v>
      </c>
      <c r="J272" s="3" t="s">
        <v>62</v>
      </c>
      <c r="K272" s="5">
        <v>61</v>
      </c>
      <c r="L272" s="5">
        <v>23</v>
      </c>
      <c r="M272" s="3" t="s">
        <v>68</v>
      </c>
      <c r="N272" t="s">
        <v>24</v>
      </c>
      <c r="O272" s="5">
        <v>0</v>
      </c>
      <c r="P272" s="3" t="s">
        <v>42</v>
      </c>
      <c r="Q272" s="2">
        <v>110.24</v>
      </c>
      <c r="R272" s="3" t="s">
        <v>75</v>
      </c>
      <c r="S272">
        <f>COUNTIF(A:A,A272)</f>
        <v>1</v>
      </c>
      <c r="T272" t="str">
        <f>IF(OR(H272="",LOWER(TRIM(H272&amp;""))="missing",LOWER(TRIM(H272&amp;""))=""),"Missing/",IFERROR(IF(OR(VALUE(H272)&lt;0,VALUE(H272)&gt;110),"Invalid","Valid"),"Check Format"))</f>
        <v>Missing/</v>
      </c>
      <c r="U272" t="str">
        <f>IF(Raw_Data[[#This Row],[Age_Check]]="Valid",H272,"")</f>
        <v/>
      </c>
      <c r="V272" t="str">
        <f>IF(OR(K272="",UPPER(TRIM(K272&amp;""))="",LOWER(TRIM(K272&amp;""))="",LOWER(TRIM(K272&amp;""))="",LOWER(TRIM(K272&amp;""))="missing"),"Missing/",IFERROR(IF(VALUE(K272)&lt;0,"Invalid","Valid"),"Check Format"))</f>
        <v>Valid</v>
      </c>
      <c r="W272" t="str">
        <f>IF(OR(E272="",F272=""),"Missing Date/Time",IFERROR(IF(F272&gt;E272,"Arrival After Appointment","OK"),"Check Format"))</f>
        <v>OK</v>
      </c>
      <c r="X272" t="str">
        <f>IF(OR(F272="",G272=""),"Missing Date/Time",IFERROR(IF(G272&lt;F272,"Discharge Before Arrival","OK"),"Check Format"))</f>
        <v>OK</v>
      </c>
    </row>
    <row r="273" spans="1:24" x14ac:dyDescent="0.25">
      <c r="A273" s="2" t="s">
        <v>603</v>
      </c>
      <c r="B273" s="2" t="s">
        <v>588</v>
      </c>
      <c r="C273" s="3" t="s">
        <v>29</v>
      </c>
      <c r="D273" s="3" t="s">
        <v>149</v>
      </c>
      <c r="E273" s="4" t="s">
        <v>604</v>
      </c>
      <c r="F273" s="4">
        <v>45824.711111111108</v>
      </c>
      <c r="G273" s="4">
        <v>45824.782638888886</v>
      </c>
      <c r="I273" s="3" t="s">
        <v>90</v>
      </c>
      <c r="J273" s="3" t="s">
        <v>67</v>
      </c>
      <c r="K273" s="5">
        <v>47</v>
      </c>
      <c r="L273" s="5">
        <v>35</v>
      </c>
      <c r="M273" s="3" t="s">
        <v>68</v>
      </c>
      <c r="N273" t="s">
        <v>103</v>
      </c>
      <c r="O273" s="5">
        <v>3</v>
      </c>
      <c r="P273" s="3" t="s">
        <v>80</v>
      </c>
      <c r="Q273" s="2">
        <v>106.7</v>
      </c>
      <c r="R273" s="3" t="s">
        <v>75</v>
      </c>
      <c r="S273">
        <f>COUNTIF(A:A,A273)</f>
        <v>1</v>
      </c>
      <c r="T273" t="str">
        <f>IF(OR(H273="",LOWER(TRIM(H273&amp;""))="missing",LOWER(TRIM(H273&amp;""))=""),"Missing/",IFERROR(IF(OR(VALUE(H273)&lt;0,VALUE(H273)&gt;110),"Invalid","Valid"),"Check Format"))</f>
        <v>Missing/</v>
      </c>
      <c r="U273" t="str">
        <f>IF(Raw_Data[[#This Row],[Age_Check]]="Valid",H273,"")</f>
        <v/>
      </c>
      <c r="V273" t="str">
        <f>IF(OR(K273="",UPPER(TRIM(K273&amp;""))="",LOWER(TRIM(K273&amp;""))="",LOWER(TRIM(K273&amp;""))="",LOWER(TRIM(K273&amp;""))="missing"),"Missing/",IFERROR(IF(VALUE(K273)&lt;0,"Invalid","Valid"),"Check Format"))</f>
        <v>Valid</v>
      </c>
      <c r="W273" t="str">
        <f>IF(OR(E273="",F273=""),"Missing Date/Time",IFERROR(IF(F273&gt;E273,"Arrival After Appointment","OK"),"Check Format"))</f>
        <v>OK</v>
      </c>
      <c r="X273" t="str">
        <f>IF(OR(F273="",G273=""),"Missing Date/Time",IFERROR(IF(G273&lt;F273,"Discharge Before Arrival","OK"),"Check Format"))</f>
        <v>OK</v>
      </c>
    </row>
    <row r="274" spans="1:24" x14ac:dyDescent="0.25">
      <c r="A274" s="2" t="s">
        <v>448</v>
      </c>
      <c r="B274" s="2" t="s">
        <v>305</v>
      </c>
      <c r="C274" s="3" t="s">
        <v>94</v>
      </c>
      <c r="D274" s="3" t="s">
        <v>174</v>
      </c>
      <c r="E274" s="4">
        <v>45967.371527777781</v>
      </c>
      <c r="F274" s="4">
        <v>45967.354166666664</v>
      </c>
      <c r="G274" s="4">
        <v>45967.427777777775</v>
      </c>
      <c r="I274" s="3" t="s">
        <v>95</v>
      </c>
      <c r="J274" s="3" t="s">
        <v>2639</v>
      </c>
      <c r="K274" s="5">
        <v>42</v>
      </c>
      <c r="L274" s="5">
        <v>39</v>
      </c>
      <c r="M274" s="3" t="s">
        <v>68</v>
      </c>
      <c r="N274" t="s">
        <v>69</v>
      </c>
      <c r="O274" s="5">
        <v>1</v>
      </c>
      <c r="P274" s="3" t="s">
        <v>80</v>
      </c>
      <c r="Q274" s="2">
        <v>111.32</v>
      </c>
      <c r="R274" s="3" t="s">
        <v>58</v>
      </c>
      <c r="S274">
        <f>COUNTIF(A:A,A274)</f>
        <v>1</v>
      </c>
      <c r="T274" t="str">
        <f>IF(OR(H274="",LOWER(TRIM(H274&amp;""))="missing",LOWER(TRIM(H274&amp;""))=""),"Missing/",IFERROR(IF(OR(VALUE(H274)&lt;0,VALUE(H274)&gt;110),"Invalid","Valid"),"Check Format"))</f>
        <v>Missing/</v>
      </c>
      <c r="U274" t="str">
        <f>IF(Raw_Data[[#This Row],[Age_Check]]="Valid",H274,"")</f>
        <v/>
      </c>
      <c r="V274" t="str">
        <f>IF(OR(K274="",UPPER(TRIM(K274&amp;""))="",LOWER(TRIM(K274&amp;""))="",LOWER(TRIM(K274&amp;""))="",LOWER(TRIM(K274&amp;""))="missing"),"Missing/",IFERROR(IF(VALUE(K274)&lt;0,"Invalid","Valid"),"Check Format"))</f>
        <v>Valid</v>
      </c>
      <c r="W274" t="str">
        <f>IF(OR(E274="",F274=""),"Missing Date/Time",IFERROR(IF(F274&gt;E274,"Arrival After Appointment","OK"),"Check Format"))</f>
        <v>OK</v>
      </c>
      <c r="X274" t="str">
        <f>IF(OR(F274="",G274=""),"Missing Date/Time",IFERROR(IF(G274&lt;F274,"Discharge Before Arrival","OK"),"Check Format"))</f>
        <v>OK</v>
      </c>
    </row>
    <row r="275" spans="1:24" x14ac:dyDescent="0.25">
      <c r="A275" s="2" t="s">
        <v>606</v>
      </c>
      <c r="B275" s="2" t="s">
        <v>607</v>
      </c>
      <c r="C275" s="3" t="s">
        <v>94</v>
      </c>
      <c r="D275" s="3" t="s">
        <v>209</v>
      </c>
      <c r="E275" s="4">
        <v>45458.638888888891</v>
      </c>
      <c r="F275" s="4">
        <v>45458.618750000001</v>
      </c>
      <c r="G275" s="4">
        <v>45458.690972222219</v>
      </c>
      <c r="H275" s="5">
        <v>145</v>
      </c>
      <c r="J275" s="3" t="s">
        <v>62</v>
      </c>
      <c r="K275" s="5">
        <v>51</v>
      </c>
      <c r="L275" s="5">
        <v>24</v>
      </c>
      <c r="M275" s="3" t="s">
        <v>41</v>
      </c>
      <c r="N275" t="s">
        <v>103</v>
      </c>
      <c r="O275" s="5">
        <v>6</v>
      </c>
      <c r="P275" s="3" t="s">
        <v>42</v>
      </c>
      <c r="Q275" s="2">
        <v>260.76</v>
      </c>
      <c r="R275" s="3" t="s">
        <v>26</v>
      </c>
      <c r="S275">
        <f>COUNTIF(A:A,A275)</f>
        <v>1</v>
      </c>
      <c r="T275" t="str">
        <f>IF(OR(H275="",LOWER(TRIM(H275&amp;""))="missing",LOWER(TRIM(H275&amp;""))=""),"Missing/",IFERROR(IF(OR(VALUE(H275)&lt;0,VALUE(H275)&gt;110),"Invalid","Valid"),"Check Format"))</f>
        <v>Invalid</v>
      </c>
      <c r="U275" t="str">
        <f>IF(Raw_Data[[#This Row],[Age_Check]]="Valid",H275,"")</f>
        <v/>
      </c>
      <c r="V275" t="str">
        <f>IF(OR(K275="",UPPER(TRIM(K275&amp;""))="",LOWER(TRIM(K275&amp;""))="",LOWER(TRIM(K275&amp;""))="",LOWER(TRIM(K275&amp;""))="missing"),"Missing/",IFERROR(IF(VALUE(K275)&lt;0,"Invalid","Valid"),"Check Format"))</f>
        <v>Valid</v>
      </c>
      <c r="W275" t="str">
        <f>IF(OR(E275="",F275=""),"Missing Date/Time",IFERROR(IF(F275&gt;E275,"Arrival After Appointment","OK"),"Check Format"))</f>
        <v>OK</v>
      </c>
      <c r="X275" t="str">
        <f>IF(OR(F275="",G275=""),"Missing Date/Time",IFERROR(IF(G275&lt;F275,"Discharge Before Arrival","OK"),"Check Format"))</f>
        <v>OK</v>
      </c>
    </row>
    <row r="276" spans="1:24" x14ac:dyDescent="0.25">
      <c r="A276" s="2" t="s">
        <v>608</v>
      </c>
      <c r="B276" s="2" t="s">
        <v>609</v>
      </c>
      <c r="C276" s="3" t="s">
        <v>94</v>
      </c>
      <c r="D276" s="3" t="s">
        <v>55</v>
      </c>
      <c r="E276" s="4">
        <v>45407.774305555555</v>
      </c>
      <c r="F276" s="4">
        <v>45407.769444444442</v>
      </c>
      <c r="G276" s="4">
        <v>45407.853472222225</v>
      </c>
      <c r="H276" s="5">
        <v>11</v>
      </c>
      <c r="J276" s="3" t="s">
        <v>67</v>
      </c>
      <c r="K276" s="5">
        <v>64</v>
      </c>
      <c r="L276" s="5">
        <v>50</v>
      </c>
      <c r="M276" s="3" t="s">
        <v>50</v>
      </c>
      <c r="P276" s="3" t="s">
        <v>80</v>
      </c>
      <c r="R276" s="3" t="s">
        <v>26</v>
      </c>
      <c r="S276">
        <f>COUNTIF(A:A,A276)</f>
        <v>1</v>
      </c>
      <c r="T276" t="str">
        <f>IF(OR(H276="",LOWER(TRIM(H276&amp;""))="missing",LOWER(TRIM(H276&amp;""))=""),"Missing/",IFERROR(IF(OR(VALUE(H276)&lt;0,VALUE(H276)&gt;110),"Invalid","Valid"),"Check Format"))</f>
        <v>Valid</v>
      </c>
      <c r="U276">
        <f>IF(Raw_Data[[#This Row],[Age_Check]]="Valid",H276,"")</f>
        <v>11</v>
      </c>
      <c r="V276" t="str">
        <f>IF(OR(K276="",UPPER(TRIM(K276&amp;""))="",LOWER(TRIM(K276&amp;""))="",LOWER(TRIM(K276&amp;""))="",LOWER(TRIM(K276&amp;""))="missing"),"Missing/",IFERROR(IF(VALUE(K276)&lt;0,"Invalid","Valid"),"Check Format"))</f>
        <v>Valid</v>
      </c>
      <c r="W276" t="str">
        <f>IF(OR(E276="",F276=""),"Missing Date/Time",IFERROR(IF(F276&gt;E276,"Arrival After Appointment","OK"),"Check Format"))</f>
        <v>OK</v>
      </c>
      <c r="X276" t="str">
        <f>IF(OR(F276="",G276=""),"Missing Date/Time",IFERROR(IF(G276&lt;F276,"Discharge Before Arrival","OK"),"Check Format"))</f>
        <v>OK</v>
      </c>
    </row>
    <row r="277" spans="1:24" x14ac:dyDescent="0.25">
      <c r="A277" s="2" t="s">
        <v>610</v>
      </c>
      <c r="B277" s="2" t="s">
        <v>611</v>
      </c>
      <c r="C277" s="3" t="s">
        <v>94</v>
      </c>
      <c r="D277" s="3" t="s">
        <v>30</v>
      </c>
      <c r="E277" s="4">
        <v>45816.552083333336</v>
      </c>
      <c r="F277" s="4">
        <v>45816.533333333333</v>
      </c>
      <c r="G277" s="4">
        <v>45816.581250000003</v>
      </c>
      <c r="H277" s="5">
        <v>49</v>
      </c>
      <c r="I277" s="3" t="s">
        <v>90</v>
      </c>
      <c r="J277" s="3" t="s">
        <v>62</v>
      </c>
      <c r="K277" s="5">
        <v>6</v>
      </c>
      <c r="L277" s="5">
        <v>36</v>
      </c>
      <c r="M277" s="3" t="s">
        <v>41</v>
      </c>
      <c r="N277" t="s">
        <v>91</v>
      </c>
      <c r="O277" s="5">
        <v>6</v>
      </c>
      <c r="P277" s="3" t="s">
        <v>25</v>
      </c>
      <c r="Q277" s="2">
        <v>216.17</v>
      </c>
      <c r="R277" s="3" t="s">
        <v>58</v>
      </c>
      <c r="S277">
        <f>COUNTIF(A:A,A277)</f>
        <v>1</v>
      </c>
      <c r="T277" t="str">
        <f>IF(OR(H277="",LOWER(TRIM(H277&amp;""))="missing",LOWER(TRIM(H277&amp;""))=""),"Missing/",IFERROR(IF(OR(VALUE(H277)&lt;0,VALUE(H277)&gt;110),"Invalid","Valid"),"Check Format"))</f>
        <v>Valid</v>
      </c>
      <c r="U277">
        <f>IF(Raw_Data[[#This Row],[Age_Check]]="Valid",H277,"")</f>
        <v>49</v>
      </c>
      <c r="V277" t="str">
        <f>IF(OR(K277="",UPPER(TRIM(K277&amp;""))="",LOWER(TRIM(K277&amp;""))="",LOWER(TRIM(K277&amp;""))="",LOWER(TRIM(K277&amp;""))="missing"),"Missing/",IFERROR(IF(VALUE(K277)&lt;0,"Invalid","Valid"),"Check Format"))</f>
        <v>Valid</v>
      </c>
      <c r="W277" t="str">
        <f>IF(OR(E277="",F277=""),"Missing Date/Time",IFERROR(IF(F277&gt;E277,"Arrival After Appointment","OK"),"Check Format"))</f>
        <v>OK</v>
      </c>
      <c r="X277" t="str">
        <f>IF(OR(F277="",G277=""),"Missing Date/Time",IFERROR(IF(G277&lt;F277,"Discharge Before Arrival","OK"),"Check Format"))</f>
        <v>OK</v>
      </c>
    </row>
    <row r="278" spans="1:24" x14ac:dyDescent="0.25">
      <c r="A278" s="2" t="s">
        <v>612</v>
      </c>
      <c r="B278" s="2" t="s">
        <v>490</v>
      </c>
      <c r="C278" s="3" t="s">
        <v>46</v>
      </c>
      <c r="D278" s="3" t="s">
        <v>55</v>
      </c>
      <c r="E278" s="4">
        <v>45459.770833333336</v>
      </c>
      <c r="F278" s="4">
        <v>45459.752083333333</v>
      </c>
      <c r="G278" s="4">
        <v>45459.847916666666</v>
      </c>
      <c r="H278" s="5">
        <v>145</v>
      </c>
      <c r="I278" s="3" t="s">
        <v>95</v>
      </c>
      <c r="J278" s="3" t="s">
        <v>67</v>
      </c>
      <c r="K278" s="5">
        <v>60</v>
      </c>
      <c r="L278" s="5">
        <v>51</v>
      </c>
      <c r="M278" s="3" t="s">
        <v>23</v>
      </c>
      <c r="N278" t="s">
        <v>74</v>
      </c>
      <c r="O278" s="5">
        <v>0</v>
      </c>
      <c r="P278" s="3" t="s">
        <v>80</v>
      </c>
      <c r="Q278" s="2">
        <v>103.62</v>
      </c>
      <c r="R278" s="3" t="s">
        <v>26</v>
      </c>
      <c r="S278">
        <f>COUNTIF(A:A,A278)</f>
        <v>1</v>
      </c>
      <c r="T278" t="str">
        <f>IF(OR(H278="",LOWER(TRIM(H278&amp;""))="missing",LOWER(TRIM(H278&amp;""))=""),"Missing/",IFERROR(IF(OR(VALUE(H278)&lt;0,VALUE(H278)&gt;110),"Invalid","Valid"),"Check Format"))</f>
        <v>Invalid</v>
      </c>
      <c r="U278" t="str">
        <f>IF(Raw_Data[[#This Row],[Age_Check]]="Valid",H278,"")</f>
        <v/>
      </c>
      <c r="V278" t="str">
        <f>IF(OR(K278="",UPPER(TRIM(K278&amp;""))="",LOWER(TRIM(K278&amp;""))="",LOWER(TRIM(K278&amp;""))="",LOWER(TRIM(K278&amp;""))="missing"),"Missing/",IFERROR(IF(VALUE(K278)&lt;0,"Invalid","Valid"),"Check Format"))</f>
        <v>Valid</v>
      </c>
      <c r="W278" t="str">
        <f>IF(OR(E278="",F278=""),"Missing Date/Time",IFERROR(IF(F278&gt;E278,"Arrival After Appointment","OK"),"Check Format"))</f>
        <v>OK</v>
      </c>
      <c r="X278" t="str">
        <f>IF(OR(F278="",G278=""),"Missing Date/Time",IFERROR(IF(G278&lt;F278,"Discharge Before Arrival","OK"),"Check Format"))</f>
        <v>OK</v>
      </c>
    </row>
    <row r="279" spans="1:24" x14ac:dyDescent="0.25">
      <c r="A279" s="2" t="s">
        <v>613</v>
      </c>
      <c r="B279" s="2" t="s">
        <v>143</v>
      </c>
      <c r="D279" s="3" t="s">
        <v>23</v>
      </c>
      <c r="E279" s="4" t="s">
        <v>614</v>
      </c>
      <c r="F279" s="4">
        <v>45682.476388888892</v>
      </c>
      <c r="G279" s="4">
        <v>45682.611111111109</v>
      </c>
      <c r="I279" s="3" t="s">
        <v>90</v>
      </c>
      <c r="J279" s="3" t="s">
        <v>62</v>
      </c>
      <c r="K279" s="5">
        <v>107</v>
      </c>
      <c r="L279" s="5">
        <v>73</v>
      </c>
      <c r="M279" s="3" t="s">
        <v>32</v>
      </c>
      <c r="N279" t="s">
        <v>100</v>
      </c>
      <c r="O279" s="5">
        <v>4</v>
      </c>
      <c r="P279" s="3" t="s">
        <v>80</v>
      </c>
      <c r="Q279" s="2">
        <v>115.97</v>
      </c>
      <c r="R279" s="3" t="s">
        <v>43</v>
      </c>
      <c r="S279">
        <f>COUNTIF(A:A,A279)</f>
        <v>1</v>
      </c>
      <c r="T279" t="str">
        <f>IF(OR(H279="",LOWER(TRIM(H279&amp;""))="missing",LOWER(TRIM(H279&amp;""))=""),"Missing/",IFERROR(IF(OR(VALUE(H279)&lt;0,VALUE(H279)&gt;110),"Invalid","Valid"),"Check Format"))</f>
        <v>Missing/</v>
      </c>
      <c r="U279" t="str">
        <f>IF(Raw_Data[[#This Row],[Age_Check]]="Valid",H279,"")</f>
        <v/>
      </c>
      <c r="V279" t="str">
        <f>IF(OR(K279="",UPPER(TRIM(K279&amp;""))="",LOWER(TRIM(K279&amp;""))="",LOWER(TRIM(K279&amp;""))="",LOWER(TRIM(K279&amp;""))="missing"),"Missing/",IFERROR(IF(VALUE(K279)&lt;0,"Invalid","Valid"),"Check Format"))</f>
        <v>Valid</v>
      </c>
      <c r="W279" t="str">
        <f>IF(OR(E279="",F279=""),"Missing Date/Time",IFERROR(IF(F279&gt;E279,"Arrival After Appointment","OK"),"Check Format"))</f>
        <v>OK</v>
      </c>
      <c r="X279" t="str">
        <f>IF(OR(F279="",G279=""),"Missing Date/Time",IFERROR(IF(G279&lt;F279,"Discharge Before Arrival","OK"),"Check Format"))</f>
        <v>OK</v>
      </c>
    </row>
    <row r="280" spans="1:24" x14ac:dyDescent="0.25">
      <c r="A280" s="2" t="s">
        <v>615</v>
      </c>
      <c r="B280" s="2" t="s">
        <v>616</v>
      </c>
      <c r="C280" s="3" t="s">
        <v>46</v>
      </c>
      <c r="D280" s="3" t="s">
        <v>149</v>
      </c>
      <c r="E280" s="4">
        <v>45360.704861111109</v>
      </c>
      <c r="F280" s="4">
        <v>45360.694444444445</v>
      </c>
      <c r="G280" s="4">
        <v>45360.774305555555</v>
      </c>
      <c r="H280" s="5">
        <v>145</v>
      </c>
      <c r="J280" s="3" t="s">
        <v>150</v>
      </c>
      <c r="K280" s="5">
        <v>42</v>
      </c>
      <c r="L280" s="5">
        <v>58</v>
      </c>
      <c r="M280" s="3" t="s">
        <v>87</v>
      </c>
      <c r="N280" t="s">
        <v>103</v>
      </c>
      <c r="O280" s="5">
        <v>2</v>
      </c>
      <c r="P280" s="3" t="s">
        <v>80</v>
      </c>
      <c r="Q280" s="2">
        <v>271.37</v>
      </c>
      <c r="R280" s="3" t="s">
        <v>43</v>
      </c>
      <c r="S280">
        <f>COUNTIF(A:A,A280)</f>
        <v>1</v>
      </c>
      <c r="T280" t="str">
        <f>IF(OR(H280="",LOWER(TRIM(H280&amp;""))="missing",LOWER(TRIM(H280&amp;""))=""),"Missing/",IFERROR(IF(OR(VALUE(H280)&lt;0,VALUE(H280)&gt;110),"Invalid","Valid"),"Check Format"))</f>
        <v>Invalid</v>
      </c>
      <c r="U280" t="str">
        <f>IF(Raw_Data[[#This Row],[Age_Check]]="Valid",H280,"")</f>
        <v/>
      </c>
      <c r="V280" t="str">
        <f>IF(OR(K280="",UPPER(TRIM(K280&amp;""))="",LOWER(TRIM(K280&amp;""))="",LOWER(TRIM(K280&amp;""))="",LOWER(TRIM(K280&amp;""))="missing"),"Missing/",IFERROR(IF(VALUE(K280)&lt;0,"Invalid","Valid"),"Check Format"))</f>
        <v>Valid</v>
      </c>
      <c r="W280" t="str">
        <f>IF(OR(E280="",F280=""),"Missing Date/Time",IFERROR(IF(F280&gt;E280,"Arrival After Appointment","OK"),"Check Format"))</f>
        <v>OK</v>
      </c>
      <c r="X280" t="str">
        <f>IF(OR(F280="",G280=""),"Missing Date/Time",IFERROR(IF(G280&lt;F280,"Discharge Before Arrival","OK"),"Check Format"))</f>
        <v>OK</v>
      </c>
    </row>
    <row r="281" spans="1:24" x14ac:dyDescent="0.25">
      <c r="A281" s="2" t="s">
        <v>617</v>
      </c>
      <c r="B281" s="2" t="s">
        <v>416</v>
      </c>
      <c r="C281" s="3" t="s">
        <v>94</v>
      </c>
      <c r="D281" s="3" t="s">
        <v>61</v>
      </c>
      <c r="E281" s="4">
        <v>45943.5</v>
      </c>
      <c r="F281" s="4">
        <v>45943.486805555556</v>
      </c>
      <c r="G281" s="4">
        <v>45943.543749999997</v>
      </c>
      <c r="I281" s="3" t="s">
        <v>90</v>
      </c>
      <c r="J281" s="3" t="s">
        <v>22</v>
      </c>
      <c r="K281" s="5">
        <v>39</v>
      </c>
      <c r="L281" s="5">
        <v>24</v>
      </c>
      <c r="M281" s="3" t="s">
        <v>63</v>
      </c>
      <c r="N281" t="s">
        <v>91</v>
      </c>
      <c r="O281" s="5">
        <v>6</v>
      </c>
      <c r="P281" s="3" t="s">
        <v>25</v>
      </c>
      <c r="Q281" s="2">
        <v>122.46</v>
      </c>
      <c r="R281" s="3" t="s">
        <v>58</v>
      </c>
      <c r="S281">
        <f>COUNTIF(A:A,A281)</f>
        <v>1</v>
      </c>
      <c r="T281" t="str">
        <f>IF(OR(H281="",LOWER(TRIM(H281&amp;""))="missing",LOWER(TRIM(H281&amp;""))=""),"Missing/",IFERROR(IF(OR(VALUE(H281)&lt;0,VALUE(H281)&gt;110),"Invalid","Valid"),"Check Format"))</f>
        <v>Missing/</v>
      </c>
      <c r="U281" t="str">
        <f>IF(Raw_Data[[#This Row],[Age_Check]]="Valid",H281,"")</f>
        <v/>
      </c>
      <c r="V281" t="str">
        <f>IF(OR(K281="",UPPER(TRIM(K281&amp;""))="",LOWER(TRIM(K281&amp;""))="",LOWER(TRIM(K281&amp;""))="",LOWER(TRIM(K281&amp;""))="missing"),"Missing/",IFERROR(IF(VALUE(K281)&lt;0,"Invalid","Valid"),"Check Format"))</f>
        <v>Valid</v>
      </c>
      <c r="W281" t="str">
        <f>IF(OR(E281="",F281=""),"Missing Date/Time",IFERROR(IF(F281&gt;E281,"Arrival After Appointment","OK"),"Check Format"))</f>
        <v>OK</v>
      </c>
      <c r="X281" t="str">
        <f>IF(OR(F281="",G281=""),"Missing Date/Time",IFERROR(IF(G281&lt;F281,"Discharge Before Arrival","OK"),"Check Format"))</f>
        <v>OK</v>
      </c>
    </row>
    <row r="282" spans="1:24" x14ac:dyDescent="0.25">
      <c r="A282" s="2" t="s">
        <v>618</v>
      </c>
      <c r="B282" s="2" t="s">
        <v>407</v>
      </c>
      <c r="C282" s="3" t="s">
        <v>37</v>
      </c>
      <c r="D282" s="3" t="s">
        <v>20</v>
      </c>
      <c r="E282" s="4">
        <v>45713.506944444445</v>
      </c>
      <c r="F282" s="4">
        <v>45713.495138888888</v>
      </c>
      <c r="G282" s="4">
        <v>45713.524305555555</v>
      </c>
      <c r="J282" s="3" t="s">
        <v>62</v>
      </c>
      <c r="K282" s="5">
        <v>10</v>
      </c>
      <c r="L282" s="5">
        <v>15</v>
      </c>
      <c r="M282" s="3" t="s">
        <v>23</v>
      </c>
      <c r="N282" t="s">
        <v>69</v>
      </c>
      <c r="O282" s="5">
        <v>4</v>
      </c>
      <c r="Q282" s="2">
        <v>64.67</v>
      </c>
      <c r="R282" s="3" t="s">
        <v>58</v>
      </c>
      <c r="S282">
        <f>COUNTIF(A:A,A282)</f>
        <v>1</v>
      </c>
      <c r="T282" t="str">
        <f>IF(OR(H282="",LOWER(TRIM(H282&amp;""))="missing",LOWER(TRIM(H282&amp;""))=""),"Missing/",IFERROR(IF(OR(VALUE(H282)&lt;0,VALUE(H282)&gt;110),"Invalid","Valid"),"Check Format"))</f>
        <v>Missing/</v>
      </c>
      <c r="U282" t="str">
        <f>IF(Raw_Data[[#This Row],[Age_Check]]="Valid",H282,"")</f>
        <v/>
      </c>
      <c r="V282" t="str">
        <f>IF(OR(K282="",UPPER(TRIM(K282&amp;""))="",LOWER(TRIM(K282&amp;""))="",LOWER(TRIM(K282&amp;""))="",LOWER(TRIM(K282&amp;""))="missing"),"Missing/",IFERROR(IF(VALUE(K282)&lt;0,"Invalid","Valid"),"Check Format"))</f>
        <v>Valid</v>
      </c>
      <c r="W282" t="str">
        <f>IF(OR(E282="",F282=""),"Missing Date/Time",IFERROR(IF(F282&gt;E282,"Arrival After Appointment","OK"),"Check Format"))</f>
        <v>OK</v>
      </c>
      <c r="X282" t="str">
        <f>IF(OR(F282="",G282=""),"Missing Date/Time",IFERROR(IF(G282&lt;F282,"Discharge Before Arrival","OK"),"Check Format"))</f>
        <v>OK</v>
      </c>
    </row>
    <row r="283" spans="1:24" x14ac:dyDescent="0.25">
      <c r="A283" s="2" t="s">
        <v>619</v>
      </c>
      <c r="B283" s="2" t="s">
        <v>620</v>
      </c>
      <c r="C283" s="3" t="s">
        <v>19</v>
      </c>
      <c r="D283" s="3" t="s">
        <v>55</v>
      </c>
      <c r="E283" s="4" t="s">
        <v>621</v>
      </c>
      <c r="F283" s="4">
        <v>45744.675694444442</v>
      </c>
      <c r="G283" s="4">
        <v>45744.737500000003</v>
      </c>
      <c r="I283" s="3" t="s">
        <v>95</v>
      </c>
      <c r="J283" s="3" t="s">
        <v>150</v>
      </c>
      <c r="K283" s="5">
        <v>31</v>
      </c>
      <c r="L283" s="5">
        <v>31</v>
      </c>
      <c r="M283" s="3" t="s">
        <v>50</v>
      </c>
      <c r="N283" t="s">
        <v>69</v>
      </c>
      <c r="Q283" s="2">
        <v>163.74</v>
      </c>
      <c r="R283" s="3" t="s">
        <v>58</v>
      </c>
      <c r="S283">
        <f>COUNTIF(A:A,A283)</f>
        <v>1</v>
      </c>
      <c r="T283" t="str">
        <f>IF(OR(H283="",LOWER(TRIM(H283&amp;""))="missing",LOWER(TRIM(H283&amp;""))=""),"Missing/",IFERROR(IF(OR(VALUE(H283)&lt;0,VALUE(H283)&gt;110),"Invalid","Valid"),"Check Format"))</f>
        <v>Missing/</v>
      </c>
      <c r="U283" t="str">
        <f>IF(Raw_Data[[#This Row],[Age_Check]]="Valid",H283,"")</f>
        <v/>
      </c>
      <c r="V283" t="str">
        <f>IF(OR(K283="",UPPER(TRIM(K283&amp;""))="",LOWER(TRIM(K283&amp;""))="",LOWER(TRIM(K283&amp;""))="",LOWER(TRIM(K283&amp;""))="missing"),"Missing/",IFERROR(IF(VALUE(K283)&lt;0,"Invalid","Valid"),"Check Format"))</f>
        <v>Valid</v>
      </c>
      <c r="W283" t="str">
        <f>IF(OR(E283="",F283=""),"Missing Date/Time",IFERROR(IF(F283&gt;E283,"Arrival After Appointment","OK"),"Check Format"))</f>
        <v>OK</v>
      </c>
      <c r="X283" t="str">
        <f>IF(OR(F283="",G283=""),"Missing Date/Time",IFERROR(IF(G283&lt;F283,"Discharge Before Arrival","OK"),"Check Format"))</f>
        <v>OK</v>
      </c>
    </row>
    <row r="284" spans="1:24" x14ac:dyDescent="0.25">
      <c r="A284" s="2" t="s">
        <v>622</v>
      </c>
      <c r="B284" s="2" t="s">
        <v>623</v>
      </c>
      <c r="C284" s="3" t="s">
        <v>46</v>
      </c>
      <c r="D284" s="3" t="s">
        <v>149</v>
      </c>
      <c r="E284" s="4">
        <v>45493.333333333336</v>
      </c>
      <c r="G284" s="4">
        <v>45493.42083333333</v>
      </c>
      <c r="H284" s="5">
        <v>1</v>
      </c>
      <c r="K284" s="5">
        <v>112</v>
      </c>
      <c r="L284" s="5">
        <v>14</v>
      </c>
      <c r="M284" s="3" t="s">
        <v>50</v>
      </c>
      <c r="P284" s="3" t="s">
        <v>25</v>
      </c>
      <c r="R284" s="3" t="s">
        <v>43</v>
      </c>
      <c r="S284">
        <f>COUNTIF(A:A,A284)</f>
        <v>1</v>
      </c>
      <c r="T284" t="str">
        <f>IF(OR(H284="",LOWER(TRIM(H284&amp;""))="missing",LOWER(TRIM(H284&amp;""))=""),"Missing/",IFERROR(IF(OR(VALUE(H284)&lt;0,VALUE(H284)&gt;110),"Invalid","Valid"),"Check Format"))</f>
        <v>Valid</v>
      </c>
      <c r="U284">
        <f>IF(Raw_Data[[#This Row],[Age_Check]]="Valid",H284,"")</f>
        <v>1</v>
      </c>
      <c r="V284" t="str">
        <f>IF(OR(K284="",UPPER(TRIM(K284&amp;""))="",LOWER(TRIM(K284&amp;""))="",LOWER(TRIM(K284&amp;""))="",LOWER(TRIM(K284&amp;""))="missing"),"Missing/",IFERROR(IF(VALUE(K284)&lt;0,"Invalid","Valid"),"Check Format"))</f>
        <v>Valid</v>
      </c>
      <c r="W284" t="str">
        <f>IF(OR(E284="",F284=""),"Missing Date/Time",IFERROR(IF(F284&gt;E284,"Arrival After Appointment","OK"),"Check Format"))</f>
        <v>Missing Date/Time</v>
      </c>
      <c r="X284" t="str">
        <f>IF(OR(F284="",G284=""),"Missing Date/Time",IFERROR(IF(G284&lt;F284,"Discharge Before Arrival","OK"),"Check Format"))</f>
        <v>Missing Date/Time</v>
      </c>
    </row>
    <row r="285" spans="1:24" x14ac:dyDescent="0.25">
      <c r="A285" s="2" t="s">
        <v>624</v>
      </c>
      <c r="B285" s="2" t="s">
        <v>530</v>
      </c>
      <c r="C285" s="3" t="s">
        <v>19</v>
      </c>
      <c r="D285" s="3" t="s">
        <v>38</v>
      </c>
      <c r="E285" s="4">
        <v>45648.506944444445</v>
      </c>
      <c r="F285" s="4">
        <v>45648.494444444441</v>
      </c>
      <c r="G285" s="4">
        <v>45648.590277777781</v>
      </c>
      <c r="I285" s="3" t="s">
        <v>73</v>
      </c>
      <c r="K285" s="5">
        <v>92</v>
      </c>
      <c r="L285" s="5">
        <v>28</v>
      </c>
      <c r="M285" s="3" t="s">
        <v>63</v>
      </c>
      <c r="N285" t="s">
        <v>69</v>
      </c>
      <c r="P285" s="3" t="s">
        <v>25</v>
      </c>
      <c r="Q285" s="2">
        <v>141.04</v>
      </c>
      <c r="R285" s="3" t="s">
        <v>26</v>
      </c>
      <c r="S285">
        <f>COUNTIF(A:A,A285)</f>
        <v>1</v>
      </c>
      <c r="T285" t="str">
        <f>IF(OR(H285="",LOWER(TRIM(H285&amp;""))="missing",LOWER(TRIM(H285&amp;""))=""),"Missing/",IFERROR(IF(OR(VALUE(H285)&lt;0,VALUE(H285)&gt;110),"Invalid","Valid"),"Check Format"))</f>
        <v>Missing/</v>
      </c>
      <c r="U285" t="str">
        <f>IF(Raw_Data[[#This Row],[Age_Check]]="Valid",H285,"")</f>
        <v/>
      </c>
      <c r="V285" t="str">
        <f>IF(OR(K285="",UPPER(TRIM(K285&amp;""))="",LOWER(TRIM(K285&amp;""))="",LOWER(TRIM(K285&amp;""))="",LOWER(TRIM(K285&amp;""))="missing"),"Missing/",IFERROR(IF(VALUE(K285)&lt;0,"Invalid","Valid"),"Check Format"))</f>
        <v>Valid</v>
      </c>
      <c r="W285" t="str">
        <f>IF(OR(E285="",F285=""),"Missing Date/Time",IFERROR(IF(F285&gt;E285,"Arrival After Appointment","OK"),"Check Format"))</f>
        <v>OK</v>
      </c>
      <c r="X285" t="str">
        <f>IF(OR(F285="",G285=""),"Missing Date/Time",IFERROR(IF(G285&lt;F285,"Discharge Before Arrival","OK"),"Check Format"))</f>
        <v>OK</v>
      </c>
    </row>
    <row r="286" spans="1:24" x14ac:dyDescent="0.25">
      <c r="A286" s="2" t="s">
        <v>625</v>
      </c>
      <c r="B286" s="2" t="s">
        <v>626</v>
      </c>
      <c r="C286" s="3" t="s">
        <v>37</v>
      </c>
      <c r="D286" s="3" t="s">
        <v>55</v>
      </c>
      <c r="E286" s="4">
        <v>45511.618055555555</v>
      </c>
      <c r="F286" s="4">
        <v>45481.609027777777</v>
      </c>
      <c r="I286" s="3" t="s">
        <v>73</v>
      </c>
      <c r="J286" s="3" t="s">
        <v>62</v>
      </c>
      <c r="K286" s="5">
        <v>81</v>
      </c>
      <c r="L286" s="5">
        <v>11</v>
      </c>
      <c r="M286" s="3" t="s">
        <v>68</v>
      </c>
      <c r="N286" t="s">
        <v>24</v>
      </c>
      <c r="O286" s="5">
        <v>6</v>
      </c>
      <c r="P286" s="3" t="s">
        <v>42</v>
      </c>
      <c r="R286" s="3" t="s">
        <v>75</v>
      </c>
      <c r="S286">
        <f>COUNTIF(A:A,A286)</f>
        <v>1</v>
      </c>
      <c r="T286" t="str">
        <f>IF(OR(H286="",LOWER(TRIM(H286&amp;""))="missing",LOWER(TRIM(H286&amp;""))=""),"Missing/",IFERROR(IF(OR(VALUE(H286)&lt;0,VALUE(H286)&gt;110),"Invalid","Valid"),"Check Format"))</f>
        <v>Missing/</v>
      </c>
      <c r="U286" t="str">
        <f>IF(Raw_Data[[#This Row],[Age_Check]]="Valid",H286,"")</f>
        <v/>
      </c>
      <c r="V286" t="str">
        <f>IF(OR(K286="",UPPER(TRIM(K286&amp;""))="",LOWER(TRIM(K286&amp;""))="",LOWER(TRIM(K286&amp;""))="",LOWER(TRIM(K286&amp;""))="missing"),"Missing/",IFERROR(IF(VALUE(K286)&lt;0,"Invalid","Valid"),"Check Format"))</f>
        <v>Valid</v>
      </c>
      <c r="W286" t="str">
        <f>IF(OR(E286="",F286=""),"Missing Date/Time",IFERROR(IF(F286&gt;E286,"Arrival After Appointment","OK"),"Check Format"))</f>
        <v>OK</v>
      </c>
      <c r="X286" t="str">
        <f>IF(OR(F286="",G286=""),"Missing Date/Time",IFERROR(IF(G286&lt;F286,"Discharge Before Arrival","OK"),"Check Format"))</f>
        <v>Missing Date/Time</v>
      </c>
    </row>
    <row r="287" spans="1:24" x14ac:dyDescent="0.25">
      <c r="A287" s="2" t="s">
        <v>529</v>
      </c>
      <c r="B287" s="2" t="s">
        <v>530</v>
      </c>
      <c r="C287" s="3" t="s">
        <v>46</v>
      </c>
      <c r="D287" s="3" t="s">
        <v>30</v>
      </c>
      <c r="E287" s="4">
        <v>45623.295138888891</v>
      </c>
      <c r="F287" s="4">
        <v>45623.290972222225</v>
      </c>
      <c r="G287" s="4">
        <v>45623.379166666666</v>
      </c>
      <c r="I287" s="3" t="s">
        <v>73</v>
      </c>
      <c r="J287" s="3" t="s">
        <v>150</v>
      </c>
      <c r="K287" s="5">
        <v>79</v>
      </c>
      <c r="L287" s="5">
        <v>42</v>
      </c>
      <c r="M287" s="3" t="s">
        <v>87</v>
      </c>
      <c r="N287" t="s">
        <v>69</v>
      </c>
      <c r="P287" s="3" t="s">
        <v>80</v>
      </c>
      <c r="Q287" s="2">
        <v>120.24</v>
      </c>
      <c r="R287" s="3" t="s">
        <v>26</v>
      </c>
      <c r="S287">
        <f>COUNTIF(A:A,A287)</f>
        <v>2</v>
      </c>
      <c r="T287" t="str">
        <f>IF(OR(H287="",LOWER(TRIM(H287&amp;""))="missing",LOWER(TRIM(H287&amp;""))=""),"Missing/",IFERROR(IF(OR(VALUE(H287)&lt;0,VALUE(H287)&gt;110),"Invalid","Valid"),"Check Format"))</f>
        <v>Missing/</v>
      </c>
      <c r="U287" t="str">
        <f>IF(Raw_Data[[#This Row],[Age_Check]]="Valid",H287,"")</f>
        <v/>
      </c>
      <c r="V287" t="str">
        <f>IF(OR(K287="",UPPER(TRIM(K287&amp;""))="",LOWER(TRIM(K287&amp;""))="",LOWER(TRIM(K287&amp;""))="",LOWER(TRIM(K287&amp;""))="missing"),"Missing/",IFERROR(IF(VALUE(K287)&lt;0,"Invalid","Valid"),"Check Format"))</f>
        <v>Valid</v>
      </c>
      <c r="W287" t="str">
        <f>IF(OR(E287="",F287=""),"Missing Date/Time",IFERROR(IF(F287&gt;E287,"Arrival After Appointment","OK"),"Check Format"))</f>
        <v>OK</v>
      </c>
      <c r="X287" t="str">
        <f>IF(OR(F287="",G287=""),"Missing Date/Time",IFERROR(IF(G287&lt;F287,"Discharge Before Arrival","OK"),"Check Format"))</f>
        <v>OK</v>
      </c>
    </row>
    <row r="288" spans="1:24" x14ac:dyDescent="0.25">
      <c r="A288" s="2" t="s">
        <v>628</v>
      </c>
      <c r="B288" s="2" t="s">
        <v>629</v>
      </c>
      <c r="C288" s="3" t="s">
        <v>46</v>
      </c>
      <c r="D288" s="3" t="s">
        <v>20</v>
      </c>
      <c r="E288" s="4" t="s">
        <v>78</v>
      </c>
      <c r="F288" s="4">
        <v>45417.472222222219</v>
      </c>
      <c r="G288" s="4">
        <v>45417.523611111108</v>
      </c>
      <c r="H288" s="5">
        <v>145</v>
      </c>
      <c r="I288" s="3" t="s">
        <v>39</v>
      </c>
      <c r="J288" s="3" t="s">
        <v>62</v>
      </c>
      <c r="K288" s="5">
        <v>39</v>
      </c>
      <c r="L288" s="5">
        <v>20</v>
      </c>
      <c r="M288" s="3" t="s">
        <v>68</v>
      </c>
      <c r="N288" t="s">
        <v>103</v>
      </c>
      <c r="O288" s="5">
        <v>5</v>
      </c>
      <c r="Q288" s="2">
        <v>100.56</v>
      </c>
      <c r="R288" s="3" t="s">
        <v>26</v>
      </c>
      <c r="S288">
        <f>COUNTIF(A:A,A288)</f>
        <v>1</v>
      </c>
      <c r="T288" t="str">
        <f>IF(OR(H288="",LOWER(TRIM(H288&amp;""))="missing",LOWER(TRIM(H288&amp;""))=""),"Missing/",IFERROR(IF(OR(VALUE(H288)&lt;0,VALUE(H288)&gt;110),"Invalid","Valid"),"Check Format"))</f>
        <v>Invalid</v>
      </c>
      <c r="U288" t="str">
        <f>IF(Raw_Data[[#This Row],[Age_Check]]="Valid",H288,"")</f>
        <v/>
      </c>
      <c r="V288" t="str">
        <f>IF(OR(K288="",UPPER(TRIM(K288&amp;""))="",LOWER(TRIM(K288&amp;""))="",LOWER(TRIM(K288&amp;""))="",LOWER(TRIM(K288&amp;""))="missing"),"Missing/",IFERROR(IF(VALUE(K288)&lt;0,"Invalid","Valid"),"Check Format"))</f>
        <v>Valid</v>
      </c>
      <c r="W288" t="str">
        <f>IF(OR(E288="",F288=""),"Missing Date/Time",IFERROR(IF(F288&gt;E288,"Arrival After Appointment","OK"),"Check Format"))</f>
        <v>OK</v>
      </c>
      <c r="X288" t="str">
        <f>IF(OR(F288="",G288=""),"Missing Date/Time",IFERROR(IF(G288&lt;F288,"Discharge Before Arrival","OK"),"Check Format"))</f>
        <v>OK</v>
      </c>
    </row>
    <row r="289" spans="1:24" x14ac:dyDescent="0.25">
      <c r="A289" s="2" t="s">
        <v>630</v>
      </c>
      <c r="B289" s="2" t="s">
        <v>631</v>
      </c>
      <c r="C289" s="3" t="s">
        <v>46</v>
      </c>
      <c r="D289" s="3" t="s">
        <v>61</v>
      </c>
      <c r="E289" s="4">
        <v>45880.607638888891</v>
      </c>
      <c r="F289" s="4">
        <v>45969.606944444444</v>
      </c>
      <c r="G289" s="4">
        <v>45969.668749999997</v>
      </c>
      <c r="I289" s="3" t="s">
        <v>39</v>
      </c>
      <c r="K289" s="5">
        <v>35</v>
      </c>
      <c r="L289" s="5">
        <v>53</v>
      </c>
      <c r="N289" t="s">
        <v>24</v>
      </c>
      <c r="O289" s="5">
        <v>4</v>
      </c>
      <c r="P289" s="3" t="s">
        <v>80</v>
      </c>
      <c r="Q289" s="2">
        <v>258.64</v>
      </c>
      <c r="R289" s="3" t="s">
        <v>75</v>
      </c>
      <c r="S289">
        <f>COUNTIF(A:A,A289)</f>
        <v>1</v>
      </c>
      <c r="T289" t="str">
        <f>IF(OR(H289="",LOWER(TRIM(H289&amp;""))="missing",LOWER(TRIM(H289&amp;""))=""),"Missing/",IFERROR(IF(OR(VALUE(H289)&lt;0,VALUE(H289)&gt;110),"Invalid","Valid"),"Check Format"))</f>
        <v>Missing/</v>
      </c>
      <c r="U289" t="str">
        <f>IF(Raw_Data[[#This Row],[Age_Check]]="Valid",H289,"")</f>
        <v/>
      </c>
      <c r="V289" t="str">
        <f>IF(OR(K289="",UPPER(TRIM(K289&amp;""))="",LOWER(TRIM(K289&amp;""))="",LOWER(TRIM(K289&amp;""))="",LOWER(TRIM(K289&amp;""))="missing"),"Missing/",IFERROR(IF(VALUE(K289)&lt;0,"Invalid","Valid"),"Check Format"))</f>
        <v>Valid</v>
      </c>
      <c r="W289" t="str">
        <f>IF(OR(E289="",F289=""),"Missing Date/Time",IFERROR(IF(F289&gt;E289,"Arrival After Appointment","OK"),"Check Format"))</f>
        <v>Arrival After Appointment</v>
      </c>
      <c r="X289" t="str">
        <f>IF(OR(F289="",G289=""),"Missing Date/Time",IFERROR(IF(G289&lt;F289,"Discharge Before Arrival","OK"),"Check Format"))</f>
        <v>OK</v>
      </c>
    </row>
    <row r="290" spans="1:24" x14ac:dyDescent="0.25">
      <c r="A290" s="2" t="s">
        <v>632</v>
      </c>
      <c r="B290" s="2" t="s">
        <v>633</v>
      </c>
      <c r="D290" s="3" t="s">
        <v>38</v>
      </c>
      <c r="E290" s="4">
        <v>45611.770833333336</v>
      </c>
      <c r="F290" s="4">
        <v>45611.756249999999</v>
      </c>
      <c r="G290" s="4">
        <v>45611.809027777781</v>
      </c>
      <c r="H290" s="5">
        <v>145</v>
      </c>
      <c r="I290" s="3" t="s">
        <v>95</v>
      </c>
      <c r="J290" s="3" t="s">
        <v>62</v>
      </c>
      <c r="K290" s="5">
        <v>38</v>
      </c>
      <c r="L290" s="5">
        <v>17</v>
      </c>
      <c r="M290" s="3" t="s">
        <v>87</v>
      </c>
      <c r="N290" t="s">
        <v>69</v>
      </c>
      <c r="O290" s="5">
        <v>6</v>
      </c>
      <c r="P290" s="3" t="s">
        <v>80</v>
      </c>
      <c r="Q290" s="2">
        <v>182.71</v>
      </c>
      <c r="R290" s="3" t="s">
        <v>75</v>
      </c>
      <c r="S290">
        <f>COUNTIF(A:A,A290)</f>
        <v>1</v>
      </c>
      <c r="T290" t="str">
        <f>IF(OR(H290="",LOWER(TRIM(H290&amp;""))="missing",LOWER(TRIM(H290&amp;""))=""),"Missing/",IFERROR(IF(OR(VALUE(H290)&lt;0,VALUE(H290)&gt;110),"Invalid","Valid"),"Check Format"))</f>
        <v>Invalid</v>
      </c>
      <c r="U290" t="str">
        <f>IF(Raw_Data[[#This Row],[Age_Check]]="Valid",H290,"")</f>
        <v/>
      </c>
      <c r="V290" t="str">
        <f>IF(OR(K290="",UPPER(TRIM(K290&amp;""))="",LOWER(TRIM(K290&amp;""))="",LOWER(TRIM(K290&amp;""))="",LOWER(TRIM(K290&amp;""))="missing"),"Missing/",IFERROR(IF(VALUE(K290)&lt;0,"Invalid","Valid"),"Check Format"))</f>
        <v>Valid</v>
      </c>
      <c r="W290" t="str">
        <f>IF(OR(E290="",F290=""),"Missing Date/Time",IFERROR(IF(F290&gt;E290,"Arrival After Appointment","OK"),"Check Format"))</f>
        <v>OK</v>
      </c>
      <c r="X290" t="str">
        <f>IF(OR(F290="",G290=""),"Missing Date/Time",IFERROR(IF(G290&lt;F290,"Discharge Before Arrival","OK"),"Check Format"))</f>
        <v>OK</v>
      </c>
    </row>
    <row r="291" spans="1:24" x14ac:dyDescent="0.25">
      <c r="A291" s="2" t="s">
        <v>634</v>
      </c>
      <c r="B291" s="2" t="s">
        <v>635</v>
      </c>
      <c r="C291" s="3" t="s">
        <v>94</v>
      </c>
      <c r="D291" s="3" t="s">
        <v>30</v>
      </c>
      <c r="E291" s="4">
        <v>45896.298611111109</v>
      </c>
      <c r="F291" s="4">
        <v>45896.290972222225</v>
      </c>
      <c r="G291" s="4">
        <v>45896.354861111111</v>
      </c>
      <c r="H291" s="5">
        <v>52</v>
      </c>
      <c r="I291" s="3" t="s">
        <v>73</v>
      </c>
      <c r="J291" s="3" t="s">
        <v>150</v>
      </c>
      <c r="K291" s="5">
        <v>38</v>
      </c>
      <c r="L291" s="5">
        <v>43</v>
      </c>
      <c r="M291" s="3" t="s">
        <v>50</v>
      </c>
      <c r="N291" t="s">
        <v>24</v>
      </c>
      <c r="O291" s="5">
        <v>3</v>
      </c>
      <c r="P291" s="3" t="s">
        <v>42</v>
      </c>
      <c r="R291" s="3" t="s">
        <v>75</v>
      </c>
      <c r="S291">
        <f>COUNTIF(A:A,A291)</f>
        <v>1</v>
      </c>
      <c r="T291" t="str">
        <f>IF(OR(H291="",LOWER(TRIM(H291&amp;""))="missing",LOWER(TRIM(H291&amp;""))=""),"Missing/",IFERROR(IF(OR(VALUE(H291)&lt;0,VALUE(H291)&gt;110),"Invalid","Valid"),"Check Format"))</f>
        <v>Valid</v>
      </c>
      <c r="U291">
        <f>IF(Raw_Data[[#This Row],[Age_Check]]="Valid",H291,"")</f>
        <v>52</v>
      </c>
      <c r="V291" t="str">
        <f>IF(OR(K291="",UPPER(TRIM(K291&amp;""))="",LOWER(TRIM(K291&amp;""))="",LOWER(TRIM(K291&amp;""))="",LOWER(TRIM(K291&amp;""))="missing"),"Missing/",IFERROR(IF(VALUE(K291)&lt;0,"Invalid","Valid"),"Check Format"))</f>
        <v>Valid</v>
      </c>
      <c r="W291" t="str">
        <f>IF(OR(E291="",F291=""),"Missing Date/Time",IFERROR(IF(F291&gt;E291,"Arrival After Appointment","OK"),"Check Format"))</f>
        <v>OK</v>
      </c>
      <c r="X291" t="str">
        <f>IF(OR(F291="",G291=""),"Missing Date/Time",IFERROR(IF(G291&lt;F291,"Discharge Before Arrival","OK"),"Check Format"))</f>
        <v>OK</v>
      </c>
    </row>
    <row r="292" spans="1:24" x14ac:dyDescent="0.25">
      <c r="A292" s="2" t="s">
        <v>636</v>
      </c>
      <c r="B292" s="2" t="s">
        <v>637</v>
      </c>
      <c r="D292" s="3" t="s">
        <v>149</v>
      </c>
      <c r="E292" s="4">
        <v>45330.618055555555</v>
      </c>
      <c r="F292" s="4">
        <v>45330.611111111109</v>
      </c>
      <c r="G292" s="4">
        <v>45330.666666666664</v>
      </c>
      <c r="H292" s="5">
        <v>145</v>
      </c>
      <c r="I292" s="3" t="s">
        <v>73</v>
      </c>
      <c r="J292" s="3" t="s">
        <v>67</v>
      </c>
      <c r="K292" s="5">
        <v>65</v>
      </c>
      <c r="L292" s="5">
        <v>5</v>
      </c>
      <c r="M292" s="3" t="s">
        <v>32</v>
      </c>
      <c r="N292" t="s">
        <v>100</v>
      </c>
      <c r="O292" s="5">
        <v>0</v>
      </c>
      <c r="P292" s="3" t="s">
        <v>25</v>
      </c>
      <c r="Q292" s="2">
        <v>268.8</v>
      </c>
      <c r="R292" s="3" t="s">
        <v>75</v>
      </c>
      <c r="S292">
        <f>COUNTIF(A:A,A292)</f>
        <v>1</v>
      </c>
      <c r="T292" t="str">
        <f>IF(OR(H292="",LOWER(TRIM(H292&amp;""))="missing",LOWER(TRIM(H292&amp;""))=""),"Missing/",IFERROR(IF(OR(VALUE(H292)&lt;0,VALUE(H292)&gt;110),"Invalid","Valid"),"Check Format"))</f>
        <v>Invalid</v>
      </c>
      <c r="U292" t="str">
        <f>IF(Raw_Data[[#This Row],[Age_Check]]="Valid",H292,"")</f>
        <v/>
      </c>
      <c r="V292" t="str">
        <f>IF(OR(K292="",UPPER(TRIM(K292&amp;""))="",LOWER(TRIM(K292&amp;""))="",LOWER(TRIM(K292&amp;""))="",LOWER(TRIM(K292&amp;""))="missing"),"Missing/",IFERROR(IF(VALUE(K292)&lt;0,"Invalid","Valid"),"Check Format"))</f>
        <v>Valid</v>
      </c>
      <c r="W292" t="str">
        <f>IF(OR(E292="",F292=""),"Missing Date/Time",IFERROR(IF(F292&gt;E292,"Arrival After Appointment","OK"),"Check Format"))</f>
        <v>OK</v>
      </c>
      <c r="X292" t="str">
        <f>IF(OR(F292="",G292=""),"Missing Date/Time",IFERROR(IF(G292&lt;F292,"Discharge Before Arrival","OK"),"Check Format"))</f>
        <v>OK</v>
      </c>
    </row>
    <row r="293" spans="1:24" x14ac:dyDescent="0.25">
      <c r="A293" s="2" t="s">
        <v>638</v>
      </c>
      <c r="B293" s="2" t="s">
        <v>93</v>
      </c>
      <c r="C293" s="3" t="s">
        <v>46</v>
      </c>
      <c r="D293" s="3" t="s">
        <v>106</v>
      </c>
      <c r="E293" s="4">
        <v>45498.618055555555</v>
      </c>
      <c r="F293" s="4">
        <v>45498.605555555558</v>
      </c>
      <c r="G293" s="4">
        <v>45498.715277777781</v>
      </c>
      <c r="I293" s="3" t="s">
        <v>73</v>
      </c>
      <c r="J293" s="3" t="s">
        <v>62</v>
      </c>
      <c r="K293" s="5">
        <v>120</v>
      </c>
      <c r="L293" s="5">
        <v>20</v>
      </c>
      <c r="M293" s="3" t="s">
        <v>23</v>
      </c>
      <c r="O293" s="5">
        <v>3</v>
      </c>
      <c r="P293" s="3" t="s">
        <v>25</v>
      </c>
      <c r="Q293" s="2">
        <v>113.98</v>
      </c>
      <c r="R293" s="3" t="s">
        <v>58</v>
      </c>
      <c r="S293">
        <f>COUNTIF(A:A,A293)</f>
        <v>1</v>
      </c>
      <c r="T293" t="str">
        <f>IF(OR(H293="",LOWER(TRIM(H293&amp;""))="missing",LOWER(TRIM(H293&amp;""))=""),"Missing/",IFERROR(IF(OR(VALUE(H293)&lt;0,VALUE(H293)&gt;110),"Invalid","Valid"),"Check Format"))</f>
        <v>Missing/</v>
      </c>
      <c r="U293" t="str">
        <f>IF(Raw_Data[[#This Row],[Age_Check]]="Valid",H293,"")</f>
        <v/>
      </c>
      <c r="V293" t="str">
        <f>IF(OR(K293="",UPPER(TRIM(K293&amp;""))="",LOWER(TRIM(K293&amp;""))="",LOWER(TRIM(K293&amp;""))="",LOWER(TRIM(K293&amp;""))="missing"),"Missing/",IFERROR(IF(VALUE(K293)&lt;0,"Invalid","Valid"),"Check Format"))</f>
        <v>Valid</v>
      </c>
      <c r="W293" t="str">
        <f>IF(OR(E293="",F293=""),"Missing Date/Time",IFERROR(IF(F293&gt;E293,"Arrival After Appointment","OK"),"Check Format"))</f>
        <v>OK</v>
      </c>
      <c r="X293" t="str">
        <f>IF(OR(F293="",G293=""),"Missing Date/Time",IFERROR(IF(G293&lt;F293,"Discharge Before Arrival","OK"),"Check Format"))</f>
        <v>OK</v>
      </c>
    </row>
    <row r="294" spans="1:24" x14ac:dyDescent="0.25">
      <c r="A294" s="2" t="s">
        <v>639</v>
      </c>
      <c r="B294" s="2" t="s">
        <v>318</v>
      </c>
      <c r="C294" s="3" t="s">
        <v>94</v>
      </c>
      <c r="D294" s="3" t="s">
        <v>47</v>
      </c>
      <c r="E294" s="4">
        <v>45423.638888888891</v>
      </c>
      <c r="F294" s="4">
        <v>45601.62777777778</v>
      </c>
      <c r="G294" s="4">
        <v>45601.712500000001</v>
      </c>
      <c r="H294" s="5">
        <v>70</v>
      </c>
      <c r="J294" s="3" t="s">
        <v>67</v>
      </c>
      <c r="K294" s="5">
        <v>68</v>
      </c>
      <c r="L294" s="5">
        <v>38</v>
      </c>
      <c r="M294" s="3" t="s">
        <v>68</v>
      </c>
      <c r="Q294" s="2">
        <v>197.68</v>
      </c>
      <c r="R294" s="3" t="s">
        <v>58</v>
      </c>
      <c r="S294">
        <f>COUNTIF(A:A,A294)</f>
        <v>1</v>
      </c>
      <c r="T294" t="str">
        <f>IF(OR(H294="",LOWER(TRIM(H294&amp;""))="missing",LOWER(TRIM(H294&amp;""))=""),"Missing/",IFERROR(IF(OR(VALUE(H294)&lt;0,VALUE(H294)&gt;110),"Invalid","Valid"),"Check Format"))</f>
        <v>Valid</v>
      </c>
      <c r="U294">
        <f>IF(Raw_Data[[#This Row],[Age_Check]]="Valid",H294,"")</f>
        <v>70</v>
      </c>
      <c r="V294" t="str">
        <f>IF(OR(K294="",UPPER(TRIM(K294&amp;""))="",LOWER(TRIM(K294&amp;""))="",LOWER(TRIM(K294&amp;""))="",LOWER(TRIM(K294&amp;""))="missing"),"Missing/",IFERROR(IF(VALUE(K294)&lt;0,"Invalid","Valid"),"Check Format"))</f>
        <v>Valid</v>
      </c>
      <c r="W294" t="str">
        <f>IF(OR(E294="",F294=""),"Missing Date/Time",IFERROR(IF(F294&gt;E294,"Arrival After Appointment","OK"),"Check Format"))</f>
        <v>Arrival After Appointment</v>
      </c>
      <c r="X294" t="str">
        <f>IF(OR(F294="",G294=""),"Missing Date/Time",IFERROR(IF(G294&lt;F294,"Discharge Before Arrival","OK"),"Check Format"))</f>
        <v>OK</v>
      </c>
    </row>
    <row r="295" spans="1:24" x14ac:dyDescent="0.25">
      <c r="A295" s="2" t="s">
        <v>640</v>
      </c>
      <c r="B295" s="2" t="s">
        <v>641</v>
      </c>
      <c r="C295" s="3" t="s">
        <v>94</v>
      </c>
      <c r="D295" s="3" t="s">
        <v>115</v>
      </c>
      <c r="E295" s="4">
        <v>45736.704861111109</v>
      </c>
      <c r="F295" s="4">
        <v>45736.688888888886</v>
      </c>
      <c r="G295" s="4">
        <v>45736.813194444447</v>
      </c>
      <c r="I295" s="3" t="s">
        <v>39</v>
      </c>
      <c r="J295" s="3" t="s">
        <v>67</v>
      </c>
      <c r="K295" s="5">
        <v>128</v>
      </c>
      <c r="L295" s="5">
        <v>28</v>
      </c>
      <c r="M295" s="3" t="s">
        <v>23</v>
      </c>
      <c r="N295" t="s">
        <v>24</v>
      </c>
      <c r="P295" s="3" t="s">
        <v>42</v>
      </c>
      <c r="Q295" s="2">
        <v>81.14</v>
      </c>
      <c r="R295" s="3" t="s">
        <v>26</v>
      </c>
      <c r="S295">
        <f>COUNTIF(A:A,A295)</f>
        <v>1</v>
      </c>
      <c r="T295" t="str">
        <f>IF(OR(H295="",LOWER(TRIM(H295&amp;""))="missing",LOWER(TRIM(H295&amp;""))=""),"Missing/",IFERROR(IF(OR(VALUE(H295)&lt;0,VALUE(H295)&gt;110),"Invalid","Valid"),"Check Format"))</f>
        <v>Missing/</v>
      </c>
      <c r="U295" t="str">
        <f>IF(Raw_Data[[#This Row],[Age_Check]]="Valid",H295,"")</f>
        <v/>
      </c>
      <c r="V295" t="str">
        <f>IF(OR(K295="",UPPER(TRIM(K295&amp;""))="",LOWER(TRIM(K295&amp;""))="",LOWER(TRIM(K295&amp;""))="",LOWER(TRIM(K295&amp;""))="missing"),"Missing/",IFERROR(IF(VALUE(K295)&lt;0,"Invalid","Valid"),"Check Format"))</f>
        <v>Valid</v>
      </c>
      <c r="W295" t="str">
        <f>IF(OR(E295="",F295=""),"Missing Date/Time",IFERROR(IF(F295&gt;E295,"Arrival After Appointment","OK"),"Check Format"))</f>
        <v>OK</v>
      </c>
      <c r="X295" t="str">
        <f>IF(OR(F295="",G295=""),"Missing Date/Time",IFERROR(IF(G295&lt;F295,"Discharge Before Arrival","OK"),"Check Format"))</f>
        <v>OK</v>
      </c>
    </row>
    <row r="296" spans="1:24" x14ac:dyDescent="0.25">
      <c r="A296" s="2" t="s">
        <v>642</v>
      </c>
      <c r="B296" s="2" t="s">
        <v>400</v>
      </c>
      <c r="C296" s="3" t="s">
        <v>46</v>
      </c>
      <c r="D296" s="3" t="s">
        <v>174</v>
      </c>
      <c r="E296" s="4">
        <v>45320.430555555555</v>
      </c>
      <c r="F296" s="4">
        <v>45320.425000000003</v>
      </c>
      <c r="G296" s="4">
        <v>45320.449305555558</v>
      </c>
      <c r="J296" s="3" t="s">
        <v>62</v>
      </c>
      <c r="K296" s="5">
        <v>9</v>
      </c>
      <c r="L296" s="5">
        <v>18</v>
      </c>
      <c r="M296" s="3" t="s">
        <v>68</v>
      </c>
      <c r="N296" t="s">
        <v>74</v>
      </c>
      <c r="O296" s="5">
        <v>4</v>
      </c>
      <c r="Q296" s="2">
        <v>142.35</v>
      </c>
      <c r="R296" s="3" t="s">
        <v>75</v>
      </c>
      <c r="S296">
        <f>COUNTIF(A:A,A296)</f>
        <v>1</v>
      </c>
      <c r="T296" t="str">
        <f>IF(OR(H296="",LOWER(TRIM(H296&amp;""))="missing",LOWER(TRIM(H296&amp;""))=""),"Missing/",IFERROR(IF(OR(VALUE(H296)&lt;0,VALUE(H296)&gt;110),"Invalid","Valid"),"Check Format"))</f>
        <v>Missing/</v>
      </c>
      <c r="U296" t="str">
        <f>IF(Raw_Data[[#This Row],[Age_Check]]="Valid",H296,"")</f>
        <v/>
      </c>
      <c r="V296" t="str">
        <f>IF(OR(K296="",UPPER(TRIM(K296&amp;""))="",LOWER(TRIM(K296&amp;""))="",LOWER(TRIM(K296&amp;""))="",LOWER(TRIM(K296&amp;""))="missing"),"Missing/",IFERROR(IF(VALUE(K296)&lt;0,"Invalid","Valid"),"Check Format"))</f>
        <v>Valid</v>
      </c>
      <c r="W296" t="str">
        <f>IF(OR(E296="",F296=""),"Missing Date/Time",IFERROR(IF(F296&gt;E296,"Arrival After Appointment","OK"),"Check Format"))</f>
        <v>OK</v>
      </c>
      <c r="X296" t="str">
        <f>IF(OR(F296="",G296=""),"Missing Date/Time",IFERROR(IF(G296&lt;F296,"Discharge Before Arrival","OK"),"Check Format"))</f>
        <v>OK</v>
      </c>
    </row>
    <row r="297" spans="1:24" x14ac:dyDescent="0.25">
      <c r="A297" s="2" t="s">
        <v>643</v>
      </c>
      <c r="B297" s="2" t="s">
        <v>602</v>
      </c>
      <c r="C297" s="3" t="s">
        <v>19</v>
      </c>
      <c r="D297" s="3" t="s">
        <v>72</v>
      </c>
      <c r="E297" s="4">
        <v>45708.534722222219</v>
      </c>
      <c r="F297" s="4">
        <v>45708.51666666667</v>
      </c>
      <c r="G297" s="4">
        <v>45708.633333333331</v>
      </c>
      <c r="I297" s="3" t="s">
        <v>73</v>
      </c>
      <c r="J297" s="3" t="s">
        <v>62</v>
      </c>
      <c r="K297" s="5">
        <v>120</v>
      </c>
      <c r="L297" s="5">
        <v>22</v>
      </c>
      <c r="M297" s="3" t="s">
        <v>50</v>
      </c>
      <c r="Q297" s="2">
        <v>162.9</v>
      </c>
      <c r="R297" s="3" t="s">
        <v>58</v>
      </c>
      <c r="S297">
        <f>COUNTIF(A:A,A297)</f>
        <v>1</v>
      </c>
      <c r="T297" t="str">
        <f>IF(OR(H297="",LOWER(TRIM(H297&amp;""))="missing",LOWER(TRIM(H297&amp;""))=""),"Missing/",IFERROR(IF(OR(VALUE(H297)&lt;0,VALUE(H297)&gt;110),"Invalid","Valid"),"Check Format"))</f>
        <v>Missing/</v>
      </c>
      <c r="U297" t="str">
        <f>IF(Raw_Data[[#This Row],[Age_Check]]="Valid",H297,"")</f>
        <v/>
      </c>
      <c r="V297" t="str">
        <f>IF(OR(K297="",UPPER(TRIM(K297&amp;""))="",LOWER(TRIM(K297&amp;""))="",LOWER(TRIM(K297&amp;""))="",LOWER(TRIM(K297&amp;""))="missing"),"Missing/",IFERROR(IF(VALUE(K297)&lt;0,"Invalid","Valid"),"Check Format"))</f>
        <v>Valid</v>
      </c>
      <c r="W297" t="str">
        <f>IF(OR(E297="",F297=""),"Missing Date/Time",IFERROR(IF(F297&gt;E297,"Arrival After Appointment","OK"),"Check Format"))</f>
        <v>OK</v>
      </c>
      <c r="X297" t="str">
        <f>IF(OR(F297="",G297=""),"Missing Date/Time",IFERROR(IF(G297&lt;F297,"Discharge Before Arrival","OK"),"Check Format"))</f>
        <v>OK</v>
      </c>
    </row>
    <row r="298" spans="1:24" x14ac:dyDescent="0.25">
      <c r="A298" s="2" t="s">
        <v>644</v>
      </c>
      <c r="B298" s="2" t="s">
        <v>645</v>
      </c>
      <c r="C298" s="3" t="s">
        <v>46</v>
      </c>
      <c r="D298" s="3" t="s">
        <v>20</v>
      </c>
      <c r="E298" s="4">
        <v>45604.378472222219</v>
      </c>
      <c r="F298" s="4">
        <v>45515.37777777778</v>
      </c>
      <c r="G298" s="4">
        <v>45515.454861111109</v>
      </c>
      <c r="H298" s="5">
        <v>47</v>
      </c>
      <c r="I298" s="3" t="s">
        <v>39</v>
      </c>
      <c r="J298" s="3" t="s">
        <v>171</v>
      </c>
      <c r="K298" s="5">
        <v>57</v>
      </c>
      <c r="L298" s="5">
        <v>53</v>
      </c>
      <c r="N298" t="s">
        <v>24</v>
      </c>
      <c r="O298" s="5">
        <v>3</v>
      </c>
      <c r="P298" s="3" t="s">
        <v>25</v>
      </c>
      <c r="Q298" s="2">
        <v>347.15</v>
      </c>
      <c r="R298" s="3" t="s">
        <v>75</v>
      </c>
      <c r="S298">
        <f>COUNTIF(A:A,A298)</f>
        <v>1</v>
      </c>
      <c r="T298" t="str">
        <f>IF(OR(H298="",LOWER(TRIM(H298&amp;""))="missing",LOWER(TRIM(H298&amp;""))=""),"Missing/",IFERROR(IF(OR(VALUE(H298)&lt;0,VALUE(H298)&gt;110),"Invalid","Valid"),"Check Format"))</f>
        <v>Valid</v>
      </c>
      <c r="U298">
        <f>IF(Raw_Data[[#This Row],[Age_Check]]="Valid",H298,"")</f>
        <v>47</v>
      </c>
      <c r="V298" t="str">
        <f>IF(OR(K298="",UPPER(TRIM(K298&amp;""))="",LOWER(TRIM(K298&amp;""))="",LOWER(TRIM(K298&amp;""))="",LOWER(TRIM(K298&amp;""))="missing"),"Missing/",IFERROR(IF(VALUE(K298)&lt;0,"Invalid","Valid"),"Check Format"))</f>
        <v>Valid</v>
      </c>
      <c r="W298" t="str">
        <f>IF(OR(E298="",F298=""),"Missing Date/Time",IFERROR(IF(F298&gt;E298,"Arrival After Appointment","OK"),"Check Format"))</f>
        <v>OK</v>
      </c>
      <c r="X298" t="str">
        <f>IF(OR(F298="",G298=""),"Missing Date/Time",IFERROR(IF(G298&lt;F298,"Discharge Before Arrival","OK"),"Check Format"))</f>
        <v>OK</v>
      </c>
    </row>
    <row r="299" spans="1:24" x14ac:dyDescent="0.25">
      <c r="A299" s="2" t="s">
        <v>646</v>
      </c>
      <c r="B299" s="2" t="s">
        <v>433</v>
      </c>
      <c r="C299" s="3" t="s">
        <v>94</v>
      </c>
      <c r="D299" s="3" t="s">
        <v>99</v>
      </c>
      <c r="E299" s="4">
        <v>45912.329861111109</v>
      </c>
      <c r="F299" s="4">
        <v>45912.309027777781</v>
      </c>
      <c r="G299" s="4">
        <v>45912.372916666667</v>
      </c>
      <c r="H299" s="5">
        <v>145</v>
      </c>
      <c r="I299" s="3" t="s">
        <v>73</v>
      </c>
      <c r="J299" s="3" t="s">
        <v>67</v>
      </c>
      <c r="K299" s="5">
        <v>39</v>
      </c>
      <c r="L299" s="5">
        <v>23</v>
      </c>
      <c r="M299" s="3" t="s">
        <v>32</v>
      </c>
      <c r="N299" t="s">
        <v>69</v>
      </c>
      <c r="P299" s="3" t="s">
        <v>25</v>
      </c>
      <c r="Q299" s="2">
        <v>228.53</v>
      </c>
      <c r="R299" s="3" t="s">
        <v>43</v>
      </c>
      <c r="S299">
        <f>COUNTIF(A:A,A299)</f>
        <v>1</v>
      </c>
      <c r="T299" t="str">
        <f>IF(OR(H299="",LOWER(TRIM(H299&amp;""))="missing",LOWER(TRIM(H299&amp;""))=""),"Missing/",IFERROR(IF(OR(VALUE(H299)&lt;0,VALUE(H299)&gt;110),"Invalid","Valid"),"Check Format"))</f>
        <v>Invalid</v>
      </c>
      <c r="U299" t="str">
        <f>IF(Raw_Data[[#This Row],[Age_Check]]="Valid",H299,"")</f>
        <v/>
      </c>
      <c r="V299" t="str">
        <f>IF(OR(K299="",UPPER(TRIM(K299&amp;""))="",LOWER(TRIM(K299&amp;""))="",LOWER(TRIM(K299&amp;""))="",LOWER(TRIM(K299&amp;""))="missing"),"Missing/",IFERROR(IF(VALUE(K299)&lt;0,"Invalid","Valid"),"Check Format"))</f>
        <v>Valid</v>
      </c>
      <c r="W299" t="str">
        <f>IF(OR(E299="",F299=""),"Missing Date/Time",IFERROR(IF(F299&gt;E299,"Arrival After Appointment","OK"),"Check Format"))</f>
        <v>OK</v>
      </c>
      <c r="X299" t="str">
        <f>IF(OR(F299="",G299=""),"Missing Date/Time",IFERROR(IF(G299&lt;F299,"Discharge Before Arrival","OK"),"Check Format"))</f>
        <v>OK</v>
      </c>
    </row>
    <row r="300" spans="1:24" x14ac:dyDescent="0.25">
      <c r="A300" s="2" t="s">
        <v>647</v>
      </c>
      <c r="B300" s="2" t="s">
        <v>648</v>
      </c>
      <c r="C300" s="3" t="s">
        <v>19</v>
      </c>
      <c r="D300" s="3" t="s">
        <v>38</v>
      </c>
      <c r="E300" s="4">
        <v>45741.725694444445</v>
      </c>
      <c r="F300" s="4">
        <v>45741.704861111109</v>
      </c>
      <c r="G300" s="4">
        <v>45741.82708333333</v>
      </c>
      <c r="I300" s="3" t="s">
        <v>95</v>
      </c>
      <c r="J300" s="3" t="s">
        <v>67</v>
      </c>
      <c r="K300" s="5">
        <v>81</v>
      </c>
      <c r="L300" s="5">
        <v>65</v>
      </c>
      <c r="M300" s="3" t="s">
        <v>23</v>
      </c>
      <c r="N300" t="s">
        <v>69</v>
      </c>
      <c r="O300" s="5">
        <v>3</v>
      </c>
      <c r="P300" s="3" t="s">
        <v>25</v>
      </c>
      <c r="Q300" s="2">
        <v>191.71</v>
      </c>
      <c r="R300" s="3" t="s">
        <v>26</v>
      </c>
      <c r="S300">
        <f>COUNTIF(A:A,A300)</f>
        <v>1</v>
      </c>
      <c r="T300" t="str">
        <f>IF(OR(H300="",LOWER(TRIM(H300&amp;""))="missing",LOWER(TRIM(H300&amp;""))=""),"Missing/",IFERROR(IF(OR(VALUE(H300)&lt;0,VALUE(H300)&gt;110),"Invalid","Valid"),"Check Format"))</f>
        <v>Missing/</v>
      </c>
      <c r="U300" t="str">
        <f>IF(Raw_Data[[#This Row],[Age_Check]]="Valid",H300,"")</f>
        <v/>
      </c>
      <c r="V300" t="str">
        <f>IF(OR(K300="",UPPER(TRIM(K300&amp;""))="",LOWER(TRIM(K300&amp;""))="",LOWER(TRIM(K300&amp;""))="",LOWER(TRIM(K300&amp;""))="missing"),"Missing/",IFERROR(IF(VALUE(K300)&lt;0,"Invalid","Valid"),"Check Format"))</f>
        <v>Valid</v>
      </c>
      <c r="W300" t="str">
        <f>IF(OR(E300="",F300=""),"Missing Date/Time",IFERROR(IF(F300&gt;E300,"Arrival After Appointment","OK"),"Check Format"))</f>
        <v>OK</v>
      </c>
      <c r="X300" t="str">
        <f>IF(OR(F300="",G300=""),"Missing Date/Time",IFERROR(IF(G300&lt;F300,"Discharge Before Arrival","OK"),"Check Format"))</f>
        <v>OK</v>
      </c>
    </row>
    <row r="301" spans="1:24" x14ac:dyDescent="0.25">
      <c r="A301" s="2" t="s">
        <v>649</v>
      </c>
      <c r="B301" s="2" t="s">
        <v>650</v>
      </c>
      <c r="C301" s="3" t="s">
        <v>46</v>
      </c>
      <c r="D301" s="3" t="s">
        <v>47</v>
      </c>
      <c r="E301" s="4">
        <v>45345.743055555555</v>
      </c>
      <c r="F301" s="4">
        <v>45345.729166666664</v>
      </c>
      <c r="G301" s="4">
        <v>45345.803472222222</v>
      </c>
      <c r="H301" s="5">
        <v>73</v>
      </c>
      <c r="I301" s="3" t="s">
        <v>95</v>
      </c>
      <c r="J301" s="3" t="s">
        <v>171</v>
      </c>
      <c r="K301" s="5">
        <v>45</v>
      </c>
      <c r="L301" s="5">
        <v>42</v>
      </c>
      <c r="M301" s="3" t="s">
        <v>50</v>
      </c>
      <c r="P301" s="3" t="s">
        <v>80</v>
      </c>
      <c r="Q301" s="2">
        <v>233.7</v>
      </c>
      <c r="R301" s="3" t="s">
        <v>75</v>
      </c>
      <c r="S301">
        <f>COUNTIF(A:A,A301)</f>
        <v>1</v>
      </c>
      <c r="T301" t="str">
        <f>IF(OR(H301="",LOWER(TRIM(H301&amp;""))="missing",LOWER(TRIM(H301&amp;""))=""),"Missing/",IFERROR(IF(OR(VALUE(H301)&lt;0,VALUE(H301)&gt;110),"Invalid","Valid"),"Check Format"))</f>
        <v>Valid</v>
      </c>
      <c r="U301">
        <f>IF(Raw_Data[[#This Row],[Age_Check]]="Valid",H301,"")</f>
        <v>73</v>
      </c>
      <c r="V301" t="str">
        <f>IF(OR(K301="",UPPER(TRIM(K301&amp;""))="",LOWER(TRIM(K301&amp;""))="",LOWER(TRIM(K301&amp;""))="",LOWER(TRIM(K301&amp;""))="missing"),"Missing/",IFERROR(IF(VALUE(K301)&lt;0,"Invalid","Valid"),"Check Format"))</f>
        <v>Valid</v>
      </c>
      <c r="W301" t="str">
        <f>IF(OR(E301="",F301=""),"Missing Date/Time",IFERROR(IF(F301&gt;E301,"Arrival After Appointment","OK"),"Check Format"))</f>
        <v>OK</v>
      </c>
      <c r="X301" t="str">
        <f>IF(OR(F301="",G301=""),"Missing Date/Time",IFERROR(IF(G301&lt;F301,"Discharge Before Arrival","OK"),"Check Format"))</f>
        <v>OK</v>
      </c>
    </row>
    <row r="302" spans="1:24" x14ac:dyDescent="0.25">
      <c r="A302" s="2" t="s">
        <v>651</v>
      </c>
      <c r="B302" s="2" t="s">
        <v>500</v>
      </c>
      <c r="C302" s="3" t="s">
        <v>94</v>
      </c>
      <c r="D302" s="3" t="s">
        <v>38</v>
      </c>
      <c r="E302" s="4" t="s">
        <v>652</v>
      </c>
      <c r="F302" s="4">
        <v>45469.731249999997</v>
      </c>
      <c r="G302" s="4">
        <v>45469.827777777777</v>
      </c>
      <c r="H302" s="5">
        <v>73</v>
      </c>
      <c r="I302" s="3" t="s">
        <v>95</v>
      </c>
      <c r="J302" s="3" t="s">
        <v>150</v>
      </c>
      <c r="K302" s="5">
        <v>86</v>
      </c>
      <c r="L302" s="5">
        <v>41</v>
      </c>
      <c r="M302" s="3" t="s">
        <v>50</v>
      </c>
      <c r="N302" t="s">
        <v>100</v>
      </c>
      <c r="P302" s="3" t="s">
        <v>42</v>
      </c>
      <c r="Q302" s="2">
        <v>230.33</v>
      </c>
      <c r="R302" s="3" t="s">
        <v>58</v>
      </c>
      <c r="S302">
        <f>COUNTIF(A:A,A302)</f>
        <v>1</v>
      </c>
      <c r="T302" t="str">
        <f>IF(OR(H302="",LOWER(TRIM(H302&amp;""))="missing",LOWER(TRIM(H302&amp;""))=""),"Missing/",IFERROR(IF(OR(VALUE(H302)&lt;0,VALUE(H302)&gt;110),"Invalid","Valid"),"Check Format"))</f>
        <v>Valid</v>
      </c>
      <c r="U302">
        <f>IF(Raw_Data[[#This Row],[Age_Check]]="Valid",H302,"")</f>
        <v>73</v>
      </c>
      <c r="V302" t="str">
        <f>IF(OR(K302="",UPPER(TRIM(K302&amp;""))="",LOWER(TRIM(K302&amp;""))="",LOWER(TRIM(K302&amp;""))="",LOWER(TRIM(K302&amp;""))="missing"),"Missing/",IFERROR(IF(VALUE(K302)&lt;0,"Invalid","Valid"),"Check Format"))</f>
        <v>Valid</v>
      </c>
      <c r="W302" t="str">
        <f>IF(OR(E302="",F302=""),"Missing Date/Time",IFERROR(IF(F302&gt;E302,"Arrival After Appointment","OK"),"Check Format"))</f>
        <v>OK</v>
      </c>
      <c r="X302" t="str">
        <f>IF(OR(F302="",G302=""),"Missing Date/Time",IFERROR(IF(G302&lt;F302,"Discharge Before Arrival","OK"),"Check Format"))</f>
        <v>OK</v>
      </c>
    </row>
    <row r="303" spans="1:24" x14ac:dyDescent="0.25">
      <c r="A303" s="2" t="s">
        <v>653</v>
      </c>
      <c r="B303" s="2" t="s">
        <v>654</v>
      </c>
      <c r="D303" s="3" t="s">
        <v>23</v>
      </c>
      <c r="E303" s="4">
        <v>45383.506944444445</v>
      </c>
      <c r="F303" s="4">
        <v>45383.491666666669</v>
      </c>
      <c r="G303" s="4">
        <v>45383.613888888889</v>
      </c>
      <c r="I303" s="3" t="s">
        <v>73</v>
      </c>
      <c r="J303" s="3" t="s">
        <v>62</v>
      </c>
      <c r="K303" s="5">
        <v>98</v>
      </c>
      <c r="L303" s="5">
        <v>56</v>
      </c>
      <c r="N303" t="s">
        <v>69</v>
      </c>
      <c r="O303" s="5">
        <v>6</v>
      </c>
      <c r="P303" s="3" t="s">
        <v>80</v>
      </c>
      <c r="Q303" s="2">
        <v>196.9</v>
      </c>
      <c r="R303" s="3" t="s">
        <v>75</v>
      </c>
      <c r="S303">
        <f>COUNTIF(A:A,A303)</f>
        <v>1</v>
      </c>
      <c r="T303" t="str">
        <f>IF(OR(H303="",LOWER(TRIM(H303&amp;""))="missing",LOWER(TRIM(H303&amp;""))=""),"Missing/",IFERROR(IF(OR(VALUE(H303)&lt;0,VALUE(H303)&gt;110),"Invalid","Valid"),"Check Format"))</f>
        <v>Missing/</v>
      </c>
      <c r="U303" t="str">
        <f>IF(Raw_Data[[#This Row],[Age_Check]]="Valid",H303,"")</f>
        <v/>
      </c>
      <c r="V303" t="str">
        <f>IF(OR(K303="",UPPER(TRIM(K303&amp;""))="",LOWER(TRIM(K303&amp;""))="",LOWER(TRIM(K303&amp;""))="",LOWER(TRIM(K303&amp;""))="missing"),"Missing/",IFERROR(IF(VALUE(K303)&lt;0,"Invalid","Valid"),"Check Format"))</f>
        <v>Valid</v>
      </c>
      <c r="W303" t="str">
        <f>IF(OR(E303="",F303=""),"Missing Date/Time",IFERROR(IF(F303&gt;E303,"Arrival After Appointment","OK"),"Check Format"))</f>
        <v>OK</v>
      </c>
      <c r="X303" t="str">
        <f>IF(OR(F303="",G303=""),"Missing Date/Time",IFERROR(IF(G303&lt;F303,"Discharge Before Arrival","OK"),"Check Format"))</f>
        <v>OK</v>
      </c>
    </row>
    <row r="304" spans="1:24" x14ac:dyDescent="0.25">
      <c r="A304" s="2" t="s">
        <v>655</v>
      </c>
      <c r="B304" s="2" t="s">
        <v>278</v>
      </c>
      <c r="D304" s="3" t="s">
        <v>20</v>
      </c>
      <c r="E304" s="4">
        <v>45441.305555555555</v>
      </c>
      <c r="F304" s="4">
        <v>45441.295138888891</v>
      </c>
      <c r="G304" s="4">
        <v>45441.365277777775</v>
      </c>
      <c r="I304" s="3" t="s">
        <v>73</v>
      </c>
      <c r="J304" s="3" t="s">
        <v>22</v>
      </c>
      <c r="K304" s="5">
        <v>52</v>
      </c>
      <c r="L304" s="5">
        <v>34</v>
      </c>
      <c r="N304" t="s">
        <v>69</v>
      </c>
      <c r="O304" s="5">
        <v>5</v>
      </c>
      <c r="P304" s="3" t="s">
        <v>25</v>
      </c>
      <c r="Q304" s="2">
        <v>241.52</v>
      </c>
      <c r="R304" s="3" t="s">
        <v>58</v>
      </c>
      <c r="S304">
        <f>COUNTIF(A:A,A304)</f>
        <v>1</v>
      </c>
      <c r="T304" t="str">
        <f>IF(OR(H304="",LOWER(TRIM(H304&amp;""))="missing",LOWER(TRIM(H304&amp;""))=""),"Missing/",IFERROR(IF(OR(VALUE(H304)&lt;0,VALUE(H304)&gt;110),"Invalid","Valid"),"Check Format"))</f>
        <v>Missing/</v>
      </c>
      <c r="U304" t="str">
        <f>IF(Raw_Data[[#This Row],[Age_Check]]="Valid",H304,"")</f>
        <v/>
      </c>
      <c r="V304" t="str">
        <f>IF(OR(K304="",UPPER(TRIM(K304&amp;""))="",LOWER(TRIM(K304&amp;""))="",LOWER(TRIM(K304&amp;""))="",LOWER(TRIM(K304&amp;""))="missing"),"Missing/",IFERROR(IF(VALUE(K304)&lt;0,"Invalid","Valid"),"Check Format"))</f>
        <v>Valid</v>
      </c>
      <c r="W304" t="str">
        <f>IF(OR(E304="",F304=""),"Missing Date/Time",IFERROR(IF(F304&gt;E304,"Arrival After Appointment","OK"),"Check Format"))</f>
        <v>OK</v>
      </c>
      <c r="X304" t="str">
        <f>IF(OR(F304="",G304=""),"Missing Date/Time",IFERROR(IF(G304&lt;F304,"Discharge Before Arrival","OK"),"Check Format"))</f>
        <v>OK</v>
      </c>
    </row>
    <row r="305" spans="1:24" x14ac:dyDescent="0.25">
      <c r="A305" s="2" t="s">
        <v>656</v>
      </c>
      <c r="B305" s="2" t="s">
        <v>657</v>
      </c>
      <c r="C305" s="3" t="s">
        <v>94</v>
      </c>
      <c r="D305" s="3" t="s">
        <v>23</v>
      </c>
      <c r="E305" s="4">
        <v>46000.739583333336</v>
      </c>
      <c r="F305" s="4">
        <v>45912.731249999997</v>
      </c>
      <c r="G305" s="4">
        <v>45912.786111111112</v>
      </c>
      <c r="H305" s="5">
        <v>16</v>
      </c>
      <c r="J305" s="3" t="s">
        <v>67</v>
      </c>
      <c r="K305" s="5">
        <v>29</v>
      </c>
      <c r="L305" s="5">
        <v>38</v>
      </c>
      <c r="M305" s="3" t="s">
        <v>68</v>
      </c>
      <c r="N305" t="s">
        <v>103</v>
      </c>
      <c r="O305" s="5">
        <v>0</v>
      </c>
      <c r="P305" s="3" t="s">
        <v>25</v>
      </c>
      <c r="Q305" s="2">
        <v>113.53</v>
      </c>
      <c r="R305" s="3" t="s">
        <v>43</v>
      </c>
      <c r="S305">
        <f>COUNTIF(A:A,A305)</f>
        <v>1</v>
      </c>
      <c r="T305" t="str">
        <f>IF(OR(H305="",LOWER(TRIM(H305&amp;""))="missing",LOWER(TRIM(H305&amp;""))=""),"Missing/",IFERROR(IF(OR(VALUE(H305)&lt;0,VALUE(H305)&gt;110),"Invalid","Valid"),"Check Format"))</f>
        <v>Valid</v>
      </c>
      <c r="U305">
        <f>IF(Raw_Data[[#This Row],[Age_Check]]="Valid",H305,"")</f>
        <v>16</v>
      </c>
      <c r="V305" t="str">
        <f>IF(OR(K305="",UPPER(TRIM(K305&amp;""))="",LOWER(TRIM(K305&amp;""))="",LOWER(TRIM(K305&amp;""))="",LOWER(TRIM(K305&amp;""))="missing"),"Missing/",IFERROR(IF(VALUE(K305)&lt;0,"Invalid","Valid"),"Check Format"))</f>
        <v>Valid</v>
      </c>
      <c r="W305" t="str">
        <f>IF(OR(E305="",F305=""),"Missing Date/Time",IFERROR(IF(F305&gt;E305,"Arrival After Appointment","OK"),"Check Format"))</f>
        <v>OK</v>
      </c>
      <c r="X305" t="str">
        <f>IF(OR(F305="",G305=""),"Missing Date/Time",IFERROR(IF(G305&lt;F305,"Discharge Before Arrival","OK"),"Check Format"))</f>
        <v>OK</v>
      </c>
    </row>
    <row r="306" spans="1:24" x14ac:dyDescent="0.25">
      <c r="A306" s="2" t="s">
        <v>658</v>
      </c>
      <c r="B306" s="2" t="s">
        <v>170</v>
      </c>
      <c r="C306" s="3" t="s">
        <v>29</v>
      </c>
      <c r="D306" s="3" t="s">
        <v>55</v>
      </c>
      <c r="E306" s="4">
        <v>45558.350694444445</v>
      </c>
      <c r="F306" s="4">
        <v>45558.344444444447</v>
      </c>
      <c r="G306" s="4">
        <v>45558.429861111108</v>
      </c>
      <c r="J306" s="3" t="s">
        <v>67</v>
      </c>
      <c r="K306" s="5">
        <v>59</v>
      </c>
      <c r="L306" s="5">
        <v>55</v>
      </c>
      <c r="M306" s="3" t="s">
        <v>41</v>
      </c>
      <c r="N306" t="s">
        <v>69</v>
      </c>
      <c r="P306" s="3" t="s">
        <v>80</v>
      </c>
      <c r="Q306" s="2">
        <v>160.29</v>
      </c>
      <c r="R306" s="3" t="s">
        <v>43</v>
      </c>
      <c r="S306">
        <f>COUNTIF(A:A,A306)</f>
        <v>1</v>
      </c>
      <c r="T306" t="str">
        <f>IF(OR(H306="",LOWER(TRIM(H306&amp;""))="missing",LOWER(TRIM(H306&amp;""))=""),"Missing/",IFERROR(IF(OR(VALUE(H306)&lt;0,VALUE(H306)&gt;110),"Invalid","Valid"),"Check Format"))</f>
        <v>Missing/</v>
      </c>
      <c r="U306" t="str">
        <f>IF(Raw_Data[[#This Row],[Age_Check]]="Valid",H306,"")</f>
        <v/>
      </c>
      <c r="V306" t="str">
        <f>IF(OR(K306="",UPPER(TRIM(K306&amp;""))="",LOWER(TRIM(K306&amp;""))="",LOWER(TRIM(K306&amp;""))="",LOWER(TRIM(K306&amp;""))="missing"),"Missing/",IFERROR(IF(VALUE(K306)&lt;0,"Invalid","Valid"),"Check Format"))</f>
        <v>Valid</v>
      </c>
      <c r="W306" t="str">
        <f>IF(OR(E306="",F306=""),"Missing Date/Time",IFERROR(IF(F306&gt;E306,"Arrival After Appointment","OK"),"Check Format"))</f>
        <v>OK</v>
      </c>
      <c r="X306" t="str">
        <f>IF(OR(F306="",G306=""),"Missing Date/Time",IFERROR(IF(G306&lt;F306,"Discharge Before Arrival","OK"),"Check Format"))</f>
        <v>OK</v>
      </c>
    </row>
    <row r="307" spans="1:24" x14ac:dyDescent="0.25">
      <c r="A307" s="2" t="s">
        <v>659</v>
      </c>
      <c r="B307" s="2" t="s">
        <v>161</v>
      </c>
      <c r="D307" s="3" t="s">
        <v>23</v>
      </c>
      <c r="E307" s="4">
        <v>45742.302083333336</v>
      </c>
      <c r="F307" s="4">
        <v>45742.286805555559</v>
      </c>
      <c r="G307" s="4">
        <v>45742.347916666666</v>
      </c>
      <c r="H307" s="5">
        <v>14</v>
      </c>
      <c r="I307" s="3" t="s">
        <v>73</v>
      </c>
      <c r="J307" s="3" t="s">
        <v>171</v>
      </c>
      <c r="K307" s="5">
        <v>59</v>
      </c>
      <c r="L307" s="5">
        <v>7</v>
      </c>
      <c r="M307" s="3" t="s">
        <v>41</v>
      </c>
      <c r="O307" s="5">
        <v>0</v>
      </c>
      <c r="P307" s="3" t="s">
        <v>25</v>
      </c>
      <c r="Q307" s="2">
        <v>204.7</v>
      </c>
      <c r="R307" s="3" t="s">
        <v>43</v>
      </c>
      <c r="S307">
        <f>COUNTIF(A:A,A307)</f>
        <v>1</v>
      </c>
      <c r="T307" t="str">
        <f>IF(OR(H307="",LOWER(TRIM(H307&amp;""))="missing",LOWER(TRIM(H307&amp;""))=""),"Missing/",IFERROR(IF(OR(VALUE(H307)&lt;0,VALUE(H307)&gt;110),"Invalid","Valid"),"Check Format"))</f>
        <v>Valid</v>
      </c>
      <c r="U307">
        <f>IF(Raw_Data[[#This Row],[Age_Check]]="Valid",H307,"")</f>
        <v>14</v>
      </c>
      <c r="V307" t="str">
        <f>IF(OR(K307="",UPPER(TRIM(K307&amp;""))="",LOWER(TRIM(K307&amp;""))="",LOWER(TRIM(K307&amp;""))="",LOWER(TRIM(K307&amp;""))="missing"),"Missing/",IFERROR(IF(VALUE(K307)&lt;0,"Invalid","Valid"),"Check Format"))</f>
        <v>Valid</v>
      </c>
      <c r="W307" t="str">
        <f>IF(OR(E307="",F307=""),"Missing Date/Time",IFERROR(IF(F307&gt;E307,"Arrival After Appointment","OK"),"Check Format"))</f>
        <v>OK</v>
      </c>
      <c r="X307" t="str">
        <f>IF(OR(F307="",G307=""),"Missing Date/Time",IFERROR(IF(G307&lt;F307,"Discharge Before Arrival","OK"),"Check Format"))</f>
        <v>OK</v>
      </c>
    </row>
    <row r="308" spans="1:24" x14ac:dyDescent="0.25">
      <c r="A308" s="2" t="s">
        <v>660</v>
      </c>
      <c r="B308" s="2" t="s">
        <v>178</v>
      </c>
      <c r="C308" s="3" t="s">
        <v>37</v>
      </c>
      <c r="D308" s="3" t="s">
        <v>106</v>
      </c>
      <c r="E308" s="4">
        <v>45358.413194444445</v>
      </c>
      <c r="F308" s="4">
        <v>45476.413194444445</v>
      </c>
      <c r="G308" s="4">
        <v>45476.517361111109</v>
      </c>
      <c r="I308" s="3" t="s">
        <v>73</v>
      </c>
      <c r="K308" s="5">
        <v>80</v>
      </c>
      <c r="L308" s="5">
        <v>70</v>
      </c>
      <c r="M308" s="3" t="s">
        <v>50</v>
      </c>
      <c r="N308" t="s">
        <v>24</v>
      </c>
      <c r="O308" s="5">
        <v>1</v>
      </c>
      <c r="P308" s="3" t="s">
        <v>25</v>
      </c>
      <c r="Q308" s="2">
        <v>120.38</v>
      </c>
      <c r="R308" s="3" t="s">
        <v>58</v>
      </c>
      <c r="S308">
        <f>COUNTIF(A:A,A308)</f>
        <v>1</v>
      </c>
      <c r="T308" t="str">
        <f>IF(OR(H308="",LOWER(TRIM(H308&amp;""))="missing",LOWER(TRIM(H308&amp;""))=""),"Missing/",IFERROR(IF(OR(VALUE(H308)&lt;0,VALUE(H308)&gt;110),"Invalid","Valid"),"Check Format"))</f>
        <v>Missing/</v>
      </c>
      <c r="U308" t="str">
        <f>IF(Raw_Data[[#This Row],[Age_Check]]="Valid",H308,"")</f>
        <v/>
      </c>
      <c r="V308" t="str">
        <f>IF(OR(K308="",UPPER(TRIM(K308&amp;""))="",LOWER(TRIM(K308&amp;""))="",LOWER(TRIM(K308&amp;""))="",LOWER(TRIM(K308&amp;""))="missing"),"Missing/",IFERROR(IF(VALUE(K308)&lt;0,"Invalid","Valid"),"Check Format"))</f>
        <v>Valid</v>
      </c>
      <c r="W308" t="str">
        <f>IF(OR(E308="",F308=""),"Missing Date/Time",IFERROR(IF(F308&gt;E308,"Arrival After Appointment","OK"),"Check Format"))</f>
        <v>Arrival After Appointment</v>
      </c>
      <c r="X308" t="str">
        <f>IF(OR(F308="",G308=""),"Missing Date/Time",IFERROR(IF(G308&lt;F308,"Discharge Before Arrival","OK"),"Check Format"))</f>
        <v>OK</v>
      </c>
    </row>
    <row r="309" spans="1:24" x14ac:dyDescent="0.25">
      <c r="A309" s="2" t="s">
        <v>661</v>
      </c>
      <c r="B309" s="2" t="s">
        <v>662</v>
      </c>
      <c r="C309" s="3" t="s">
        <v>46</v>
      </c>
      <c r="D309" s="3" t="s">
        <v>174</v>
      </c>
      <c r="E309" s="4">
        <v>45623.375</v>
      </c>
      <c r="F309" s="4">
        <v>45623.375</v>
      </c>
      <c r="G309" s="4">
        <v>45623.445138888892</v>
      </c>
      <c r="H309" s="5">
        <v>145</v>
      </c>
      <c r="I309" s="3" t="s">
        <v>73</v>
      </c>
      <c r="J309" s="3" t="s">
        <v>62</v>
      </c>
      <c r="K309" s="5">
        <v>65</v>
      </c>
      <c r="L309" s="5">
        <v>36</v>
      </c>
      <c r="M309" s="3" t="s">
        <v>41</v>
      </c>
      <c r="O309" s="5">
        <v>2</v>
      </c>
      <c r="Q309" s="2">
        <v>271.2</v>
      </c>
      <c r="R309" s="3" t="s">
        <v>75</v>
      </c>
      <c r="S309">
        <f>COUNTIF(A:A,A309)</f>
        <v>1</v>
      </c>
      <c r="T309" t="str">
        <f>IF(OR(H309="",LOWER(TRIM(H309&amp;""))="missing",LOWER(TRIM(H309&amp;""))=""),"Missing/",IFERROR(IF(OR(VALUE(H309)&lt;0,VALUE(H309)&gt;110),"Invalid","Valid"),"Check Format"))</f>
        <v>Invalid</v>
      </c>
      <c r="U309" t="str">
        <f>IF(Raw_Data[[#This Row],[Age_Check]]="Valid",H309,"")</f>
        <v/>
      </c>
      <c r="V309" t="str">
        <f>IF(OR(K309="",UPPER(TRIM(K309&amp;""))="",LOWER(TRIM(K309&amp;""))="",LOWER(TRIM(K309&amp;""))="",LOWER(TRIM(K309&amp;""))="missing"),"Missing/",IFERROR(IF(VALUE(K309)&lt;0,"Invalid","Valid"),"Check Format"))</f>
        <v>Valid</v>
      </c>
      <c r="W309" t="str">
        <f>IF(OR(E309="",F309=""),"Missing Date/Time",IFERROR(IF(F309&gt;E309,"Arrival After Appointment","OK"),"Check Format"))</f>
        <v>OK</v>
      </c>
      <c r="X309" t="str">
        <f>IF(OR(F309="",G309=""),"Missing Date/Time",IFERROR(IF(G309&lt;F309,"Discharge Before Arrival","OK"),"Check Format"))</f>
        <v>OK</v>
      </c>
    </row>
    <row r="310" spans="1:24" x14ac:dyDescent="0.25">
      <c r="A310" s="2" t="s">
        <v>663</v>
      </c>
      <c r="B310" s="2" t="s">
        <v>331</v>
      </c>
      <c r="C310" s="3" t="s">
        <v>94</v>
      </c>
      <c r="D310" s="3" t="s">
        <v>61</v>
      </c>
      <c r="E310" s="4">
        <v>45908.545138888891</v>
      </c>
      <c r="F310" s="4">
        <v>45908.526388888888</v>
      </c>
      <c r="G310" s="4">
        <v>45908.60833333333</v>
      </c>
      <c r="I310" s="3" t="s">
        <v>95</v>
      </c>
      <c r="J310" s="3" t="s">
        <v>67</v>
      </c>
      <c r="K310" s="5">
        <v>54</v>
      </c>
      <c r="L310" s="5">
        <v>37</v>
      </c>
      <c r="M310" s="3" t="s">
        <v>23</v>
      </c>
      <c r="N310" t="s">
        <v>103</v>
      </c>
      <c r="Q310" s="2">
        <v>193.63</v>
      </c>
      <c r="R310" s="3" t="s">
        <v>26</v>
      </c>
      <c r="S310">
        <f>COUNTIF(A:A,A310)</f>
        <v>1</v>
      </c>
      <c r="T310" t="str">
        <f>IF(OR(H310="",LOWER(TRIM(H310&amp;""))="missing",LOWER(TRIM(H310&amp;""))=""),"Missing/",IFERROR(IF(OR(VALUE(H310)&lt;0,VALUE(H310)&gt;110),"Invalid","Valid"),"Check Format"))</f>
        <v>Missing/</v>
      </c>
      <c r="U310" t="str">
        <f>IF(Raw_Data[[#This Row],[Age_Check]]="Valid",H310,"")</f>
        <v/>
      </c>
      <c r="V310" t="str">
        <f>IF(OR(K310="",UPPER(TRIM(K310&amp;""))="",LOWER(TRIM(K310&amp;""))="",LOWER(TRIM(K310&amp;""))="",LOWER(TRIM(K310&amp;""))="missing"),"Missing/",IFERROR(IF(VALUE(K310)&lt;0,"Invalid","Valid"),"Check Format"))</f>
        <v>Valid</v>
      </c>
      <c r="W310" t="str">
        <f>IF(OR(E310="",F310=""),"Missing Date/Time",IFERROR(IF(F310&gt;E310,"Arrival After Appointment","OK"),"Check Format"))</f>
        <v>OK</v>
      </c>
      <c r="X310" t="str">
        <f>IF(OR(F310="",G310=""),"Missing Date/Time",IFERROR(IF(G310&lt;F310,"Discharge Before Arrival","OK"),"Check Format"))</f>
        <v>OK</v>
      </c>
    </row>
    <row r="311" spans="1:24" x14ac:dyDescent="0.25">
      <c r="A311" s="2" t="s">
        <v>664</v>
      </c>
      <c r="B311" s="2" t="s">
        <v>478</v>
      </c>
      <c r="C311" s="3" t="s">
        <v>94</v>
      </c>
      <c r="D311" s="3" t="s">
        <v>209</v>
      </c>
      <c r="E311" s="4">
        <v>45816.440972222219</v>
      </c>
      <c r="F311" s="4">
        <v>45816.431944444441</v>
      </c>
      <c r="G311" s="4">
        <v>45816.501388888886</v>
      </c>
      <c r="I311" s="3" t="s">
        <v>95</v>
      </c>
      <c r="J311" s="3" t="s">
        <v>62</v>
      </c>
      <c r="K311" s="5">
        <v>64</v>
      </c>
      <c r="L311" s="5">
        <v>23</v>
      </c>
      <c r="M311" s="3" t="s">
        <v>23</v>
      </c>
      <c r="N311" t="s">
        <v>74</v>
      </c>
      <c r="O311" s="5">
        <v>0</v>
      </c>
      <c r="P311" s="3" t="s">
        <v>42</v>
      </c>
      <c r="Q311" s="2">
        <v>160.53</v>
      </c>
      <c r="R311" s="3" t="s">
        <v>43</v>
      </c>
      <c r="S311">
        <f>COUNTIF(A:A,A311)</f>
        <v>1</v>
      </c>
      <c r="T311" t="str">
        <f>IF(OR(H311="",LOWER(TRIM(H311&amp;""))="missing",LOWER(TRIM(H311&amp;""))=""),"Missing/",IFERROR(IF(OR(VALUE(H311)&lt;0,VALUE(H311)&gt;110),"Invalid","Valid"),"Check Format"))</f>
        <v>Missing/</v>
      </c>
      <c r="U311" t="str">
        <f>IF(Raw_Data[[#This Row],[Age_Check]]="Valid",H311,"")</f>
        <v/>
      </c>
      <c r="V311" t="str">
        <f>IF(OR(K311="",UPPER(TRIM(K311&amp;""))="",LOWER(TRIM(K311&amp;""))="",LOWER(TRIM(K311&amp;""))="",LOWER(TRIM(K311&amp;""))="missing"),"Missing/",IFERROR(IF(VALUE(K311)&lt;0,"Invalid","Valid"),"Check Format"))</f>
        <v>Valid</v>
      </c>
      <c r="W311" t="str">
        <f>IF(OR(E311="",F311=""),"Missing Date/Time",IFERROR(IF(F311&gt;E311,"Arrival After Appointment","OK"),"Check Format"))</f>
        <v>OK</v>
      </c>
      <c r="X311" t="str">
        <f>IF(OR(F311="",G311=""),"Missing Date/Time",IFERROR(IF(G311&lt;F311,"Discharge Before Arrival","OK"),"Check Format"))</f>
        <v>OK</v>
      </c>
    </row>
    <row r="312" spans="1:24" x14ac:dyDescent="0.25">
      <c r="A312" s="2" t="s">
        <v>665</v>
      </c>
      <c r="B312" s="2" t="s">
        <v>383</v>
      </c>
      <c r="C312" s="3" t="s">
        <v>94</v>
      </c>
      <c r="D312" s="3" t="s">
        <v>66</v>
      </c>
      <c r="E312" s="4">
        <v>45377.482638888891</v>
      </c>
      <c r="F312" s="4">
        <v>45377.476388888892</v>
      </c>
      <c r="G312" s="4">
        <v>45377.557638888888</v>
      </c>
      <c r="J312" s="3" t="s">
        <v>67</v>
      </c>
      <c r="K312" s="5">
        <v>95</v>
      </c>
      <c r="L312" s="5">
        <v>13</v>
      </c>
      <c r="M312" s="3" t="s">
        <v>87</v>
      </c>
      <c r="O312" s="5">
        <v>6</v>
      </c>
      <c r="P312" s="3" t="s">
        <v>25</v>
      </c>
      <c r="Q312" s="2">
        <v>155.63999999999999</v>
      </c>
      <c r="R312" s="3" t="s">
        <v>58</v>
      </c>
      <c r="S312">
        <f>COUNTIF(A:A,A312)</f>
        <v>1</v>
      </c>
      <c r="T312" t="str">
        <f>IF(OR(H312="",LOWER(TRIM(H312&amp;""))="missing",LOWER(TRIM(H312&amp;""))=""),"Missing/",IFERROR(IF(OR(VALUE(H312)&lt;0,VALUE(H312)&gt;110),"Invalid","Valid"),"Check Format"))</f>
        <v>Missing/</v>
      </c>
      <c r="U312" t="str">
        <f>IF(Raw_Data[[#This Row],[Age_Check]]="Valid",H312,"")</f>
        <v/>
      </c>
      <c r="V312" t="str">
        <f>IF(OR(K312="",UPPER(TRIM(K312&amp;""))="",LOWER(TRIM(K312&amp;""))="",LOWER(TRIM(K312&amp;""))="",LOWER(TRIM(K312&amp;""))="missing"),"Missing/",IFERROR(IF(VALUE(K312)&lt;0,"Invalid","Valid"),"Check Format"))</f>
        <v>Valid</v>
      </c>
      <c r="W312" t="str">
        <f>IF(OR(E312="",F312=""),"Missing Date/Time",IFERROR(IF(F312&gt;E312,"Arrival After Appointment","OK"),"Check Format"))</f>
        <v>OK</v>
      </c>
      <c r="X312" t="str">
        <f>IF(OR(F312="",G312=""),"Missing Date/Time",IFERROR(IF(G312&lt;F312,"Discharge Before Arrival","OK"),"Check Format"))</f>
        <v>OK</v>
      </c>
    </row>
    <row r="313" spans="1:24" x14ac:dyDescent="0.25">
      <c r="A313" s="2" t="s">
        <v>666</v>
      </c>
      <c r="B313" s="2" t="s">
        <v>667</v>
      </c>
      <c r="D313" s="3" t="s">
        <v>38</v>
      </c>
      <c r="E313" s="4">
        <v>45551.513888888891</v>
      </c>
      <c r="F313" s="4">
        <v>45551.510416666664</v>
      </c>
      <c r="G313" s="4">
        <v>45551.573611111111</v>
      </c>
      <c r="I313" s="3" t="s">
        <v>90</v>
      </c>
      <c r="J313" s="3" t="s">
        <v>62</v>
      </c>
      <c r="K313" s="5">
        <v>33</v>
      </c>
      <c r="L313" s="5">
        <v>53</v>
      </c>
      <c r="M313" s="3" t="s">
        <v>41</v>
      </c>
      <c r="O313" s="5">
        <v>6</v>
      </c>
      <c r="Q313" s="2">
        <v>23.15</v>
      </c>
      <c r="R313" s="3" t="s">
        <v>43</v>
      </c>
      <c r="S313">
        <f>COUNTIF(A:A,A313)</f>
        <v>1</v>
      </c>
      <c r="T313" t="str">
        <f>IF(OR(H313="",LOWER(TRIM(H313&amp;""))="missing",LOWER(TRIM(H313&amp;""))=""),"Missing/",IFERROR(IF(OR(VALUE(H313)&lt;0,VALUE(H313)&gt;110),"Invalid","Valid"),"Check Format"))</f>
        <v>Missing/</v>
      </c>
      <c r="U313" t="str">
        <f>IF(Raw_Data[[#This Row],[Age_Check]]="Valid",H313,"")</f>
        <v/>
      </c>
      <c r="V313" t="str">
        <f>IF(OR(K313="",UPPER(TRIM(K313&amp;""))="",LOWER(TRIM(K313&amp;""))="",LOWER(TRIM(K313&amp;""))="",LOWER(TRIM(K313&amp;""))="missing"),"Missing/",IFERROR(IF(VALUE(K313)&lt;0,"Invalid","Valid"),"Check Format"))</f>
        <v>Valid</v>
      </c>
      <c r="W313" t="str">
        <f>IF(OR(E313="",F313=""),"Missing Date/Time",IFERROR(IF(F313&gt;E313,"Arrival After Appointment","OK"),"Check Format"))</f>
        <v>OK</v>
      </c>
      <c r="X313" t="str">
        <f>IF(OR(F313="",G313=""),"Missing Date/Time",IFERROR(IF(G313&lt;F313,"Discharge Before Arrival","OK"),"Check Format"))</f>
        <v>OK</v>
      </c>
    </row>
    <row r="314" spans="1:24" x14ac:dyDescent="0.25">
      <c r="A314" s="2" t="s">
        <v>668</v>
      </c>
      <c r="B314" s="2" t="s">
        <v>353</v>
      </c>
      <c r="C314" s="3" t="s">
        <v>19</v>
      </c>
      <c r="D314" s="3" t="s">
        <v>115</v>
      </c>
      <c r="E314" s="4">
        <v>45557.711805555555</v>
      </c>
      <c r="G314" s="4">
        <v>45557.76458333333</v>
      </c>
      <c r="J314" s="3" t="s">
        <v>67</v>
      </c>
      <c r="K314" s="5">
        <v>38</v>
      </c>
      <c r="L314" s="5">
        <v>38</v>
      </c>
      <c r="M314" s="3" t="s">
        <v>32</v>
      </c>
      <c r="N314" t="s">
        <v>103</v>
      </c>
      <c r="P314" s="3" t="s">
        <v>42</v>
      </c>
      <c r="Q314" s="2">
        <v>270.24</v>
      </c>
      <c r="R314" s="3" t="s">
        <v>58</v>
      </c>
      <c r="S314">
        <f>COUNTIF(A:A,A314)</f>
        <v>1</v>
      </c>
      <c r="T314" t="str">
        <f>IF(OR(H314="",LOWER(TRIM(H314&amp;""))="missing",LOWER(TRIM(H314&amp;""))=""),"Missing/",IFERROR(IF(OR(VALUE(H314)&lt;0,VALUE(H314)&gt;110),"Invalid","Valid"),"Check Format"))</f>
        <v>Missing/</v>
      </c>
      <c r="U314" t="str">
        <f>IF(Raw_Data[[#This Row],[Age_Check]]="Valid",H314,"")</f>
        <v/>
      </c>
      <c r="V314" t="str">
        <f>IF(OR(K314="",UPPER(TRIM(K314&amp;""))="",LOWER(TRIM(K314&amp;""))="",LOWER(TRIM(K314&amp;""))="",LOWER(TRIM(K314&amp;""))="missing"),"Missing/",IFERROR(IF(VALUE(K314)&lt;0,"Invalid","Valid"),"Check Format"))</f>
        <v>Valid</v>
      </c>
      <c r="W314" t="str">
        <f>IF(OR(E314="",F314=""),"Missing Date/Time",IFERROR(IF(F314&gt;E314,"Arrival After Appointment","OK"),"Check Format"))</f>
        <v>Missing Date/Time</v>
      </c>
      <c r="X314" t="str">
        <f>IF(OR(F314="",G314=""),"Missing Date/Time",IFERROR(IF(G314&lt;F314,"Discharge Before Arrival","OK"),"Check Format"))</f>
        <v>Missing Date/Time</v>
      </c>
    </row>
    <row r="315" spans="1:24" x14ac:dyDescent="0.25">
      <c r="A315" s="2" t="s">
        <v>669</v>
      </c>
      <c r="B315" s="2" t="s">
        <v>442</v>
      </c>
      <c r="C315" s="3" t="s">
        <v>94</v>
      </c>
      <c r="D315" s="3" t="s">
        <v>106</v>
      </c>
      <c r="E315" s="4">
        <v>45487.333333333336</v>
      </c>
      <c r="F315" s="4">
        <v>45487.324305555558</v>
      </c>
      <c r="G315" s="4">
        <v>45487.386805555558</v>
      </c>
      <c r="H315" s="5">
        <v>68</v>
      </c>
      <c r="I315" s="3" t="s">
        <v>90</v>
      </c>
      <c r="J315" s="3" t="s">
        <v>2639</v>
      </c>
      <c r="K315" s="5">
        <v>55</v>
      </c>
      <c r="L315" s="5">
        <v>22</v>
      </c>
      <c r="M315" s="3" t="s">
        <v>32</v>
      </c>
      <c r="N315" t="s">
        <v>69</v>
      </c>
      <c r="O315" s="5">
        <v>4</v>
      </c>
      <c r="P315" s="3" t="s">
        <v>25</v>
      </c>
      <c r="Q315" s="2">
        <v>295.49</v>
      </c>
      <c r="R315" s="3" t="s">
        <v>43</v>
      </c>
      <c r="S315">
        <f>COUNTIF(A:A,A315)</f>
        <v>1</v>
      </c>
      <c r="T315" t="str">
        <f>IF(OR(H315="",LOWER(TRIM(H315&amp;""))="missing",LOWER(TRIM(H315&amp;""))=""),"Missing/",IFERROR(IF(OR(VALUE(H315)&lt;0,VALUE(H315)&gt;110),"Invalid","Valid"),"Check Format"))</f>
        <v>Valid</v>
      </c>
      <c r="U315">
        <f>IF(Raw_Data[[#This Row],[Age_Check]]="Valid",H315,"")</f>
        <v>68</v>
      </c>
      <c r="V315" t="str">
        <f>IF(OR(K315="",UPPER(TRIM(K315&amp;""))="",LOWER(TRIM(K315&amp;""))="",LOWER(TRIM(K315&amp;""))="",LOWER(TRIM(K315&amp;""))="missing"),"Missing/",IFERROR(IF(VALUE(K315)&lt;0,"Invalid","Valid"),"Check Format"))</f>
        <v>Valid</v>
      </c>
      <c r="W315" t="str">
        <f>IF(OR(E315="",F315=""),"Missing Date/Time",IFERROR(IF(F315&gt;E315,"Arrival After Appointment","OK"),"Check Format"))</f>
        <v>OK</v>
      </c>
      <c r="X315" t="str">
        <f>IF(OR(F315="",G315=""),"Missing Date/Time",IFERROR(IF(G315&lt;F315,"Discharge Before Arrival","OK"),"Check Format"))</f>
        <v>OK</v>
      </c>
    </row>
    <row r="316" spans="1:24" x14ac:dyDescent="0.25">
      <c r="A316" s="2" t="s">
        <v>670</v>
      </c>
      <c r="B316" s="2" t="s">
        <v>671</v>
      </c>
      <c r="C316" s="3" t="s">
        <v>94</v>
      </c>
      <c r="D316" s="3" t="s">
        <v>20</v>
      </c>
      <c r="E316" s="4" t="s">
        <v>672</v>
      </c>
      <c r="I316" s="3" t="s">
        <v>95</v>
      </c>
      <c r="J316" s="3" t="s">
        <v>2639</v>
      </c>
      <c r="K316" s="5">
        <v>7</v>
      </c>
      <c r="L316" s="5">
        <v>5</v>
      </c>
      <c r="M316" s="3" t="s">
        <v>32</v>
      </c>
      <c r="P316" s="3" t="s">
        <v>25</v>
      </c>
      <c r="Q316" s="2">
        <v>180.2</v>
      </c>
      <c r="R316" s="3" t="s">
        <v>58</v>
      </c>
      <c r="S316">
        <f>COUNTIF(A:A,A316)</f>
        <v>1</v>
      </c>
      <c r="T316" t="str">
        <f>IF(OR(H316="",LOWER(TRIM(H316&amp;""))="missing",LOWER(TRIM(H316&amp;""))=""),"Missing/",IFERROR(IF(OR(VALUE(H316)&lt;0,VALUE(H316)&gt;110),"Invalid","Valid"),"Check Format"))</f>
        <v>Missing/</v>
      </c>
      <c r="U316" t="str">
        <f>IF(Raw_Data[[#This Row],[Age_Check]]="Valid",H316,"")</f>
        <v/>
      </c>
      <c r="V316" t="str">
        <f>IF(OR(K316="",UPPER(TRIM(K316&amp;""))="",LOWER(TRIM(K316&amp;""))="",LOWER(TRIM(K316&amp;""))="",LOWER(TRIM(K316&amp;""))="missing"),"Missing/",IFERROR(IF(VALUE(K316)&lt;0,"Invalid","Valid"),"Check Format"))</f>
        <v>Valid</v>
      </c>
      <c r="W316" t="str">
        <f>IF(OR(E316="",F316=""),"Missing Date/Time",IFERROR(IF(F316&gt;E316,"Arrival After Appointment","OK"),"Check Format"))</f>
        <v>Missing Date/Time</v>
      </c>
      <c r="X316" t="str">
        <f>IF(OR(F316="",G316=""),"Missing Date/Time",IFERROR(IF(G316&lt;F316,"Discharge Before Arrival","OK"),"Check Format"))</f>
        <v>Missing Date/Time</v>
      </c>
    </row>
    <row r="317" spans="1:24" x14ac:dyDescent="0.25">
      <c r="A317" s="2" t="s">
        <v>673</v>
      </c>
      <c r="B317" s="2" t="s">
        <v>531</v>
      </c>
      <c r="C317" s="3" t="s">
        <v>29</v>
      </c>
      <c r="D317" s="3" t="s">
        <v>115</v>
      </c>
      <c r="E317" s="4">
        <v>45791.454861111109</v>
      </c>
      <c r="F317" s="4">
        <v>45791.449305555558</v>
      </c>
      <c r="G317" s="4">
        <v>45791.491666666669</v>
      </c>
      <c r="H317" s="5">
        <v>53</v>
      </c>
      <c r="I317" s="3" t="s">
        <v>73</v>
      </c>
      <c r="J317" s="3" t="s">
        <v>67</v>
      </c>
      <c r="K317" s="5">
        <v>40</v>
      </c>
      <c r="L317" s="5">
        <v>13</v>
      </c>
      <c r="M317" s="3" t="s">
        <v>41</v>
      </c>
      <c r="N317" t="s">
        <v>24</v>
      </c>
      <c r="O317" s="5">
        <v>1</v>
      </c>
      <c r="P317" s="3" t="s">
        <v>25</v>
      </c>
      <c r="Q317" s="2">
        <v>201.67</v>
      </c>
      <c r="R317" s="3" t="s">
        <v>58</v>
      </c>
      <c r="S317">
        <f>COUNTIF(A:A,A317)</f>
        <v>1</v>
      </c>
      <c r="T317" t="str">
        <f>IF(OR(H317="",LOWER(TRIM(H317&amp;""))="missing",LOWER(TRIM(H317&amp;""))=""),"Missing/",IFERROR(IF(OR(VALUE(H317)&lt;0,VALUE(H317)&gt;110),"Invalid","Valid"),"Check Format"))</f>
        <v>Valid</v>
      </c>
      <c r="U317">
        <f>IF(Raw_Data[[#This Row],[Age_Check]]="Valid",H317,"")</f>
        <v>53</v>
      </c>
      <c r="V317" t="str">
        <f>IF(OR(K317="",UPPER(TRIM(K317&amp;""))="",LOWER(TRIM(K317&amp;""))="",LOWER(TRIM(K317&amp;""))="",LOWER(TRIM(K317&amp;""))="missing"),"Missing/",IFERROR(IF(VALUE(K317)&lt;0,"Invalid","Valid"),"Check Format"))</f>
        <v>Valid</v>
      </c>
      <c r="W317" t="str">
        <f>IF(OR(E317="",F317=""),"Missing Date/Time",IFERROR(IF(F317&gt;E317,"Arrival After Appointment","OK"),"Check Format"))</f>
        <v>OK</v>
      </c>
      <c r="X317" t="str">
        <f>IF(OR(F317="",G317=""),"Missing Date/Time",IFERROR(IF(G317&lt;F317,"Discharge Before Arrival","OK"),"Check Format"))</f>
        <v>OK</v>
      </c>
    </row>
    <row r="318" spans="1:24" x14ac:dyDescent="0.25">
      <c r="A318" s="2" t="s">
        <v>674</v>
      </c>
      <c r="B318" s="2" t="s">
        <v>675</v>
      </c>
      <c r="C318" s="3" t="s">
        <v>94</v>
      </c>
      <c r="D318" s="3" t="s">
        <v>55</v>
      </c>
      <c r="E318" s="4">
        <v>45700.53125</v>
      </c>
      <c r="F318" s="4">
        <v>45993.513194444444</v>
      </c>
      <c r="G318" s="4">
        <v>45993.591666666667</v>
      </c>
      <c r="I318" s="3" t="s">
        <v>73</v>
      </c>
      <c r="J318" s="3" t="s">
        <v>62</v>
      </c>
      <c r="K318" s="5">
        <v>66</v>
      </c>
      <c r="L318" s="5">
        <v>21</v>
      </c>
      <c r="M318" s="3" t="s">
        <v>68</v>
      </c>
      <c r="P318" s="3" t="s">
        <v>42</v>
      </c>
      <c r="Q318" s="2">
        <v>42.58</v>
      </c>
      <c r="R318" s="3" t="s">
        <v>58</v>
      </c>
      <c r="S318">
        <f>COUNTIF(A:A,A318)</f>
        <v>1</v>
      </c>
      <c r="T318" t="str">
        <f>IF(OR(H318="",LOWER(TRIM(H318&amp;""))="missing",LOWER(TRIM(H318&amp;""))=""),"Missing/",IFERROR(IF(OR(VALUE(H318)&lt;0,VALUE(H318)&gt;110),"Invalid","Valid"),"Check Format"))</f>
        <v>Missing/</v>
      </c>
      <c r="U318" t="str">
        <f>IF(Raw_Data[[#This Row],[Age_Check]]="Valid",H318,"")</f>
        <v/>
      </c>
      <c r="V318" t="str">
        <f>IF(OR(K318="",UPPER(TRIM(K318&amp;""))="",LOWER(TRIM(K318&amp;""))="",LOWER(TRIM(K318&amp;""))="",LOWER(TRIM(K318&amp;""))="missing"),"Missing/",IFERROR(IF(VALUE(K318)&lt;0,"Invalid","Valid"),"Check Format"))</f>
        <v>Valid</v>
      </c>
      <c r="W318" t="str">
        <f>IF(OR(E318="",F318=""),"Missing Date/Time",IFERROR(IF(F318&gt;E318,"Arrival After Appointment","OK"),"Check Format"))</f>
        <v>Arrival After Appointment</v>
      </c>
      <c r="X318" t="str">
        <f>IF(OR(F318="",G318=""),"Missing Date/Time",IFERROR(IF(G318&lt;F318,"Discharge Before Arrival","OK"),"Check Format"))</f>
        <v>OK</v>
      </c>
    </row>
    <row r="319" spans="1:24" x14ac:dyDescent="0.25">
      <c r="A319" s="2" t="s">
        <v>676</v>
      </c>
      <c r="B319" s="2" t="s">
        <v>395</v>
      </c>
      <c r="C319" s="3" t="s">
        <v>46</v>
      </c>
      <c r="D319" s="3" t="s">
        <v>20</v>
      </c>
      <c r="E319" s="4">
        <v>45395.565972222219</v>
      </c>
      <c r="F319" s="4">
        <v>45395.560416666667</v>
      </c>
      <c r="G319" s="4">
        <v>45395.656944444447</v>
      </c>
      <c r="H319" s="5">
        <v>145</v>
      </c>
      <c r="I319" s="3" t="s">
        <v>95</v>
      </c>
      <c r="J319" s="3" t="s">
        <v>22</v>
      </c>
      <c r="K319" s="5">
        <v>88</v>
      </c>
      <c r="L319" s="5">
        <v>43</v>
      </c>
      <c r="M319" s="3" t="s">
        <v>23</v>
      </c>
      <c r="N319" t="s">
        <v>91</v>
      </c>
      <c r="O319" s="5">
        <v>6</v>
      </c>
      <c r="P319" s="3" t="s">
        <v>80</v>
      </c>
      <c r="Q319" s="2">
        <v>137.07</v>
      </c>
      <c r="R319" s="3" t="s">
        <v>43</v>
      </c>
      <c r="S319">
        <f>COUNTIF(A:A,A319)</f>
        <v>1</v>
      </c>
      <c r="T319" t="str">
        <f>IF(OR(H319="",LOWER(TRIM(H319&amp;""))="missing",LOWER(TRIM(H319&amp;""))=""),"Missing/",IFERROR(IF(OR(VALUE(H319)&lt;0,VALUE(H319)&gt;110),"Invalid","Valid"),"Check Format"))</f>
        <v>Invalid</v>
      </c>
      <c r="U319" t="str">
        <f>IF(Raw_Data[[#This Row],[Age_Check]]="Valid",H319,"")</f>
        <v/>
      </c>
      <c r="V319" t="str">
        <f>IF(OR(K319="",UPPER(TRIM(K319&amp;""))="",LOWER(TRIM(K319&amp;""))="",LOWER(TRIM(K319&amp;""))="",LOWER(TRIM(K319&amp;""))="missing"),"Missing/",IFERROR(IF(VALUE(K319)&lt;0,"Invalid","Valid"),"Check Format"))</f>
        <v>Valid</v>
      </c>
      <c r="W319" t="str">
        <f>IF(OR(E319="",F319=""),"Missing Date/Time",IFERROR(IF(F319&gt;E319,"Arrival After Appointment","OK"),"Check Format"))</f>
        <v>OK</v>
      </c>
      <c r="X319" t="str">
        <f>IF(OR(F319="",G319=""),"Missing Date/Time",IFERROR(IF(G319&lt;F319,"Discharge Before Arrival","OK"),"Check Format"))</f>
        <v>OK</v>
      </c>
    </row>
    <row r="320" spans="1:24" x14ac:dyDescent="0.25">
      <c r="A320" s="2" t="s">
        <v>677</v>
      </c>
      <c r="B320" s="2" t="s">
        <v>379</v>
      </c>
      <c r="D320" s="3" t="s">
        <v>106</v>
      </c>
      <c r="E320" s="4">
        <v>45339.638888888891</v>
      </c>
      <c r="F320" s="4">
        <v>45339.618055555555</v>
      </c>
      <c r="G320" s="4">
        <v>45339.731944444444</v>
      </c>
      <c r="H320" s="5">
        <v>145</v>
      </c>
      <c r="J320" s="3" t="s">
        <v>171</v>
      </c>
      <c r="K320" s="5">
        <v>122</v>
      </c>
      <c r="L320" s="5">
        <v>12</v>
      </c>
      <c r="M320" s="3" t="s">
        <v>23</v>
      </c>
      <c r="O320" s="5">
        <v>1</v>
      </c>
      <c r="P320" s="3" t="s">
        <v>80</v>
      </c>
      <c r="Q320" s="2">
        <v>22.96</v>
      </c>
      <c r="R320" s="3" t="s">
        <v>43</v>
      </c>
      <c r="S320">
        <f>COUNTIF(A:A,A320)</f>
        <v>1</v>
      </c>
      <c r="T320" t="str">
        <f>IF(OR(H320="",LOWER(TRIM(H320&amp;""))="missing",LOWER(TRIM(H320&amp;""))=""),"Missing/",IFERROR(IF(OR(VALUE(H320)&lt;0,VALUE(H320)&gt;110),"Invalid","Valid"),"Check Format"))</f>
        <v>Invalid</v>
      </c>
      <c r="U320" t="str">
        <f>IF(Raw_Data[[#This Row],[Age_Check]]="Valid",H320,"")</f>
        <v/>
      </c>
      <c r="V320" t="str">
        <f>IF(OR(K320="",UPPER(TRIM(K320&amp;""))="",LOWER(TRIM(K320&amp;""))="",LOWER(TRIM(K320&amp;""))="",LOWER(TRIM(K320&amp;""))="missing"),"Missing/",IFERROR(IF(VALUE(K320)&lt;0,"Invalid","Valid"),"Check Format"))</f>
        <v>Valid</v>
      </c>
      <c r="W320" t="str">
        <f>IF(OR(E320="",F320=""),"Missing Date/Time",IFERROR(IF(F320&gt;E320,"Arrival After Appointment","OK"),"Check Format"))</f>
        <v>OK</v>
      </c>
      <c r="X320" t="str">
        <f>IF(OR(F320="",G320=""),"Missing Date/Time",IFERROR(IF(G320&lt;F320,"Discharge Before Arrival","OK"),"Check Format"))</f>
        <v>OK</v>
      </c>
    </row>
    <row r="321" spans="1:24" x14ac:dyDescent="0.25">
      <c r="A321" s="2" t="s">
        <v>678</v>
      </c>
      <c r="B321" s="2" t="s">
        <v>117</v>
      </c>
      <c r="C321" s="3" t="s">
        <v>94</v>
      </c>
      <c r="D321" s="3" t="s">
        <v>55</v>
      </c>
      <c r="E321" s="4" t="s">
        <v>679</v>
      </c>
      <c r="F321" s="4">
        <v>45744.645138888889</v>
      </c>
      <c r="G321" s="4">
        <v>45744.693749999999</v>
      </c>
      <c r="H321" s="5">
        <v>0</v>
      </c>
      <c r="I321" s="3" t="s">
        <v>73</v>
      </c>
      <c r="J321" s="3" t="s">
        <v>62</v>
      </c>
      <c r="K321" s="5">
        <v>33</v>
      </c>
      <c r="L321" s="5">
        <v>31</v>
      </c>
      <c r="M321" s="3" t="s">
        <v>41</v>
      </c>
      <c r="N321" t="s">
        <v>103</v>
      </c>
      <c r="O321" s="5">
        <v>5</v>
      </c>
      <c r="P321" s="3" t="s">
        <v>25</v>
      </c>
      <c r="Q321" s="2">
        <v>164.47</v>
      </c>
      <c r="R321" s="3" t="s">
        <v>58</v>
      </c>
      <c r="S321">
        <f>COUNTIF(A:A,A321)</f>
        <v>1</v>
      </c>
      <c r="T321" t="str">
        <f>IF(OR(H321="",LOWER(TRIM(H321&amp;""))="missing",LOWER(TRIM(H321&amp;""))=""),"Missing/",IFERROR(IF(OR(VALUE(H321)&lt;0,VALUE(H321)&gt;110),"Invalid","Valid"),"Check Format"))</f>
        <v>Valid</v>
      </c>
      <c r="U321">
        <f>IF(Raw_Data[[#This Row],[Age_Check]]="Valid",H321,"")</f>
        <v>0</v>
      </c>
      <c r="V321" t="str">
        <f>IF(OR(K321="",UPPER(TRIM(K321&amp;""))="",LOWER(TRIM(K321&amp;""))="",LOWER(TRIM(K321&amp;""))="",LOWER(TRIM(K321&amp;""))="missing"),"Missing/",IFERROR(IF(VALUE(K321)&lt;0,"Invalid","Valid"),"Check Format"))</f>
        <v>Valid</v>
      </c>
      <c r="W321" t="str">
        <f>IF(OR(E321="",F321=""),"Missing Date/Time",IFERROR(IF(F321&gt;E321,"Arrival After Appointment","OK"),"Check Format"))</f>
        <v>OK</v>
      </c>
      <c r="X321" t="str">
        <f>IF(OR(F321="",G321=""),"Missing Date/Time",IFERROR(IF(G321&lt;F321,"Discharge Before Arrival","OK"),"Check Format"))</f>
        <v>OK</v>
      </c>
    </row>
    <row r="322" spans="1:24" x14ac:dyDescent="0.25">
      <c r="A322" s="2" t="s">
        <v>680</v>
      </c>
      <c r="B322" s="2" t="s">
        <v>645</v>
      </c>
      <c r="D322" s="3" t="s">
        <v>38</v>
      </c>
      <c r="E322" s="4">
        <v>45834.552083333336</v>
      </c>
      <c r="F322" s="4">
        <v>45834.540972222225</v>
      </c>
      <c r="G322" s="4">
        <v>45834.612500000003</v>
      </c>
      <c r="I322" s="3" t="s">
        <v>95</v>
      </c>
      <c r="J322" s="3" t="s">
        <v>171</v>
      </c>
      <c r="K322" s="5">
        <v>49</v>
      </c>
      <c r="L322" s="5">
        <v>38</v>
      </c>
      <c r="M322" s="3" t="s">
        <v>87</v>
      </c>
      <c r="P322" s="3" t="s">
        <v>25</v>
      </c>
      <c r="Q322" s="2">
        <v>44.88</v>
      </c>
      <c r="R322" s="3" t="s">
        <v>43</v>
      </c>
      <c r="S322">
        <f>COUNTIF(A:A,A322)</f>
        <v>1</v>
      </c>
      <c r="T322" t="str">
        <f>IF(OR(H322="",LOWER(TRIM(H322&amp;""))="missing",LOWER(TRIM(H322&amp;""))=""),"Missing/",IFERROR(IF(OR(VALUE(H322)&lt;0,VALUE(H322)&gt;110),"Invalid","Valid"),"Check Format"))</f>
        <v>Missing/</v>
      </c>
      <c r="U322" t="str">
        <f>IF(Raw_Data[[#This Row],[Age_Check]]="Valid",H322,"")</f>
        <v/>
      </c>
      <c r="V322" t="str">
        <f>IF(OR(K322="",UPPER(TRIM(K322&amp;""))="",LOWER(TRIM(K322&amp;""))="",LOWER(TRIM(K322&amp;""))="",LOWER(TRIM(K322&amp;""))="missing"),"Missing/",IFERROR(IF(VALUE(K322)&lt;0,"Invalid","Valid"),"Check Format"))</f>
        <v>Valid</v>
      </c>
      <c r="W322" t="str">
        <f>IF(OR(E322="",F322=""),"Missing Date/Time",IFERROR(IF(F322&gt;E322,"Arrival After Appointment","OK"),"Check Format"))</f>
        <v>OK</v>
      </c>
      <c r="X322" t="str">
        <f>IF(OR(F322="",G322=""),"Missing Date/Time",IFERROR(IF(G322&lt;F322,"Discharge Before Arrival","OK"),"Check Format"))</f>
        <v>OK</v>
      </c>
    </row>
    <row r="323" spans="1:24" x14ac:dyDescent="0.25">
      <c r="A323" s="2" t="s">
        <v>681</v>
      </c>
      <c r="B323" s="2" t="s">
        <v>682</v>
      </c>
      <c r="C323" s="3" t="s">
        <v>46</v>
      </c>
      <c r="D323" s="3" t="s">
        <v>47</v>
      </c>
      <c r="E323" s="4" t="s">
        <v>683</v>
      </c>
      <c r="F323" s="4">
        <v>45948.399305555555</v>
      </c>
      <c r="G323" s="4">
        <v>45948.502083333333</v>
      </c>
      <c r="H323" s="5">
        <v>145</v>
      </c>
      <c r="J323" s="3" t="s">
        <v>67</v>
      </c>
      <c r="K323" s="5">
        <v>108</v>
      </c>
      <c r="L323" s="5">
        <v>30</v>
      </c>
      <c r="M323" s="3" t="s">
        <v>68</v>
      </c>
      <c r="N323" t="s">
        <v>69</v>
      </c>
      <c r="O323" s="5">
        <v>6</v>
      </c>
      <c r="P323" s="3" t="s">
        <v>25</v>
      </c>
      <c r="Q323" s="2">
        <v>234.38</v>
      </c>
      <c r="R323" s="3" t="s">
        <v>58</v>
      </c>
      <c r="S323">
        <f>COUNTIF(A:A,A323)</f>
        <v>1</v>
      </c>
      <c r="T323" t="str">
        <f>IF(OR(H323="",LOWER(TRIM(H323&amp;""))="missing",LOWER(TRIM(H323&amp;""))=""),"Missing/",IFERROR(IF(OR(VALUE(H323)&lt;0,VALUE(H323)&gt;110),"Invalid","Valid"),"Check Format"))</f>
        <v>Invalid</v>
      </c>
      <c r="U323" t="str">
        <f>IF(Raw_Data[[#This Row],[Age_Check]]="Valid",H323,"")</f>
        <v/>
      </c>
      <c r="V323" t="str">
        <f>IF(OR(K323="",UPPER(TRIM(K323&amp;""))="",LOWER(TRIM(K323&amp;""))="",LOWER(TRIM(K323&amp;""))="",LOWER(TRIM(K323&amp;""))="missing"),"Missing/",IFERROR(IF(VALUE(K323)&lt;0,"Invalid","Valid"),"Check Format"))</f>
        <v>Valid</v>
      </c>
      <c r="W323" t="str">
        <f>IF(OR(E323="",F323=""),"Missing Date/Time",IFERROR(IF(F323&gt;E323,"Arrival After Appointment","OK"),"Check Format"))</f>
        <v>OK</v>
      </c>
      <c r="X323" t="str">
        <f>IF(OR(F323="",G323=""),"Missing Date/Time",IFERROR(IF(G323&lt;F323,"Discharge Before Arrival","OK"),"Check Format"))</f>
        <v>OK</v>
      </c>
    </row>
    <row r="324" spans="1:24" x14ac:dyDescent="0.25">
      <c r="A324" s="2" t="s">
        <v>684</v>
      </c>
      <c r="B324" s="2" t="s">
        <v>685</v>
      </c>
      <c r="C324" s="3" t="s">
        <v>94</v>
      </c>
      <c r="D324" s="3" t="s">
        <v>23</v>
      </c>
      <c r="E324" s="4" t="s">
        <v>686</v>
      </c>
      <c r="F324" s="4">
        <v>45706.418749999997</v>
      </c>
      <c r="G324" s="4">
        <v>45706.506249999999</v>
      </c>
      <c r="H324" s="5">
        <v>145</v>
      </c>
      <c r="I324" s="3" t="s">
        <v>90</v>
      </c>
      <c r="J324" s="3" t="s">
        <v>62</v>
      </c>
      <c r="K324" s="5">
        <v>69</v>
      </c>
      <c r="L324" s="5">
        <v>40</v>
      </c>
      <c r="M324" s="3" t="s">
        <v>41</v>
      </c>
      <c r="N324" t="s">
        <v>69</v>
      </c>
      <c r="O324" s="5">
        <v>6</v>
      </c>
      <c r="P324" s="3" t="s">
        <v>25</v>
      </c>
      <c r="Q324" s="2">
        <v>190.58</v>
      </c>
      <c r="R324" s="3" t="s">
        <v>75</v>
      </c>
      <c r="S324">
        <f>COUNTIF(A:A,A324)</f>
        <v>1</v>
      </c>
      <c r="T324" t="str">
        <f>IF(OR(H324="",LOWER(TRIM(H324&amp;""))="missing",LOWER(TRIM(H324&amp;""))=""),"Missing/",IFERROR(IF(OR(VALUE(H324)&lt;0,VALUE(H324)&gt;110),"Invalid","Valid"),"Check Format"))</f>
        <v>Invalid</v>
      </c>
      <c r="U324" t="str">
        <f>IF(Raw_Data[[#This Row],[Age_Check]]="Valid",H324,"")</f>
        <v/>
      </c>
      <c r="V324" t="str">
        <f>IF(OR(K324="",UPPER(TRIM(K324&amp;""))="",LOWER(TRIM(K324&amp;""))="",LOWER(TRIM(K324&amp;""))="",LOWER(TRIM(K324&amp;""))="missing"),"Missing/",IFERROR(IF(VALUE(K324)&lt;0,"Invalid","Valid"),"Check Format"))</f>
        <v>Valid</v>
      </c>
      <c r="W324" t="str">
        <f>IF(OR(E324="",F324=""),"Missing Date/Time",IFERROR(IF(F324&gt;E324,"Arrival After Appointment","OK"),"Check Format"))</f>
        <v>OK</v>
      </c>
      <c r="X324" t="str">
        <f>IF(OR(F324="",G324=""),"Missing Date/Time",IFERROR(IF(G324&lt;F324,"Discharge Before Arrival","OK"),"Check Format"))</f>
        <v>OK</v>
      </c>
    </row>
    <row r="325" spans="1:24" x14ac:dyDescent="0.25">
      <c r="A325" s="2" t="s">
        <v>687</v>
      </c>
      <c r="B325" s="2" t="s">
        <v>154</v>
      </c>
      <c r="C325" s="3" t="s">
        <v>19</v>
      </c>
      <c r="D325" s="3" t="s">
        <v>30</v>
      </c>
      <c r="E325" s="4">
        <v>45353.513888888891</v>
      </c>
      <c r="F325" s="4">
        <v>45353.501388888886</v>
      </c>
      <c r="G325" s="4">
        <v>45353.594444444447</v>
      </c>
      <c r="H325" s="5">
        <v>43</v>
      </c>
      <c r="K325" s="5">
        <v>73</v>
      </c>
      <c r="L325" s="5">
        <v>43</v>
      </c>
      <c r="M325" s="3" t="s">
        <v>50</v>
      </c>
      <c r="N325" t="s">
        <v>91</v>
      </c>
      <c r="Q325" s="2">
        <v>251.33</v>
      </c>
      <c r="R325" s="3" t="s">
        <v>26</v>
      </c>
      <c r="S325">
        <f>COUNTIF(A:A,A325)</f>
        <v>1</v>
      </c>
      <c r="T325" t="str">
        <f>IF(OR(H325="",LOWER(TRIM(H325&amp;""))="missing",LOWER(TRIM(H325&amp;""))=""),"Missing/",IFERROR(IF(OR(VALUE(H325)&lt;0,VALUE(H325)&gt;110),"Invalid","Valid"),"Check Format"))</f>
        <v>Valid</v>
      </c>
      <c r="U325">
        <f>IF(Raw_Data[[#This Row],[Age_Check]]="Valid",H325,"")</f>
        <v>43</v>
      </c>
      <c r="V325" t="str">
        <f>IF(OR(K325="",UPPER(TRIM(K325&amp;""))="",LOWER(TRIM(K325&amp;""))="",LOWER(TRIM(K325&amp;""))="",LOWER(TRIM(K325&amp;""))="missing"),"Missing/",IFERROR(IF(VALUE(K325)&lt;0,"Invalid","Valid"),"Check Format"))</f>
        <v>Valid</v>
      </c>
      <c r="W325" t="str">
        <f>IF(OR(E325="",F325=""),"Missing Date/Time",IFERROR(IF(F325&gt;E325,"Arrival After Appointment","OK"),"Check Format"))</f>
        <v>OK</v>
      </c>
      <c r="X325" t="str">
        <f>IF(OR(F325="",G325=""),"Missing Date/Time",IFERROR(IF(G325&lt;F325,"Discharge Before Arrival","OK"),"Check Format"))</f>
        <v>OK</v>
      </c>
    </row>
    <row r="326" spans="1:24" x14ac:dyDescent="0.25">
      <c r="A326" s="2" t="s">
        <v>688</v>
      </c>
      <c r="B326" s="2" t="s">
        <v>60</v>
      </c>
      <c r="C326" s="3" t="s">
        <v>19</v>
      </c>
      <c r="D326" s="3" t="s">
        <v>149</v>
      </c>
      <c r="E326" s="4">
        <v>45545.350694444445</v>
      </c>
      <c r="F326" s="4">
        <v>45545.341666666667</v>
      </c>
      <c r="G326" s="4">
        <v>45545.425694444442</v>
      </c>
      <c r="H326" s="5">
        <v>10</v>
      </c>
      <c r="I326" s="3" t="s">
        <v>95</v>
      </c>
      <c r="K326" s="5">
        <v>64</v>
      </c>
      <c r="L326" s="5">
        <v>44</v>
      </c>
      <c r="M326" s="3" t="s">
        <v>68</v>
      </c>
      <c r="N326" t="s">
        <v>24</v>
      </c>
      <c r="O326" s="5">
        <v>2</v>
      </c>
      <c r="P326" s="3" t="s">
        <v>25</v>
      </c>
      <c r="Q326" s="2">
        <v>137.82</v>
      </c>
      <c r="R326" s="3" t="s">
        <v>58</v>
      </c>
      <c r="S326">
        <f>COUNTIF(A:A,A326)</f>
        <v>1</v>
      </c>
      <c r="T326" t="str">
        <f>IF(OR(H326="",LOWER(TRIM(H326&amp;""))="missing",LOWER(TRIM(H326&amp;""))=""),"Missing/",IFERROR(IF(OR(VALUE(H326)&lt;0,VALUE(H326)&gt;110),"Invalid","Valid"),"Check Format"))</f>
        <v>Valid</v>
      </c>
      <c r="U326">
        <f>IF(Raw_Data[[#This Row],[Age_Check]]="Valid",H326,"")</f>
        <v>10</v>
      </c>
      <c r="V326" t="str">
        <f>IF(OR(K326="",UPPER(TRIM(K326&amp;""))="",LOWER(TRIM(K326&amp;""))="",LOWER(TRIM(K326&amp;""))="",LOWER(TRIM(K326&amp;""))="missing"),"Missing/",IFERROR(IF(VALUE(K326)&lt;0,"Invalid","Valid"),"Check Format"))</f>
        <v>Valid</v>
      </c>
      <c r="W326" t="str">
        <f>IF(OR(E326="",F326=""),"Missing Date/Time",IFERROR(IF(F326&gt;E326,"Arrival After Appointment","OK"),"Check Format"))</f>
        <v>OK</v>
      </c>
      <c r="X326" t="str">
        <f>IF(OR(F326="",G326=""),"Missing Date/Time",IFERROR(IF(G326&lt;F326,"Discharge Before Arrival","OK"),"Check Format"))</f>
        <v>OK</v>
      </c>
    </row>
    <row r="327" spans="1:24" x14ac:dyDescent="0.25">
      <c r="A327" s="2" t="s">
        <v>689</v>
      </c>
      <c r="B327" s="2" t="s">
        <v>339</v>
      </c>
      <c r="C327" s="3" t="s">
        <v>94</v>
      </c>
      <c r="D327" s="3" t="s">
        <v>174</v>
      </c>
      <c r="E327" s="4">
        <v>45562.690972222219</v>
      </c>
      <c r="F327" s="4">
        <v>45562.688194444447</v>
      </c>
      <c r="G327" s="4">
        <v>45562.779166666667</v>
      </c>
      <c r="J327" s="3" t="s">
        <v>67</v>
      </c>
      <c r="K327" s="5">
        <v>108</v>
      </c>
      <c r="L327" s="5">
        <v>19</v>
      </c>
      <c r="M327" s="3" t="s">
        <v>23</v>
      </c>
      <c r="N327" t="s">
        <v>24</v>
      </c>
      <c r="O327" s="5">
        <v>4</v>
      </c>
      <c r="P327" s="3" t="s">
        <v>42</v>
      </c>
      <c r="Q327" s="2">
        <v>289.08</v>
      </c>
      <c r="R327" s="3" t="s">
        <v>26</v>
      </c>
      <c r="S327">
        <f>COUNTIF(A:A,A327)</f>
        <v>1</v>
      </c>
      <c r="T327" t="str">
        <f>IF(OR(H327="",LOWER(TRIM(H327&amp;""))="missing",LOWER(TRIM(H327&amp;""))=""),"Missing/",IFERROR(IF(OR(VALUE(H327)&lt;0,VALUE(H327)&gt;110),"Invalid","Valid"),"Check Format"))</f>
        <v>Missing/</v>
      </c>
      <c r="U327" t="str">
        <f>IF(Raw_Data[[#This Row],[Age_Check]]="Valid",H327,"")</f>
        <v/>
      </c>
      <c r="V327" t="str">
        <f>IF(OR(K327="",UPPER(TRIM(K327&amp;""))="",LOWER(TRIM(K327&amp;""))="",LOWER(TRIM(K327&amp;""))="",LOWER(TRIM(K327&amp;""))="missing"),"Missing/",IFERROR(IF(VALUE(K327)&lt;0,"Invalid","Valid"),"Check Format"))</f>
        <v>Valid</v>
      </c>
      <c r="W327" t="str">
        <f>IF(OR(E327="",F327=""),"Missing Date/Time",IFERROR(IF(F327&gt;E327,"Arrival After Appointment","OK"),"Check Format"))</f>
        <v>OK</v>
      </c>
      <c r="X327" t="str">
        <f>IF(OR(F327="",G327=""),"Missing Date/Time",IFERROR(IF(G327&lt;F327,"Discharge Before Arrival","OK"),"Check Format"))</f>
        <v>OK</v>
      </c>
    </row>
    <row r="328" spans="1:24" x14ac:dyDescent="0.25">
      <c r="A328" s="2" t="s">
        <v>690</v>
      </c>
      <c r="B328" s="2" t="s">
        <v>691</v>
      </c>
      <c r="C328" s="3" t="s">
        <v>94</v>
      </c>
      <c r="D328" s="3" t="s">
        <v>149</v>
      </c>
      <c r="F328" s="4">
        <v>45710.330555555556</v>
      </c>
      <c r="G328" s="4">
        <v>45710.379861111112</v>
      </c>
      <c r="I328" s="3" t="s">
        <v>95</v>
      </c>
      <c r="J328" s="3" t="s">
        <v>150</v>
      </c>
      <c r="K328" s="5">
        <v>56</v>
      </c>
      <c r="L328" s="5">
        <v>6</v>
      </c>
      <c r="M328" s="3" t="s">
        <v>68</v>
      </c>
      <c r="N328" t="s">
        <v>69</v>
      </c>
      <c r="O328" s="5">
        <v>5</v>
      </c>
      <c r="P328" s="3" t="s">
        <v>25</v>
      </c>
      <c r="Q328" s="2">
        <v>155.25</v>
      </c>
      <c r="R328" s="3" t="s">
        <v>43</v>
      </c>
      <c r="S328">
        <f>COUNTIF(A:A,A328)</f>
        <v>1</v>
      </c>
      <c r="T328" t="str">
        <f>IF(OR(H328="",LOWER(TRIM(H328&amp;""))="missing",LOWER(TRIM(H328&amp;""))=""),"Missing/",IFERROR(IF(OR(VALUE(H328)&lt;0,VALUE(H328)&gt;110),"Invalid","Valid"),"Check Format"))</f>
        <v>Missing/</v>
      </c>
      <c r="U328" t="str">
        <f>IF(Raw_Data[[#This Row],[Age_Check]]="Valid",H328,"")</f>
        <v/>
      </c>
      <c r="V328" t="str">
        <f>IF(OR(K328="",UPPER(TRIM(K328&amp;""))="",LOWER(TRIM(K328&amp;""))="",LOWER(TRIM(K328&amp;""))="",LOWER(TRIM(K328&amp;""))="missing"),"Missing/",IFERROR(IF(VALUE(K328)&lt;0,"Invalid","Valid"),"Check Format"))</f>
        <v>Valid</v>
      </c>
      <c r="W328" t="str">
        <f>IF(OR(E328="",F328=""),"Missing Date/Time",IFERROR(IF(F328&gt;E328,"Arrival After Appointment","OK"),"Check Format"))</f>
        <v>Missing Date/Time</v>
      </c>
      <c r="X328" t="str">
        <f>IF(OR(F328="",G328=""),"Missing Date/Time",IFERROR(IF(G328&lt;F328,"Discharge Before Arrival","OK"),"Check Format"))</f>
        <v>OK</v>
      </c>
    </row>
    <row r="329" spans="1:24" x14ac:dyDescent="0.25">
      <c r="A329" s="2" t="s">
        <v>692</v>
      </c>
      <c r="B329" s="2" t="s">
        <v>359</v>
      </c>
      <c r="D329" s="3" t="s">
        <v>72</v>
      </c>
      <c r="E329" s="4">
        <v>45852.503472222219</v>
      </c>
      <c r="F329" s="4">
        <v>45852.486111111109</v>
      </c>
      <c r="G329" s="4">
        <v>45852.55972222222</v>
      </c>
      <c r="H329" s="5">
        <v>77</v>
      </c>
      <c r="I329" s="3" t="s">
        <v>95</v>
      </c>
      <c r="J329" s="3" t="s">
        <v>67</v>
      </c>
      <c r="K329" s="5">
        <v>34</v>
      </c>
      <c r="L329" s="5">
        <v>47</v>
      </c>
      <c r="M329" s="3" t="s">
        <v>32</v>
      </c>
      <c r="N329" t="s">
        <v>24</v>
      </c>
      <c r="P329" s="3" t="s">
        <v>25</v>
      </c>
      <c r="Q329" s="2">
        <v>92.79</v>
      </c>
      <c r="R329" s="3" t="s">
        <v>26</v>
      </c>
      <c r="S329">
        <f>COUNTIF(A:A,A329)</f>
        <v>1</v>
      </c>
      <c r="T329" t="str">
        <f>IF(OR(H329="",LOWER(TRIM(H329&amp;""))="missing",LOWER(TRIM(H329&amp;""))=""),"Missing/",IFERROR(IF(OR(VALUE(H329)&lt;0,VALUE(H329)&gt;110),"Invalid","Valid"),"Check Format"))</f>
        <v>Valid</v>
      </c>
      <c r="U329">
        <f>IF(Raw_Data[[#This Row],[Age_Check]]="Valid",H329,"")</f>
        <v>77</v>
      </c>
      <c r="V329" t="str">
        <f>IF(OR(K329="",UPPER(TRIM(K329&amp;""))="",LOWER(TRIM(K329&amp;""))="",LOWER(TRIM(K329&amp;""))="",LOWER(TRIM(K329&amp;""))="missing"),"Missing/",IFERROR(IF(VALUE(K329)&lt;0,"Invalid","Valid"),"Check Format"))</f>
        <v>Valid</v>
      </c>
      <c r="W329" t="str">
        <f>IF(OR(E329="",F329=""),"Missing Date/Time",IFERROR(IF(F329&gt;E329,"Arrival After Appointment","OK"),"Check Format"))</f>
        <v>OK</v>
      </c>
      <c r="X329" t="str">
        <f>IF(OR(F329="",G329=""),"Missing Date/Time",IFERROR(IF(G329&lt;F329,"Discharge Before Arrival","OK"),"Check Format"))</f>
        <v>OK</v>
      </c>
    </row>
    <row r="330" spans="1:24" x14ac:dyDescent="0.25">
      <c r="A330" s="2" t="s">
        <v>693</v>
      </c>
      <c r="B330" s="2" t="s">
        <v>134</v>
      </c>
      <c r="C330" s="3" t="s">
        <v>19</v>
      </c>
      <c r="D330" s="3" t="s">
        <v>47</v>
      </c>
      <c r="E330" s="4">
        <v>45696.527777777781</v>
      </c>
      <c r="F330" s="4">
        <v>45696.512499999997</v>
      </c>
      <c r="J330" s="3" t="s">
        <v>67</v>
      </c>
      <c r="K330" s="5">
        <v>42</v>
      </c>
      <c r="L330" s="5">
        <v>5</v>
      </c>
      <c r="M330" s="3" t="s">
        <v>23</v>
      </c>
      <c r="O330" s="5">
        <v>6</v>
      </c>
      <c r="P330" s="3" t="s">
        <v>25</v>
      </c>
      <c r="Q330" s="2">
        <v>108.82</v>
      </c>
      <c r="R330" s="3" t="s">
        <v>58</v>
      </c>
      <c r="S330">
        <f>COUNTIF(A:A,A330)</f>
        <v>1</v>
      </c>
      <c r="T330" t="str">
        <f>IF(OR(H330="",LOWER(TRIM(H330&amp;""))="missing",LOWER(TRIM(H330&amp;""))=""),"Missing/",IFERROR(IF(OR(VALUE(H330)&lt;0,VALUE(H330)&gt;110),"Invalid","Valid"),"Check Format"))</f>
        <v>Missing/</v>
      </c>
      <c r="U330" t="str">
        <f>IF(Raw_Data[[#This Row],[Age_Check]]="Valid",H330,"")</f>
        <v/>
      </c>
      <c r="V330" t="str">
        <f>IF(OR(K330="",UPPER(TRIM(K330&amp;""))="",LOWER(TRIM(K330&amp;""))="",LOWER(TRIM(K330&amp;""))="",LOWER(TRIM(K330&amp;""))="missing"),"Missing/",IFERROR(IF(VALUE(K330)&lt;0,"Invalid","Valid"),"Check Format"))</f>
        <v>Valid</v>
      </c>
      <c r="W330" t="str">
        <f>IF(OR(E330="",F330=""),"Missing Date/Time",IFERROR(IF(F330&gt;E330,"Arrival After Appointment","OK"),"Check Format"))</f>
        <v>OK</v>
      </c>
      <c r="X330" t="str">
        <f>IF(OR(F330="",G330=""),"Missing Date/Time",IFERROR(IF(G330&lt;F330,"Discharge Before Arrival","OK"),"Check Format"))</f>
        <v>Missing Date/Time</v>
      </c>
    </row>
    <row r="331" spans="1:24" x14ac:dyDescent="0.25">
      <c r="A331" s="2" t="s">
        <v>694</v>
      </c>
      <c r="B331" s="2" t="s">
        <v>695</v>
      </c>
      <c r="C331" s="3" t="s">
        <v>37</v>
      </c>
      <c r="D331" s="3" t="s">
        <v>55</v>
      </c>
      <c r="E331" s="4">
        <v>45806.295138888891</v>
      </c>
      <c r="F331" s="4">
        <v>45806.279861111114</v>
      </c>
      <c r="G331" s="4">
        <v>45806.298611111109</v>
      </c>
      <c r="H331" s="5">
        <v>74</v>
      </c>
      <c r="K331" s="5">
        <v>0</v>
      </c>
      <c r="L331" s="5">
        <v>5</v>
      </c>
      <c r="M331" s="3" t="s">
        <v>41</v>
      </c>
      <c r="N331" t="s">
        <v>69</v>
      </c>
      <c r="O331" s="5">
        <v>0</v>
      </c>
      <c r="Q331" s="2">
        <v>205.83</v>
      </c>
      <c r="R331" s="3" t="s">
        <v>75</v>
      </c>
      <c r="S331">
        <f>COUNTIF(A:A,A331)</f>
        <v>1</v>
      </c>
      <c r="T331" t="str">
        <f>IF(OR(H331="",LOWER(TRIM(H331&amp;""))="missing",LOWER(TRIM(H331&amp;""))=""),"Missing/",IFERROR(IF(OR(VALUE(H331)&lt;0,VALUE(H331)&gt;110),"Invalid","Valid"),"Check Format"))</f>
        <v>Valid</v>
      </c>
      <c r="U331">
        <f>IF(Raw_Data[[#This Row],[Age_Check]]="Valid",H331,"")</f>
        <v>74</v>
      </c>
      <c r="V331" t="str">
        <f>IF(OR(K331="",UPPER(TRIM(K331&amp;""))="",LOWER(TRIM(K331&amp;""))="",LOWER(TRIM(K331&amp;""))="",LOWER(TRIM(K331&amp;""))="missing"),"Missing/",IFERROR(IF(VALUE(K331)&lt;0,"Invalid","Valid"),"Check Format"))</f>
        <v>Valid</v>
      </c>
      <c r="W331" t="str">
        <f>IF(OR(E331="",F331=""),"Missing Date/Time",IFERROR(IF(F331&gt;E331,"Arrival After Appointment","OK"),"Check Format"))</f>
        <v>OK</v>
      </c>
      <c r="X331" t="str">
        <f>IF(OR(F331="",G331=""),"Missing Date/Time",IFERROR(IF(G331&lt;F331,"Discharge Before Arrival","OK"),"Check Format"))</f>
        <v>OK</v>
      </c>
    </row>
    <row r="332" spans="1:24" x14ac:dyDescent="0.25">
      <c r="A332" s="2" t="s">
        <v>696</v>
      </c>
      <c r="B332" s="2" t="s">
        <v>697</v>
      </c>
      <c r="C332" s="3" t="s">
        <v>46</v>
      </c>
      <c r="D332" s="3" t="s">
        <v>66</v>
      </c>
      <c r="E332" s="4">
        <v>45616.555555555555</v>
      </c>
      <c r="F332" s="4">
        <v>45616.55</v>
      </c>
      <c r="G332" s="4">
        <v>45616.64166666667</v>
      </c>
      <c r="I332" s="3" t="s">
        <v>95</v>
      </c>
      <c r="J332" s="3" t="s">
        <v>62</v>
      </c>
      <c r="K332" s="5">
        <v>85</v>
      </c>
      <c r="L332" s="5">
        <v>39</v>
      </c>
      <c r="M332" s="3" t="s">
        <v>87</v>
      </c>
      <c r="O332" s="5">
        <v>3</v>
      </c>
      <c r="P332" s="3" t="s">
        <v>42</v>
      </c>
      <c r="R332" s="3" t="s">
        <v>58</v>
      </c>
      <c r="S332">
        <f>COUNTIF(A:A,A332)</f>
        <v>1</v>
      </c>
      <c r="T332" t="str">
        <f>IF(OR(H332="",LOWER(TRIM(H332&amp;""))="missing",LOWER(TRIM(H332&amp;""))=""),"Missing/",IFERROR(IF(OR(VALUE(H332)&lt;0,VALUE(H332)&gt;110),"Invalid","Valid"),"Check Format"))</f>
        <v>Missing/</v>
      </c>
      <c r="U332" t="str">
        <f>IF(Raw_Data[[#This Row],[Age_Check]]="Valid",H332,"")</f>
        <v/>
      </c>
      <c r="V332" t="str">
        <f>IF(OR(K332="",UPPER(TRIM(K332&amp;""))="",LOWER(TRIM(K332&amp;""))="",LOWER(TRIM(K332&amp;""))="",LOWER(TRIM(K332&amp;""))="missing"),"Missing/",IFERROR(IF(VALUE(K332)&lt;0,"Invalid","Valid"),"Check Format"))</f>
        <v>Valid</v>
      </c>
      <c r="W332" t="str">
        <f>IF(OR(E332="",F332=""),"Missing Date/Time",IFERROR(IF(F332&gt;E332,"Arrival After Appointment","OK"),"Check Format"))</f>
        <v>OK</v>
      </c>
      <c r="X332" t="str">
        <f>IF(OR(F332="",G332=""),"Missing Date/Time",IFERROR(IF(G332&lt;F332,"Discharge Before Arrival","OK"),"Check Format"))</f>
        <v>OK</v>
      </c>
    </row>
    <row r="333" spans="1:24" x14ac:dyDescent="0.25">
      <c r="A333" s="2" t="s">
        <v>698</v>
      </c>
      <c r="B333" s="2" t="s">
        <v>699</v>
      </c>
      <c r="C333" s="3" t="s">
        <v>37</v>
      </c>
      <c r="D333" s="3" t="s">
        <v>20</v>
      </c>
      <c r="E333" s="4">
        <v>45556.545138888891</v>
      </c>
      <c r="F333" s="4">
        <v>45556.52847222222</v>
      </c>
      <c r="G333" s="4">
        <v>45556.583333333336</v>
      </c>
      <c r="H333" s="5">
        <v>14</v>
      </c>
      <c r="I333" s="3" t="s">
        <v>39</v>
      </c>
      <c r="J333" s="3" t="s">
        <v>67</v>
      </c>
      <c r="K333" s="5">
        <v>24</v>
      </c>
      <c r="L333" s="5">
        <v>31</v>
      </c>
      <c r="M333" s="3" t="s">
        <v>32</v>
      </c>
      <c r="O333" s="5">
        <v>0</v>
      </c>
      <c r="P333" s="3" t="s">
        <v>25</v>
      </c>
      <c r="Q333" s="2">
        <v>144.71</v>
      </c>
      <c r="R333" s="3" t="s">
        <v>43</v>
      </c>
      <c r="S333">
        <f>COUNTIF(A:A,A333)</f>
        <v>1</v>
      </c>
      <c r="T333" t="str">
        <f>IF(OR(H333="",LOWER(TRIM(H333&amp;""))="missing",LOWER(TRIM(H333&amp;""))=""),"Missing/",IFERROR(IF(OR(VALUE(H333)&lt;0,VALUE(H333)&gt;110),"Invalid","Valid"),"Check Format"))</f>
        <v>Valid</v>
      </c>
      <c r="U333">
        <f>IF(Raw_Data[[#This Row],[Age_Check]]="Valid",H333,"")</f>
        <v>14</v>
      </c>
      <c r="V333" t="str">
        <f>IF(OR(K333="",UPPER(TRIM(K333&amp;""))="",LOWER(TRIM(K333&amp;""))="",LOWER(TRIM(K333&amp;""))="",LOWER(TRIM(K333&amp;""))="missing"),"Missing/",IFERROR(IF(VALUE(K333)&lt;0,"Invalid","Valid"),"Check Format"))</f>
        <v>Valid</v>
      </c>
      <c r="W333" t="str">
        <f>IF(OR(E333="",F333=""),"Missing Date/Time",IFERROR(IF(F333&gt;E333,"Arrival After Appointment","OK"),"Check Format"))</f>
        <v>OK</v>
      </c>
      <c r="X333" t="str">
        <f>IF(OR(F333="",G333=""),"Missing Date/Time",IFERROR(IF(G333&lt;F333,"Discharge Before Arrival","OK"),"Check Format"))</f>
        <v>OK</v>
      </c>
    </row>
    <row r="334" spans="1:24" x14ac:dyDescent="0.25">
      <c r="A334" s="2" t="s">
        <v>700</v>
      </c>
      <c r="B334" s="2" t="s">
        <v>701</v>
      </c>
      <c r="C334" s="3" t="s">
        <v>94</v>
      </c>
      <c r="D334" s="3" t="s">
        <v>38</v>
      </c>
      <c r="E334" s="4">
        <v>45892.711805555555</v>
      </c>
      <c r="F334" s="4">
        <v>45892.693055555559</v>
      </c>
      <c r="G334" s="4">
        <v>45892.76458333333</v>
      </c>
      <c r="J334" s="3" t="s">
        <v>2639</v>
      </c>
      <c r="K334" s="5">
        <v>17</v>
      </c>
      <c r="L334" s="5">
        <v>59</v>
      </c>
      <c r="M334" s="3" t="s">
        <v>68</v>
      </c>
      <c r="N334" t="s">
        <v>24</v>
      </c>
      <c r="O334" s="5">
        <v>6</v>
      </c>
      <c r="P334" s="3" t="s">
        <v>80</v>
      </c>
      <c r="R334" s="3" t="s">
        <v>58</v>
      </c>
      <c r="S334">
        <f>COUNTIF(A:A,A334)</f>
        <v>1</v>
      </c>
      <c r="T334" t="str">
        <f>IF(OR(H334="",LOWER(TRIM(H334&amp;""))="missing",LOWER(TRIM(H334&amp;""))=""),"Missing/",IFERROR(IF(OR(VALUE(H334)&lt;0,VALUE(H334)&gt;110),"Invalid","Valid"),"Check Format"))</f>
        <v>Missing/</v>
      </c>
      <c r="U334" t="str">
        <f>IF(Raw_Data[[#This Row],[Age_Check]]="Valid",H334,"")</f>
        <v/>
      </c>
      <c r="V334" t="str">
        <f>IF(OR(K334="",UPPER(TRIM(K334&amp;""))="",LOWER(TRIM(K334&amp;""))="",LOWER(TRIM(K334&amp;""))="",LOWER(TRIM(K334&amp;""))="missing"),"Missing/",IFERROR(IF(VALUE(K334)&lt;0,"Invalid","Valid"),"Check Format"))</f>
        <v>Valid</v>
      </c>
      <c r="W334" t="str">
        <f>IF(OR(E334="",F334=""),"Missing Date/Time",IFERROR(IF(F334&gt;E334,"Arrival After Appointment","OK"),"Check Format"))</f>
        <v>OK</v>
      </c>
      <c r="X334" t="str">
        <f>IF(OR(F334="",G334=""),"Missing Date/Time",IFERROR(IF(G334&lt;F334,"Discharge Before Arrival","OK"),"Check Format"))</f>
        <v>OK</v>
      </c>
    </row>
    <row r="335" spans="1:24" x14ac:dyDescent="0.25">
      <c r="A335" s="2" t="s">
        <v>702</v>
      </c>
      <c r="B335" s="2" t="s">
        <v>123</v>
      </c>
      <c r="C335" s="3" t="s">
        <v>29</v>
      </c>
      <c r="D335" s="3" t="s">
        <v>61</v>
      </c>
      <c r="E335" s="4" t="s">
        <v>703</v>
      </c>
      <c r="F335" s="4">
        <v>45463.287499999999</v>
      </c>
      <c r="G335" s="4">
        <v>45463.37222222222</v>
      </c>
      <c r="H335" s="5">
        <v>65</v>
      </c>
      <c r="I335" s="3" t="s">
        <v>95</v>
      </c>
      <c r="J335" s="3" t="s">
        <v>62</v>
      </c>
      <c r="K335" s="5">
        <v>88</v>
      </c>
      <c r="L335" s="5">
        <v>28</v>
      </c>
      <c r="M335" s="3" t="s">
        <v>23</v>
      </c>
      <c r="N335" t="s">
        <v>103</v>
      </c>
      <c r="P335" s="3" t="s">
        <v>25</v>
      </c>
      <c r="Q335" s="2">
        <v>147.15</v>
      </c>
      <c r="R335" s="3" t="s">
        <v>26</v>
      </c>
      <c r="S335">
        <f>COUNTIF(A:A,A335)</f>
        <v>1</v>
      </c>
      <c r="T335" t="str">
        <f>IF(OR(H335="",LOWER(TRIM(H335&amp;""))="missing",LOWER(TRIM(H335&amp;""))=""),"Missing/",IFERROR(IF(OR(VALUE(H335)&lt;0,VALUE(H335)&gt;110),"Invalid","Valid"),"Check Format"))</f>
        <v>Valid</v>
      </c>
      <c r="U335">
        <f>IF(Raw_Data[[#This Row],[Age_Check]]="Valid",H335,"")</f>
        <v>65</v>
      </c>
      <c r="V335" t="str">
        <f>IF(OR(K335="",UPPER(TRIM(K335&amp;""))="",LOWER(TRIM(K335&amp;""))="",LOWER(TRIM(K335&amp;""))="",LOWER(TRIM(K335&amp;""))="missing"),"Missing/",IFERROR(IF(VALUE(K335)&lt;0,"Invalid","Valid"),"Check Format"))</f>
        <v>Valid</v>
      </c>
      <c r="W335" t="str">
        <f>IF(OR(E335="",F335=""),"Missing Date/Time",IFERROR(IF(F335&gt;E335,"Arrival After Appointment","OK"),"Check Format"))</f>
        <v>OK</v>
      </c>
      <c r="X335" t="str">
        <f>IF(OR(F335="",G335=""),"Missing Date/Time",IFERROR(IF(G335&lt;F335,"Discharge Before Arrival","OK"),"Check Format"))</f>
        <v>OK</v>
      </c>
    </row>
    <row r="336" spans="1:24" x14ac:dyDescent="0.25">
      <c r="A336" s="2" t="s">
        <v>704</v>
      </c>
      <c r="B336" s="2" t="s">
        <v>366</v>
      </c>
      <c r="C336" s="3" t="s">
        <v>46</v>
      </c>
      <c r="D336" s="3" t="s">
        <v>47</v>
      </c>
      <c r="E336" s="4" t="s">
        <v>705</v>
      </c>
      <c r="F336" s="4">
        <v>45808.527777777781</v>
      </c>
      <c r="G336" s="4">
        <v>45808.583333333336</v>
      </c>
      <c r="I336" s="3" t="s">
        <v>95</v>
      </c>
      <c r="J336" s="3" t="s">
        <v>150</v>
      </c>
      <c r="K336" s="5">
        <v>65</v>
      </c>
      <c r="L336" s="5">
        <v>5</v>
      </c>
      <c r="M336" s="3" t="s">
        <v>68</v>
      </c>
      <c r="N336" t="s">
        <v>74</v>
      </c>
      <c r="O336" s="5">
        <v>5</v>
      </c>
      <c r="P336" s="3" t="s">
        <v>25</v>
      </c>
      <c r="Q336" s="2">
        <v>125.23</v>
      </c>
      <c r="R336" s="3" t="s">
        <v>58</v>
      </c>
      <c r="S336">
        <f>COUNTIF(A:A,A336)</f>
        <v>1</v>
      </c>
      <c r="T336" t="str">
        <f>IF(OR(H336="",LOWER(TRIM(H336&amp;""))="missing",LOWER(TRIM(H336&amp;""))=""),"Missing/",IFERROR(IF(OR(VALUE(H336)&lt;0,VALUE(H336)&gt;110),"Invalid","Valid"),"Check Format"))</f>
        <v>Missing/</v>
      </c>
      <c r="U336" t="str">
        <f>IF(Raw_Data[[#This Row],[Age_Check]]="Valid",H336,"")</f>
        <v/>
      </c>
      <c r="V336" t="str">
        <f>IF(OR(K336="",UPPER(TRIM(K336&amp;""))="",LOWER(TRIM(K336&amp;""))="",LOWER(TRIM(K336&amp;""))="",LOWER(TRIM(K336&amp;""))="missing"),"Missing/",IFERROR(IF(VALUE(K336)&lt;0,"Invalid","Valid"),"Check Format"))</f>
        <v>Valid</v>
      </c>
      <c r="W336" t="str">
        <f>IF(OR(E336="",F336=""),"Missing Date/Time",IFERROR(IF(F336&gt;E336,"Arrival After Appointment","OK"),"Check Format"))</f>
        <v>OK</v>
      </c>
      <c r="X336" t="str">
        <f>IF(OR(F336="",G336=""),"Missing Date/Time",IFERROR(IF(G336&lt;F336,"Discharge Before Arrival","OK"),"Check Format"))</f>
        <v>OK</v>
      </c>
    </row>
    <row r="337" spans="1:24" x14ac:dyDescent="0.25">
      <c r="A337" s="2" t="s">
        <v>706</v>
      </c>
      <c r="B337" s="2" t="s">
        <v>467</v>
      </c>
      <c r="C337" s="3" t="s">
        <v>19</v>
      </c>
      <c r="D337" s="3" t="s">
        <v>115</v>
      </c>
      <c r="E337" s="4">
        <v>45694.628472222219</v>
      </c>
      <c r="F337" s="4">
        <v>45694.61041666667</v>
      </c>
      <c r="G337" s="4">
        <v>45694.661111111112</v>
      </c>
      <c r="I337" s="3" t="s">
        <v>95</v>
      </c>
      <c r="J337" s="3" t="s">
        <v>62</v>
      </c>
      <c r="K337" s="5">
        <v>34</v>
      </c>
      <c r="L337" s="5">
        <v>13</v>
      </c>
      <c r="M337" s="3" t="s">
        <v>87</v>
      </c>
      <c r="N337" t="s">
        <v>100</v>
      </c>
      <c r="O337" s="5">
        <v>3</v>
      </c>
      <c r="P337" s="3" t="s">
        <v>80</v>
      </c>
      <c r="R337" s="3" t="s">
        <v>58</v>
      </c>
      <c r="S337">
        <f>COUNTIF(A:A,A337)</f>
        <v>1</v>
      </c>
      <c r="T337" t="str">
        <f>IF(OR(H337="",LOWER(TRIM(H337&amp;""))="missing",LOWER(TRIM(H337&amp;""))=""),"Missing/",IFERROR(IF(OR(VALUE(H337)&lt;0,VALUE(H337)&gt;110),"Invalid","Valid"),"Check Format"))</f>
        <v>Missing/</v>
      </c>
      <c r="U337" t="str">
        <f>IF(Raw_Data[[#This Row],[Age_Check]]="Valid",H337,"")</f>
        <v/>
      </c>
      <c r="V337" t="str">
        <f>IF(OR(K337="",UPPER(TRIM(K337&amp;""))="",LOWER(TRIM(K337&amp;""))="",LOWER(TRIM(K337&amp;""))="",LOWER(TRIM(K337&amp;""))="missing"),"Missing/",IFERROR(IF(VALUE(K337)&lt;0,"Invalid","Valid"),"Check Format"))</f>
        <v>Valid</v>
      </c>
      <c r="W337" t="str">
        <f>IF(OR(E337="",F337=""),"Missing Date/Time",IFERROR(IF(F337&gt;E337,"Arrival After Appointment","OK"),"Check Format"))</f>
        <v>OK</v>
      </c>
      <c r="X337" t="str">
        <f>IF(OR(F337="",G337=""),"Missing Date/Time",IFERROR(IF(G337&lt;F337,"Discharge Before Arrival","OK"),"Check Format"))</f>
        <v>OK</v>
      </c>
    </row>
    <row r="338" spans="1:24" x14ac:dyDescent="0.25">
      <c r="A338" s="2" t="s">
        <v>707</v>
      </c>
      <c r="B338" s="2" t="s">
        <v>708</v>
      </c>
      <c r="C338" s="3" t="s">
        <v>29</v>
      </c>
      <c r="D338" s="3" t="s">
        <v>38</v>
      </c>
      <c r="E338" s="4">
        <v>45488.364583333336</v>
      </c>
      <c r="G338" s="4">
        <v>45488.442361111112</v>
      </c>
      <c r="H338" s="5">
        <v>145</v>
      </c>
      <c r="I338" s="3" t="s">
        <v>73</v>
      </c>
      <c r="J338" s="3" t="s">
        <v>22</v>
      </c>
      <c r="K338" s="5">
        <v>48</v>
      </c>
      <c r="L338" s="5">
        <v>64</v>
      </c>
      <c r="M338" s="3" t="s">
        <v>87</v>
      </c>
      <c r="N338" t="s">
        <v>24</v>
      </c>
      <c r="P338" s="3" t="s">
        <v>25</v>
      </c>
      <c r="Q338" s="2">
        <v>196.27</v>
      </c>
      <c r="R338" s="3" t="s">
        <v>43</v>
      </c>
      <c r="S338">
        <f>COUNTIF(A:A,A338)</f>
        <v>1</v>
      </c>
      <c r="T338" t="str">
        <f>IF(OR(H338="",LOWER(TRIM(H338&amp;""))="missing",LOWER(TRIM(H338&amp;""))=""),"Missing/",IFERROR(IF(OR(VALUE(H338)&lt;0,VALUE(H338)&gt;110),"Invalid","Valid"),"Check Format"))</f>
        <v>Invalid</v>
      </c>
      <c r="U338" t="str">
        <f>IF(Raw_Data[[#This Row],[Age_Check]]="Valid",H338,"")</f>
        <v/>
      </c>
      <c r="V338" t="str">
        <f>IF(OR(K338="",UPPER(TRIM(K338&amp;""))="",LOWER(TRIM(K338&amp;""))="",LOWER(TRIM(K338&amp;""))="",LOWER(TRIM(K338&amp;""))="missing"),"Missing/",IFERROR(IF(VALUE(K338)&lt;0,"Invalid","Valid"),"Check Format"))</f>
        <v>Valid</v>
      </c>
      <c r="W338" t="str">
        <f>IF(OR(E338="",F338=""),"Missing Date/Time",IFERROR(IF(F338&gt;E338,"Arrival After Appointment","OK"),"Check Format"))</f>
        <v>Missing Date/Time</v>
      </c>
      <c r="X338" t="str">
        <f>IF(OR(F338="",G338=""),"Missing Date/Time",IFERROR(IF(G338&lt;F338,"Discharge Before Arrival","OK"),"Check Format"))</f>
        <v>Missing Date/Time</v>
      </c>
    </row>
    <row r="339" spans="1:24" x14ac:dyDescent="0.25">
      <c r="A339" s="2" t="s">
        <v>709</v>
      </c>
      <c r="B339" s="2" t="s">
        <v>710</v>
      </c>
      <c r="C339" s="3" t="s">
        <v>94</v>
      </c>
      <c r="D339" s="3" t="s">
        <v>66</v>
      </c>
      <c r="E339" s="4">
        <v>45990.697916666664</v>
      </c>
      <c r="F339" s="4">
        <v>45990.685416666667</v>
      </c>
      <c r="G339" s="4">
        <v>45990.753472222219</v>
      </c>
      <c r="I339" s="3" t="s">
        <v>73</v>
      </c>
      <c r="J339" s="3" t="s">
        <v>171</v>
      </c>
      <c r="K339" s="5">
        <v>38</v>
      </c>
      <c r="L339" s="5">
        <v>42</v>
      </c>
      <c r="M339" s="3" t="s">
        <v>87</v>
      </c>
      <c r="P339" s="3" t="s">
        <v>25</v>
      </c>
      <c r="Q339" s="2">
        <v>256.95</v>
      </c>
      <c r="R339" s="3" t="s">
        <v>58</v>
      </c>
      <c r="S339">
        <f>COUNTIF(A:A,A339)</f>
        <v>1</v>
      </c>
      <c r="T339" t="str">
        <f>IF(OR(H339="",LOWER(TRIM(H339&amp;""))="missing",LOWER(TRIM(H339&amp;""))=""),"Missing/",IFERROR(IF(OR(VALUE(H339)&lt;0,VALUE(H339)&gt;110),"Invalid","Valid"),"Check Format"))</f>
        <v>Missing/</v>
      </c>
      <c r="U339" t="str">
        <f>IF(Raw_Data[[#This Row],[Age_Check]]="Valid",H339,"")</f>
        <v/>
      </c>
      <c r="V339" t="str">
        <f>IF(OR(K339="",UPPER(TRIM(K339&amp;""))="",LOWER(TRIM(K339&amp;""))="",LOWER(TRIM(K339&amp;""))="",LOWER(TRIM(K339&amp;""))="missing"),"Missing/",IFERROR(IF(VALUE(K339)&lt;0,"Invalid","Valid"),"Check Format"))</f>
        <v>Valid</v>
      </c>
      <c r="W339" t="str">
        <f>IF(OR(E339="",F339=""),"Missing Date/Time",IFERROR(IF(F339&gt;E339,"Arrival After Appointment","OK"),"Check Format"))</f>
        <v>OK</v>
      </c>
      <c r="X339" t="str">
        <f>IF(OR(F339="",G339=""),"Missing Date/Time",IFERROR(IF(G339&lt;F339,"Discharge Before Arrival","OK"),"Check Format"))</f>
        <v>OK</v>
      </c>
    </row>
    <row r="340" spans="1:24" x14ac:dyDescent="0.25">
      <c r="A340" s="2" t="s">
        <v>711</v>
      </c>
      <c r="B340" s="2" t="s">
        <v>712</v>
      </c>
      <c r="D340" s="3" t="s">
        <v>61</v>
      </c>
      <c r="E340" s="4">
        <v>45345.520833333336</v>
      </c>
      <c r="F340" s="4">
        <v>45345.509722222225</v>
      </c>
      <c r="G340" s="4">
        <v>45345.606249999997</v>
      </c>
      <c r="H340" s="5">
        <v>92</v>
      </c>
      <c r="I340" s="3" t="s">
        <v>90</v>
      </c>
      <c r="J340" s="3" t="s">
        <v>67</v>
      </c>
      <c r="K340" s="5">
        <v>90</v>
      </c>
      <c r="L340" s="5">
        <v>33</v>
      </c>
      <c r="O340" s="5">
        <v>4</v>
      </c>
      <c r="P340" s="3" t="s">
        <v>80</v>
      </c>
      <c r="Q340" s="2">
        <v>93.25</v>
      </c>
      <c r="R340" s="3" t="s">
        <v>58</v>
      </c>
      <c r="S340">
        <f>COUNTIF(A:A,A340)</f>
        <v>1</v>
      </c>
      <c r="T340" t="str">
        <f>IF(OR(H340="",LOWER(TRIM(H340&amp;""))="missing",LOWER(TRIM(H340&amp;""))=""),"Missing/",IFERROR(IF(OR(VALUE(H340)&lt;0,VALUE(H340)&gt;110),"Invalid","Valid"),"Check Format"))</f>
        <v>Valid</v>
      </c>
      <c r="U340">
        <f>IF(Raw_Data[[#This Row],[Age_Check]]="Valid",H340,"")</f>
        <v>92</v>
      </c>
      <c r="V340" t="str">
        <f>IF(OR(K340="",UPPER(TRIM(K340&amp;""))="",LOWER(TRIM(K340&amp;""))="",LOWER(TRIM(K340&amp;""))="",LOWER(TRIM(K340&amp;""))="missing"),"Missing/",IFERROR(IF(VALUE(K340)&lt;0,"Invalid","Valid"),"Check Format"))</f>
        <v>Valid</v>
      </c>
      <c r="W340" t="str">
        <f>IF(OR(E340="",F340=""),"Missing Date/Time",IFERROR(IF(F340&gt;E340,"Arrival After Appointment","OK"),"Check Format"))</f>
        <v>OK</v>
      </c>
      <c r="X340" t="str">
        <f>IF(OR(F340="",G340=""),"Missing Date/Time",IFERROR(IF(G340&lt;F340,"Discharge Before Arrival","OK"),"Check Format"))</f>
        <v>OK</v>
      </c>
    </row>
    <row r="341" spans="1:24" x14ac:dyDescent="0.25">
      <c r="A341" s="2" t="s">
        <v>713</v>
      </c>
      <c r="B341" s="2" t="s">
        <v>235</v>
      </c>
      <c r="C341" s="3" t="s">
        <v>29</v>
      </c>
      <c r="D341" s="3" t="s">
        <v>209</v>
      </c>
      <c r="E341" s="4">
        <v>45523.770833333336</v>
      </c>
      <c r="F341" s="4">
        <v>45523.756944444445</v>
      </c>
      <c r="G341" s="4">
        <v>45523.854861111111</v>
      </c>
      <c r="I341" s="3" t="s">
        <v>95</v>
      </c>
      <c r="J341" s="3" t="s">
        <v>62</v>
      </c>
      <c r="K341" s="5">
        <v>82</v>
      </c>
      <c r="L341" s="5">
        <v>39</v>
      </c>
      <c r="M341" s="3" t="s">
        <v>41</v>
      </c>
      <c r="N341" t="s">
        <v>103</v>
      </c>
      <c r="O341" s="5">
        <v>0</v>
      </c>
      <c r="P341" s="3" t="s">
        <v>80</v>
      </c>
      <c r="Q341" s="2">
        <v>216.62</v>
      </c>
      <c r="R341" s="3" t="s">
        <v>58</v>
      </c>
      <c r="S341">
        <f>COUNTIF(A:A,A341)</f>
        <v>1</v>
      </c>
      <c r="T341" t="str">
        <f>IF(OR(H341="",LOWER(TRIM(H341&amp;""))="missing",LOWER(TRIM(H341&amp;""))=""),"Missing/",IFERROR(IF(OR(VALUE(H341)&lt;0,VALUE(H341)&gt;110),"Invalid","Valid"),"Check Format"))</f>
        <v>Missing/</v>
      </c>
      <c r="U341" t="str">
        <f>IF(Raw_Data[[#This Row],[Age_Check]]="Valid",H341,"")</f>
        <v/>
      </c>
      <c r="V341" t="str">
        <f>IF(OR(K341="",UPPER(TRIM(K341&amp;""))="",LOWER(TRIM(K341&amp;""))="",LOWER(TRIM(K341&amp;""))="",LOWER(TRIM(K341&amp;""))="missing"),"Missing/",IFERROR(IF(VALUE(K341)&lt;0,"Invalid","Valid"),"Check Format"))</f>
        <v>Valid</v>
      </c>
      <c r="W341" t="str">
        <f>IF(OR(E341="",F341=""),"Missing Date/Time",IFERROR(IF(F341&gt;E341,"Arrival After Appointment","OK"),"Check Format"))</f>
        <v>OK</v>
      </c>
      <c r="X341" t="str">
        <f>IF(OR(F341="",G341=""),"Missing Date/Time",IFERROR(IF(G341&lt;F341,"Discharge Before Arrival","OK"),"Check Format"))</f>
        <v>OK</v>
      </c>
    </row>
    <row r="342" spans="1:24" x14ac:dyDescent="0.25">
      <c r="A342" s="2" t="s">
        <v>714</v>
      </c>
      <c r="B342" s="2" t="s">
        <v>431</v>
      </c>
      <c r="C342" s="3" t="s">
        <v>19</v>
      </c>
      <c r="D342" s="3" t="s">
        <v>38</v>
      </c>
      <c r="E342" s="4">
        <v>45366.697916666664</v>
      </c>
      <c r="F342" s="4">
        <v>45366.697222222225</v>
      </c>
      <c r="G342" s="4">
        <v>45366.788194444445</v>
      </c>
      <c r="I342" s="3" t="s">
        <v>73</v>
      </c>
      <c r="J342" s="3" t="s">
        <v>62</v>
      </c>
      <c r="K342" s="5">
        <v>80</v>
      </c>
      <c r="L342" s="5">
        <v>50</v>
      </c>
      <c r="M342" s="3" t="s">
        <v>68</v>
      </c>
      <c r="N342" t="s">
        <v>74</v>
      </c>
      <c r="P342" s="3" t="s">
        <v>25</v>
      </c>
      <c r="Q342" s="2">
        <v>102.18</v>
      </c>
      <c r="R342" s="3" t="s">
        <v>58</v>
      </c>
      <c r="S342">
        <f>COUNTIF(A:A,A342)</f>
        <v>1</v>
      </c>
      <c r="T342" t="str">
        <f>IF(OR(H342="",LOWER(TRIM(H342&amp;""))="missing",LOWER(TRIM(H342&amp;""))=""),"Missing/",IFERROR(IF(OR(VALUE(H342)&lt;0,VALUE(H342)&gt;110),"Invalid","Valid"),"Check Format"))</f>
        <v>Missing/</v>
      </c>
      <c r="U342" t="str">
        <f>IF(Raw_Data[[#This Row],[Age_Check]]="Valid",H342,"")</f>
        <v/>
      </c>
      <c r="V342" t="str">
        <f>IF(OR(K342="",UPPER(TRIM(K342&amp;""))="",LOWER(TRIM(K342&amp;""))="",LOWER(TRIM(K342&amp;""))="",LOWER(TRIM(K342&amp;""))="missing"),"Missing/",IFERROR(IF(VALUE(K342)&lt;0,"Invalid","Valid"),"Check Format"))</f>
        <v>Valid</v>
      </c>
      <c r="W342" t="str">
        <f>IF(OR(E342="",F342=""),"Missing Date/Time",IFERROR(IF(F342&gt;E342,"Arrival After Appointment","OK"),"Check Format"))</f>
        <v>OK</v>
      </c>
      <c r="X342" t="str">
        <f>IF(OR(F342="",G342=""),"Missing Date/Time",IFERROR(IF(G342&lt;F342,"Discharge Before Arrival","OK"),"Check Format"))</f>
        <v>OK</v>
      </c>
    </row>
    <row r="343" spans="1:24" x14ac:dyDescent="0.25">
      <c r="A343" s="2" t="s">
        <v>715</v>
      </c>
      <c r="B343" s="2" t="s">
        <v>716</v>
      </c>
      <c r="D343" s="3" t="s">
        <v>20</v>
      </c>
      <c r="E343" s="4">
        <v>45682.545138888891</v>
      </c>
      <c r="F343" s="4">
        <v>45682.525694444441</v>
      </c>
      <c r="G343" s="4">
        <v>45682.64166666667</v>
      </c>
      <c r="I343" s="3" t="s">
        <v>95</v>
      </c>
      <c r="J343" s="3" t="s">
        <v>67</v>
      </c>
      <c r="K343" s="5">
        <v>104</v>
      </c>
      <c r="L343" s="5">
        <v>35</v>
      </c>
      <c r="M343" s="3" t="s">
        <v>32</v>
      </c>
      <c r="O343" s="5">
        <v>5</v>
      </c>
      <c r="P343" s="3" t="s">
        <v>25</v>
      </c>
      <c r="Q343" s="2">
        <v>311.02</v>
      </c>
      <c r="R343" s="3" t="s">
        <v>26</v>
      </c>
      <c r="S343">
        <f>COUNTIF(A:A,A343)</f>
        <v>1</v>
      </c>
      <c r="T343" t="str">
        <f>IF(OR(H343="",LOWER(TRIM(H343&amp;""))="missing",LOWER(TRIM(H343&amp;""))=""),"Missing/",IFERROR(IF(OR(VALUE(H343)&lt;0,VALUE(H343)&gt;110),"Invalid","Valid"),"Check Format"))</f>
        <v>Missing/</v>
      </c>
      <c r="U343" t="str">
        <f>IF(Raw_Data[[#This Row],[Age_Check]]="Valid",H343,"")</f>
        <v/>
      </c>
      <c r="V343" t="str">
        <f>IF(OR(K343="",UPPER(TRIM(K343&amp;""))="",LOWER(TRIM(K343&amp;""))="",LOWER(TRIM(K343&amp;""))="",LOWER(TRIM(K343&amp;""))="missing"),"Missing/",IFERROR(IF(VALUE(K343)&lt;0,"Invalid","Valid"),"Check Format"))</f>
        <v>Valid</v>
      </c>
      <c r="W343" t="str">
        <f>IF(OR(E343="",F343=""),"Missing Date/Time",IFERROR(IF(F343&gt;E343,"Arrival After Appointment","OK"),"Check Format"))</f>
        <v>OK</v>
      </c>
      <c r="X343" t="str">
        <f>IF(OR(F343="",G343=""),"Missing Date/Time",IFERROR(IF(G343&lt;F343,"Discharge Before Arrival","OK"),"Check Format"))</f>
        <v>OK</v>
      </c>
    </row>
    <row r="344" spans="1:24" x14ac:dyDescent="0.25">
      <c r="A344" s="2" t="s">
        <v>529</v>
      </c>
      <c r="B344" s="2" t="s">
        <v>531</v>
      </c>
      <c r="C344" s="3" t="s">
        <v>29</v>
      </c>
      <c r="D344" s="3" t="s">
        <v>115</v>
      </c>
      <c r="E344" s="4">
        <v>45349.638888888891</v>
      </c>
      <c r="F344" s="4">
        <v>45349.619444444441</v>
      </c>
      <c r="G344" s="4">
        <v>45349.693055555559</v>
      </c>
      <c r="I344" s="3" t="s">
        <v>95</v>
      </c>
      <c r="J344" s="3" t="s">
        <v>150</v>
      </c>
      <c r="K344" s="5">
        <v>69</v>
      </c>
      <c r="L344" s="5">
        <v>9</v>
      </c>
      <c r="M344" s="3" t="s">
        <v>41</v>
      </c>
      <c r="N344" t="s">
        <v>69</v>
      </c>
      <c r="O344" s="5">
        <v>6</v>
      </c>
      <c r="P344" s="3" t="s">
        <v>25</v>
      </c>
      <c r="Q344" s="2">
        <v>218.92</v>
      </c>
      <c r="R344" s="3" t="s">
        <v>26</v>
      </c>
      <c r="S344">
        <f>COUNTIF(A:A,A344)</f>
        <v>2</v>
      </c>
      <c r="T344" t="str">
        <f>IF(OR(H344="",LOWER(TRIM(H344&amp;""))="missing",LOWER(TRIM(H344&amp;""))=""),"Missing/",IFERROR(IF(OR(VALUE(H344)&lt;0,VALUE(H344)&gt;110),"Invalid","Valid"),"Check Format"))</f>
        <v>Missing/</v>
      </c>
      <c r="U344" t="str">
        <f>IF(Raw_Data[[#This Row],[Age_Check]]="Valid",H344,"")</f>
        <v/>
      </c>
      <c r="V344" t="str">
        <f>IF(OR(K344="",UPPER(TRIM(K344&amp;""))="",LOWER(TRIM(K344&amp;""))="",LOWER(TRIM(K344&amp;""))="",LOWER(TRIM(K344&amp;""))="missing"),"Missing/",IFERROR(IF(VALUE(K344)&lt;0,"Invalid","Valid"),"Check Format"))</f>
        <v>Valid</v>
      </c>
      <c r="W344" t="str">
        <f>IF(OR(E344="",F344=""),"Missing Date/Time",IFERROR(IF(F344&gt;E344,"Arrival After Appointment","OK"),"Check Format"))</f>
        <v>OK</v>
      </c>
      <c r="X344" t="str">
        <f>IF(OR(F344="",G344=""),"Missing Date/Time",IFERROR(IF(G344&lt;F344,"Discharge Before Arrival","OK"),"Check Format"))</f>
        <v>OK</v>
      </c>
    </row>
    <row r="345" spans="1:24" x14ac:dyDescent="0.25">
      <c r="A345" s="2" t="s">
        <v>605</v>
      </c>
      <c r="B345" s="2" t="s">
        <v>165</v>
      </c>
      <c r="C345" s="3" t="s">
        <v>94</v>
      </c>
      <c r="D345" s="3" t="s">
        <v>99</v>
      </c>
      <c r="E345" s="4">
        <v>45965.40625</v>
      </c>
      <c r="F345" s="4">
        <v>45758.404166666667</v>
      </c>
      <c r="H345" s="5">
        <v>73</v>
      </c>
      <c r="I345" s="3" t="s">
        <v>73</v>
      </c>
      <c r="J345" s="3" t="s">
        <v>171</v>
      </c>
      <c r="K345" s="5">
        <v>101</v>
      </c>
      <c r="L345" s="5">
        <v>15</v>
      </c>
      <c r="M345" s="3" t="s">
        <v>63</v>
      </c>
      <c r="N345" t="s">
        <v>91</v>
      </c>
      <c r="O345" s="5">
        <v>6</v>
      </c>
      <c r="P345" s="3" t="s">
        <v>42</v>
      </c>
      <c r="R345" s="3" t="s">
        <v>75</v>
      </c>
      <c r="S345">
        <f>COUNTIF(A:A,A345)</f>
        <v>1</v>
      </c>
      <c r="T345" t="str">
        <f>IF(OR(H345="",LOWER(TRIM(H345&amp;""))="missing",LOWER(TRIM(H345&amp;""))=""),"Missing/",IFERROR(IF(OR(VALUE(H345)&lt;0,VALUE(H345)&gt;110),"Invalid","Valid"),"Check Format"))</f>
        <v>Valid</v>
      </c>
      <c r="U345">
        <f>IF(Raw_Data[[#This Row],[Age_Check]]="Valid",H345,"")</f>
        <v>73</v>
      </c>
      <c r="V345" t="str">
        <f>IF(OR(K345="",UPPER(TRIM(K345&amp;""))="",LOWER(TRIM(K345&amp;""))="",LOWER(TRIM(K345&amp;""))="",LOWER(TRIM(K345&amp;""))="missing"),"Missing/",IFERROR(IF(VALUE(K345)&lt;0,"Invalid","Valid"),"Check Format"))</f>
        <v>Valid</v>
      </c>
      <c r="W345" t="str">
        <f>IF(OR(E345="",F345=""),"Missing Date/Time",IFERROR(IF(F345&gt;E345,"Arrival After Appointment","OK"),"Check Format"))</f>
        <v>OK</v>
      </c>
      <c r="X345" t="str">
        <f>IF(OR(F345="",G345=""),"Missing Date/Time",IFERROR(IF(G345&lt;F345,"Discharge Before Arrival","OK"),"Check Format"))</f>
        <v>Missing Date/Time</v>
      </c>
    </row>
    <row r="346" spans="1:24" x14ac:dyDescent="0.25">
      <c r="A346" s="2" t="s">
        <v>718</v>
      </c>
      <c r="B346" s="2" t="s">
        <v>719</v>
      </c>
      <c r="C346" s="3" t="s">
        <v>37</v>
      </c>
      <c r="D346" s="3" t="s">
        <v>174</v>
      </c>
      <c r="E346" s="4">
        <v>45458.357638888891</v>
      </c>
      <c r="F346" s="4">
        <v>45458.347916666666</v>
      </c>
      <c r="G346" s="4">
        <v>45458.436111111114</v>
      </c>
      <c r="I346" s="3" t="s">
        <v>39</v>
      </c>
      <c r="J346" s="3" t="s">
        <v>67</v>
      </c>
      <c r="K346" s="5">
        <v>72</v>
      </c>
      <c r="L346" s="5">
        <v>41</v>
      </c>
      <c r="N346" t="s">
        <v>24</v>
      </c>
      <c r="O346" s="5">
        <v>4</v>
      </c>
      <c r="P346" s="3" t="s">
        <v>25</v>
      </c>
      <c r="R346" s="3" t="s">
        <v>75</v>
      </c>
      <c r="S346">
        <f>COUNTIF(A:A,A346)</f>
        <v>1</v>
      </c>
      <c r="T346" t="str">
        <f>IF(OR(H346="",LOWER(TRIM(H346&amp;""))="missing",LOWER(TRIM(H346&amp;""))=""),"Missing/",IFERROR(IF(OR(VALUE(H346)&lt;0,VALUE(H346)&gt;110),"Invalid","Valid"),"Check Format"))</f>
        <v>Missing/</v>
      </c>
      <c r="U346" t="str">
        <f>IF(Raw_Data[[#This Row],[Age_Check]]="Valid",H346,"")</f>
        <v/>
      </c>
      <c r="V346" t="str">
        <f>IF(OR(K346="",UPPER(TRIM(K346&amp;""))="",LOWER(TRIM(K346&amp;""))="",LOWER(TRIM(K346&amp;""))="",LOWER(TRIM(K346&amp;""))="missing"),"Missing/",IFERROR(IF(VALUE(K346)&lt;0,"Invalid","Valid"),"Check Format"))</f>
        <v>Valid</v>
      </c>
      <c r="W346" t="str">
        <f>IF(OR(E346="",F346=""),"Missing Date/Time",IFERROR(IF(F346&gt;E346,"Arrival After Appointment","OK"),"Check Format"))</f>
        <v>OK</v>
      </c>
      <c r="X346" t="str">
        <f>IF(OR(F346="",G346=""),"Missing Date/Time",IFERROR(IF(G346&lt;F346,"Discharge Before Arrival","OK"),"Check Format"))</f>
        <v>OK</v>
      </c>
    </row>
    <row r="347" spans="1:24" x14ac:dyDescent="0.25">
      <c r="A347" s="2" t="s">
        <v>720</v>
      </c>
      <c r="B347" s="2" t="s">
        <v>721</v>
      </c>
      <c r="C347" s="3" t="s">
        <v>46</v>
      </c>
      <c r="D347" s="3" t="s">
        <v>23</v>
      </c>
      <c r="E347" s="4">
        <v>45491.739583333336</v>
      </c>
      <c r="F347" s="4">
        <v>45491.720138888886</v>
      </c>
      <c r="G347" s="4">
        <v>45491.786805555559</v>
      </c>
      <c r="H347" s="5">
        <v>145</v>
      </c>
      <c r="I347" s="3" t="s">
        <v>73</v>
      </c>
      <c r="J347" s="3" t="s">
        <v>150</v>
      </c>
      <c r="K347" s="5">
        <v>37</v>
      </c>
      <c r="L347" s="5">
        <v>31</v>
      </c>
      <c r="M347" s="3" t="s">
        <v>68</v>
      </c>
      <c r="N347" t="s">
        <v>24</v>
      </c>
      <c r="P347" s="3" t="s">
        <v>25</v>
      </c>
      <c r="R347" s="3" t="s">
        <v>43</v>
      </c>
      <c r="S347">
        <f>COUNTIF(A:A,A347)</f>
        <v>1</v>
      </c>
      <c r="T347" t="str">
        <f>IF(OR(H347="",LOWER(TRIM(H347&amp;""))="missing",LOWER(TRIM(H347&amp;""))=""),"Missing/",IFERROR(IF(OR(VALUE(H347)&lt;0,VALUE(H347)&gt;110),"Invalid","Valid"),"Check Format"))</f>
        <v>Invalid</v>
      </c>
      <c r="U347" t="str">
        <f>IF(Raw_Data[[#This Row],[Age_Check]]="Valid",H347,"")</f>
        <v/>
      </c>
      <c r="V347" t="str">
        <f>IF(OR(K347="",UPPER(TRIM(K347&amp;""))="",LOWER(TRIM(K347&amp;""))="",LOWER(TRIM(K347&amp;""))="",LOWER(TRIM(K347&amp;""))="missing"),"Missing/",IFERROR(IF(VALUE(K347)&lt;0,"Invalid","Valid"),"Check Format"))</f>
        <v>Valid</v>
      </c>
      <c r="W347" t="str">
        <f>IF(OR(E347="",F347=""),"Missing Date/Time",IFERROR(IF(F347&gt;E347,"Arrival After Appointment","OK"),"Check Format"))</f>
        <v>OK</v>
      </c>
      <c r="X347" t="str">
        <f>IF(OR(F347="",G347=""),"Missing Date/Time",IFERROR(IF(G347&lt;F347,"Discharge Before Arrival","OK"),"Check Format"))</f>
        <v>OK</v>
      </c>
    </row>
    <row r="348" spans="1:24" x14ac:dyDescent="0.25">
      <c r="A348" s="2" t="s">
        <v>722</v>
      </c>
      <c r="B348" s="2" t="s">
        <v>723</v>
      </c>
      <c r="C348" s="3" t="s">
        <v>94</v>
      </c>
      <c r="D348" s="3" t="s">
        <v>30</v>
      </c>
      <c r="E348" s="4">
        <v>45359.482638888891</v>
      </c>
      <c r="F348" s="4">
        <v>45507.481249999997</v>
      </c>
      <c r="H348" s="5">
        <v>24</v>
      </c>
      <c r="J348" s="3" t="s">
        <v>2639</v>
      </c>
      <c r="K348" s="5">
        <v>132</v>
      </c>
      <c r="L348" s="5">
        <v>63</v>
      </c>
      <c r="N348" t="s">
        <v>91</v>
      </c>
      <c r="O348" s="5">
        <v>0</v>
      </c>
      <c r="P348" s="3" t="s">
        <v>42</v>
      </c>
      <c r="Q348" s="2">
        <v>179.91</v>
      </c>
      <c r="R348" s="3" t="s">
        <v>58</v>
      </c>
      <c r="S348">
        <f>COUNTIF(A:A,A348)</f>
        <v>1</v>
      </c>
      <c r="T348" t="str">
        <f>IF(OR(H348="",LOWER(TRIM(H348&amp;""))="missing",LOWER(TRIM(H348&amp;""))=""),"Missing/",IFERROR(IF(OR(VALUE(H348)&lt;0,VALUE(H348)&gt;110),"Invalid","Valid"),"Check Format"))</f>
        <v>Valid</v>
      </c>
      <c r="U348">
        <f>IF(Raw_Data[[#This Row],[Age_Check]]="Valid",H348,"")</f>
        <v>24</v>
      </c>
      <c r="V348" t="str">
        <f>IF(OR(K348="",UPPER(TRIM(K348&amp;""))="",LOWER(TRIM(K348&amp;""))="",LOWER(TRIM(K348&amp;""))="",LOWER(TRIM(K348&amp;""))="missing"),"Missing/",IFERROR(IF(VALUE(K348)&lt;0,"Invalid","Valid"),"Check Format"))</f>
        <v>Valid</v>
      </c>
      <c r="W348" t="str">
        <f>IF(OR(E348="",F348=""),"Missing Date/Time",IFERROR(IF(F348&gt;E348,"Arrival After Appointment","OK"),"Check Format"))</f>
        <v>Arrival After Appointment</v>
      </c>
      <c r="X348" t="str">
        <f>IF(OR(F348="",G348=""),"Missing Date/Time",IFERROR(IF(G348&lt;F348,"Discharge Before Arrival","OK"),"Check Format"))</f>
        <v>Missing Date/Time</v>
      </c>
    </row>
    <row r="349" spans="1:24" x14ac:dyDescent="0.25">
      <c r="A349" s="2" t="s">
        <v>724</v>
      </c>
      <c r="B349" s="2" t="s">
        <v>387</v>
      </c>
      <c r="D349" s="3" t="s">
        <v>23</v>
      </c>
      <c r="E349" s="4" t="s">
        <v>725</v>
      </c>
      <c r="F349" s="4">
        <v>45593.390972222223</v>
      </c>
      <c r="G349" s="4">
        <v>45593.456944444442</v>
      </c>
      <c r="H349" s="5">
        <v>84</v>
      </c>
      <c r="I349" s="3" t="s">
        <v>95</v>
      </c>
      <c r="J349" s="3" t="s">
        <v>2639</v>
      </c>
      <c r="K349" s="5">
        <v>59</v>
      </c>
      <c r="L349" s="5">
        <v>34</v>
      </c>
      <c r="O349" s="5">
        <v>6</v>
      </c>
      <c r="P349" s="3" t="s">
        <v>80</v>
      </c>
      <c r="Q349" s="2">
        <v>194.08</v>
      </c>
      <c r="R349" s="3" t="s">
        <v>75</v>
      </c>
      <c r="S349">
        <f>COUNTIF(A:A,A349)</f>
        <v>1</v>
      </c>
      <c r="T349" t="str">
        <f>IF(OR(H349="",LOWER(TRIM(H349&amp;""))="missing",LOWER(TRIM(H349&amp;""))=""),"Missing/",IFERROR(IF(OR(VALUE(H349)&lt;0,VALUE(H349)&gt;110),"Invalid","Valid"),"Check Format"))</f>
        <v>Valid</v>
      </c>
      <c r="U349">
        <f>IF(Raw_Data[[#This Row],[Age_Check]]="Valid",H349,"")</f>
        <v>84</v>
      </c>
      <c r="V349" t="str">
        <f>IF(OR(K349="",UPPER(TRIM(K349&amp;""))="",LOWER(TRIM(K349&amp;""))="",LOWER(TRIM(K349&amp;""))="",LOWER(TRIM(K349&amp;""))="missing"),"Missing/",IFERROR(IF(VALUE(K349)&lt;0,"Invalid","Valid"),"Check Format"))</f>
        <v>Valid</v>
      </c>
      <c r="W349" t="str">
        <f>IF(OR(E349="",F349=""),"Missing Date/Time",IFERROR(IF(F349&gt;E349,"Arrival After Appointment","OK"),"Check Format"))</f>
        <v>OK</v>
      </c>
      <c r="X349" t="str">
        <f>IF(OR(F349="",G349=""),"Missing Date/Time",IFERROR(IF(G349&lt;F349,"Discharge Before Arrival","OK"),"Check Format"))</f>
        <v>OK</v>
      </c>
    </row>
    <row r="350" spans="1:24" x14ac:dyDescent="0.25">
      <c r="A350" s="2" t="s">
        <v>726</v>
      </c>
      <c r="B350" s="2" t="s">
        <v>727</v>
      </c>
      <c r="C350" s="3" t="s">
        <v>37</v>
      </c>
      <c r="D350" s="3" t="s">
        <v>47</v>
      </c>
      <c r="E350" s="4">
        <v>45777.489583333336</v>
      </c>
      <c r="F350" s="4">
        <v>45777.484722222223</v>
      </c>
      <c r="G350" s="4">
        <v>45777.523611111108</v>
      </c>
      <c r="J350" s="3" t="s">
        <v>67</v>
      </c>
      <c r="K350" s="5">
        <v>22</v>
      </c>
      <c r="L350" s="5">
        <v>27</v>
      </c>
      <c r="M350" s="3" t="s">
        <v>68</v>
      </c>
      <c r="N350" t="s">
        <v>91</v>
      </c>
      <c r="O350" s="5">
        <v>3</v>
      </c>
      <c r="P350" s="3" t="s">
        <v>80</v>
      </c>
      <c r="Q350" s="2">
        <v>11.51</v>
      </c>
      <c r="R350" s="3" t="s">
        <v>75</v>
      </c>
      <c r="S350">
        <f>COUNTIF(A:A,A350)</f>
        <v>1</v>
      </c>
      <c r="T350" t="str">
        <f>IF(OR(H350="",LOWER(TRIM(H350&amp;""))="missing",LOWER(TRIM(H350&amp;""))=""),"Missing/",IFERROR(IF(OR(VALUE(H350)&lt;0,VALUE(H350)&gt;110),"Invalid","Valid"),"Check Format"))</f>
        <v>Missing/</v>
      </c>
      <c r="U350" t="str">
        <f>IF(Raw_Data[[#This Row],[Age_Check]]="Valid",H350,"")</f>
        <v/>
      </c>
      <c r="V350" t="str">
        <f>IF(OR(K350="",UPPER(TRIM(K350&amp;""))="",LOWER(TRIM(K350&amp;""))="",LOWER(TRIM(K350&amp;""))="",LOWER(TRIM(K350&amp;""))="missing"),"Missing/",IFERROR(IF(VALUE(K350)&lt;0,"Invalid","Valid"),"Check Format"))</f>
        <v>Valid</v>
      </c>
      <c r="W350" t="str">
        <f>IF(OR(E350="",F350=""),"Missing Date/Time",IFERROR(IF(F350&gt;E350,"Arrival After Appointment","OK"),"Check Format"))</f>
        <v>OK</v>
      </c>
      <c r="X350" t="str">
        <f>IF(OR(F350="",G350=""),"Missing Date/Time",IFERROR(IF(G350&lt;F350,"Discharge Before Arrival","OK"),"Check Format"))</f>
        <v>OK</v>
      </c>
    </row>
    <row r="351" spans="1:24" x14ac:dyDescent="0.25">
      <c r="A351" s="2" t="s">
        <v>728</v>
      </c>
      <c r="B351" s="2" t="s">
        <v>729</v>
      </c>
      <c r="C351" s="3" t="s">
        <v>94</v>
      </c>
      <c r="D351" s="3" t="s">
        <v>72</v>
      </c>
      <c r="E351" s="4">
        <v>45768.65625</v>
      </c>
      <c r="F351" s="4">
        <v>45768.645833333336</v>
      </c>
      <c r="G351" s="4">
        <v>45768.73541666667</v>
      </c>
      <c r="H351" s="5">
        <v>3</v>
      </c>
      <c r="I351" s="3" t="s">
        <v>73</v>
      </c>
      <c r="J351" s="3" t="s">
        <v>150</v>
      </c>
      <c r="K351" s="5">
        <v>71</v>
      </c>
      <c r="L351" s="5">
        <v>43</v>
      </c>
      <c r="M351" s="3" t="s">
        <v>50</v>
      </c>
      <c r="N351" t="s">
        <v>103</v>
      </c>
      <c r="O351" s="5">
        <v>1</v>
      </c>
      <c r="P351" s="3" t="s">
        <v>25</v>
      </c>
      <c r="Q351" s="2">
        <v>106.35</v>
      </c>
      <c r="R351" s="3" t="s">
        <v>26</v>
      </c>
      <c r="S351">
        <f>COUNTIF(A:A,A351)</f>
        <v>1</v>
      </c>
      <c r="T351" t="str">
        <f>IF(OR(H351="",LOWER(TRIM(H351&amp;""))="missing",LOWER(TRIM(H351&amp;""))=""),"Missing/",IFERROR(IF(OR(VALUE(H351)&lt;0,VALUE(H351)&gt;110),"Invalid","Valid"),"Check Format"))</f>
        <v>Valid</v>
      </c>
      <c r="U351">
        <f>IF(Raw_Data[[#This Row],[Age_Check]]="Valid",H351,"")</f>
        <v>3</v>
      </c>
      <c r="V351" t="str">
        <f>IF(OR(K351="",UPPER(TRIM(K351&amp;""))="",LOWER(TRIM(K351&amp;""))="",LOWER(TRIM(K351&amp;""))="",LOWER(TRIM(K351&amp;""))="missing"),"Missing/",IFERROR(IF(VALUE(K351)&lt;0,"Invalid","Valid"),"Check Format"))</f>
        <v>Valid</v>
      </c>
      <c r="W351" t="str">
        <f>IF(OR(E351="",F351=""),"Missing Date/Time",IFERROR(IF(F351&gt;E351,"Arrival After Appointment","OK"),"Check Format"))</f>
        <v>OK</v>
      </c>
      <c r="X351" t="str">
        <f>IF(OR(F351="",G351=""),"Missing Date/Time",IFERROR(IF(G351&lt;F351,"Discharge Before Arrival","OK"),"Check Format"))</f>
        <v>OK</v>
      </c>
    </row>
    <row r="352" spans="1:24" x14ac:dyDescent="0.25">
      <c r="A352" s="2" t="s">
        <v>730</v>
      </c>
      <c r="B352" s="2" t="s">
        <v>355</v>
      </c>
      <c r="C352" s="3" t="s">
        <v>29</v>
      </c>
      <c r="D352" s="3" t="s">
        <v>30</v>
      </c>
      <c r="E352" s="4">
        <v>45525.336805555555</v>
      </c>
      <c r="F352" s="4">
        <v>45525.329861111109</v>
      </c>
      <c r="G352" s="4">
        <v>45525.421527777777</v>
      </c>
      <c r="I352" s="3" t="s">
        <v>73</v>
      </c>
      <c r="J352" s="3" t="s">
        <v>62</v>
      </c>
      <c r="K352" s="5">
        <v>113</v>
      </c>
      <c r="L352" s="5">
        <v>9</v>
      </c>
      <c r="M352" s="3" t="s">
        <v>68</v>
      </c>
      <c r="P352" s="3" t="s">
        <v>25</v>
      </c>
      <c r="Q352" s="2">
        <v>27.85</v>
      </c>
      <c r="R352" s="3" t="s">
        <v>58</v>
      </c>
      <c r="S352">
        <f>COUNTIF(A:A,A352)</f>
        <v>1</v>
      </c>
      <c r="T352" t="str">
        <f>IF(OR(H352="",LOWER(TRIM(H352&amp;""))="missing",LOWER(TRIM(H352&amp;""))=""),"Missing/",IFERROR(IF(OR(VALUE(H352)&lt;0,VALUE(H352)&gt;110),"Invalid","Valid"),"Check Format"))</f>
        <v>Missing/</v>
      </c>
      <c r="U352" t="str">
        <f>IF(Raw_Data[[#This Row],[Age_Check]]="Valid",H352,"")</f>
        <v/>
      </c>
      <c r="V352" t="str">
        <f>IF(OR(K352="",UPPER(TRIM(K352&amp;""))="",LOWER(TRIM(K352&amp;""))="",LOWER(TRIM(K352&amp;""))="",LOWER(TRIM(K352&amp;""))="missing"),"Missing/",IFERROR(IF(VALUE(K352)&lt;0,"Invalid","Valid"),"Check Format"))</f>
        <v>Valid</v>
      </c>
      <c r="W352" t="str">
        <f>IF(OR(E352="",F352=""),"Missing Date/Time",IFERROR(IF(F352&gt;E352,"Arrival After Appointment","OK"),"Check Format"))</f>
        <v>OK</v>
      </c>
      <c r="X352" t="str">
        <f>IF(OR(F352="",G352=""),"Missing Date/Time",IFERROR(IF(G352&lt;F352,"Discharge Before Arrival","OK"),"Check Format"))</f>
        <v>OK</v>
      </c>
    </row>
    <row r="353" spans="1:24" x14ac:dyDescent="0.25">
      <c r="A353" s="2" t="s">
        <v>731</v>
      </c>
      <c r="B353" s="2" t="s">
        <v>590</v>
      </c>
      <c r="C353" s="3" t="s">
        <v>37</v>
      </c>
      <c r="D353" s="3" t="s">
        <v>38</v>
      </c>
      <c r="E353" s="4">
        <v>45304.618055555555</v>
      </c>
      <c r="F353" s="4">
        <v>45304.613888888889</v>
      </c>
      <c r="G353" s="4">
        <v>45304.697916666664</v>
      </c>
      <c r="H353" s="5">
        <v>145</v>
      </c>
      <c r="I353" s="3" t="s">
        <v>73</v>
      </c>
      <c r="K353" s="5">
        <v>65</v>
      </c>
      <c r="L353" s="5">
        <v>50</v>
      </c>
      <c r="M353" s="3" t="s">
        <v>32</v>
      </c>
      <c r="N353" t="s">
        <v>91</v>
      </c>
      <c r="O353" s="5">
        <v>3</v>
      </c>
      <c r="P353" s="3" t="s">
        <v>80</v>
      </c>
      <c r="Q353" s="2">
        <v>279.70999999999998</v>
      </c>
      <c r="R353" s="3" t="s">
        <v>58</v>
      </c>
      <c r="S353">
        <f>COUNTIF(A:A,A353)</f>
        <v>1</v>
      </c>
      <c r="T353" t="str">
        <f>IF(OR(H353="",LOWER(TRIM(H353&amp;""))="missing",LOWER(TRIM(H353&amp;""))=""),"Missing/",IFERROR(IF(OR(VALUE(H353)&lt;0,VALUE(H353)&gt;110),"Invalid","Valid"),"Check Format"))</f>
        <v>Invalid</v>
      </c>
      <c r="U353" t="str">
        <f>IF(Raw_Data[[#This Row],[Age_Check]]="Valid",H353,"")</f>
        <v/>
      </c>
      <c r="V353" t="str">
        <f>IF(OR(K353="",UPPER(TRIM(K353&amp;""))="",LOWER(TRIM(K353&amp;""))="",LOWER(TRIM(K353&amp;""))="",LOWER(TRIM(K353&amp;""))="missing"),"Missing/",IFERROR(IF(VALUE(K353)&lt;0,"Invalid","Valid"),"Check Format"))</f>
        <v>Valid</v>
      </c>
      <c r="W353" t="str">
        <f>IF(OR(E353="",F353=""),"Missing Date/Time",IFERROR(IF(F353&gt;E353,"Arrival After Appointment","OK"),"Check Format"))</f>
        <v>OK</v>
      </c>
      <c r="X353" t="str">
        <f>IF(OR(F353="",G353=""),"Missing Date/Time",IFERROR(IF(G353&lt;F353,"Discharge Before Arrival","OK"),"Check Format"))</f>
        <v>OK</v>
      </c>
    </row>
    <row r="354" spans="1:24" x14ac:dyDescent="0.25">
      <c r="A354" s="2" t="s">
        <v>732</v>
      </c>
      <c r="B354" s="2" t="s">
        <v>733</v>
      </c>
      <c r="C354" s="3" t="s">
        <v>29</v>
      </c>
      <c r="D354" s="3" t="s">
        <v>61</v>
      </c>
      <c r="E354" s="4">
        <v>45675.40625</v>
      </c>
      <c r="F354" s="4">
        <v>45675.397222222222</v>
      </c>
      <c r="G354" s="4">
        <v>45675.470138888886</v>
      </c>
      <c r="H354" s="5">
        <v>145</v>
      </c>
      <c r="I354" s="3" t="s">
        <v>90</v>
      </c>
      <c r="J354" s="3" t="s">
        <v>171</v>
      </c>
      <c r="K354" s="5">
        <v>41</v>
      </c>
      <c r="L354" s="5">
        <v>51</v>
      </c>
      <c r="M354" s="3" t="s">
        <v>41</v>
      </c>
      <c r="O354" s="5">
        <v>1</v>
      </c>
      <c r="P354" s="3" t="s">
        <v>80</v>
      </c>
      <c r="Q354" s="2">
        <v>141.91999999999999</v>
      </c>
      <c r="R354" s="3" t="s">
        <v>75</v>
      </c>
      <c r="S354">
        <f>COUNTIF(A:A,A354)</f>
        <v>1</v>
      </c>
      <c r="T354" t="str">
        <f>IF(OR(H354="",LOWER(TRIM(H354&amp;""))="missing",LOWER(TRIM(H354&amp;""))=""),"Missing/",IFERROR(IF(OR(VALUE(H354)&lt;0,VALUE(H354)&gt;110),"Invalid","Valid"),"Check Format"))</f>
        <v>Invalid</v>
      </c>
      <c r="U354" t="str">
        <f>IF(Raw_Data[[#This Row],[Age_Check]]="Valid",H354,"")</f>
        <v/>
      </c>
      <c r="V354" t="str">
        <f>IF(OR(K354="",UPPER(TRIM(K354&amp;""))="",LOWER(TRIM(K354&amp;""))="",LOWER(TRIM(K354&amp;""))="",LOWER(TRIM(K354&amp;""))="missing"),"Missing/",IFERROR(IF(VALUE(K354)&lt;0,"Invalid","Valid"),"Check Format"))</f>
        <v>Valid</v>
      </c>
      <c r="W354" t="str">
        <f>IF(OR(E354="",F354=""),"Missing Date/Time",IFERROR(IF(F354&gt;E354,"Arrival After Appointment","OK"),"Check Format"))</f>
        <v>OK</v>
      </c>
      <c r="X354" t="str">
        <f>IF(OR(F354="",G354=""),"Missing Date/Time",IFERROR(IF(G354&lt;F354,"Discharge Before Arrival","OK"),"Check Format"))</f>
        <v>OK</v>
      </c>
    </row>
    <row r="355" spans="1:24" x14ac:dyDescent="0.25">
      <c r="A355" s="2" t="s">
        <v>734</v>
      </c>
      <c r="B355" s="2" t="s">
        <v>735</v>
      </c>
      <c r="C355" s="3" t="s">
        <v>37</v>
      </c>
      <c r="D355" s="3" t="s">
        <v>72</v>
      </c>
      <c r="E355" s="4">
        <v>45879.5625</v>
      </c>
      <c r="F355" s="4">
        <v>45879.555555555555</v>
      </c>
      <c r="G355" s="4">
        <v>45879.630555555559</v>
      </c>
      <c r="I355" s="3" t="s">
        <v>73</v>
      </c>
      <c r="J355" s="3" t="s">
        <v>2639</v>
      </c>
      <c r="K355" s="5">
        <v>51</v>
      </c>
      <c r="L355" s="5">
        <v>47</v>
      </c>
      <c r="M355" s="3" t="s">
        <v>68</v>
      </c>
      <c r="N355" t="s">
        <v>100</v>
      </c>
      <c r="O355" s="5">
        <v>5</v>
      </c>
      <c r="Q355" s="2">
        <v>197.19</v>
      </c>
      <c r="R355" s="3" t="s">
        <v>58</v>
      </c>
      <c r="S355">
        <f>COUNTIF(A:A,A355)</f>
        <v>1</v>
      </c>
      <c r="T355" t="str">
        <f>IF(OR(H355="",LOWER(TRIM(H355&amp;""))="missing",LOWER(TRIM(H355&amp;""))=""),"Missing/",IFERROR(IF(OR(VALUE(H355)&lt;0,VALUE(H355)&gt;110),"Invalid","Valid"),"Check Format"))</f>
        <v>Missing/</v>
      </c>
      <c r="U355" t="str">
        <f>IF(Raw_Data[[#This Row],[Age_Check]]="Valid",H355,"")</f>
        <v/>
      </c>
      <c r="V355" t="str">
        <f>IF(OR(K355="",UPPER(TRIM(K355&amp;""))="",LOWER(TRIM(K355&amp;""))="",LOWER(TRIM(K355&amp;""))="",LOWER(TRIM(K355&amp;""))="missing"),"Missing/",IFERROR(IF(VALUE(K355)&lt;0,"Invalid","Valid"),"Check Format"))</f>
        <v>Valid</v>
      </c>
      <c r="W355" t="str">
        <f>IF(OR(E355="",F355=""),"Missing Date/Time",IFERROR(IF(F355&gt;E355,"Arrival After Appointment","OK"),"Check Format"))</f>
        <v>OK</v>
      </c>
      <c r="X355" t="str">
        <f>IF(OR(F355="",G355=""),"Missing Date/Time",IFERROR(IF(G355&lt;F355,"Discharge Before Arrival","OK"),"Check Format"))</f>
        <v>OK</v>
      </c>
    </row>
    <row r="356" spans="1:24" x14ac:dyDescent="0.25">
      <c r="A356" s="2" t="s">
        <v>736</v>
      </c>
      <c r="B356" s="2" t="s">
        <v>267</v>
      </c>
      <c r="C356" s="3" t="s">
        <v>29</v>
      </c>
      <c r="D356" s="3" t="s">
        <v>61</v>
      </c>
      <c r="E356" s="4">
        <v>45687.46875</v>
      </c>
      <c r="F356" s="4">
        <v>45687.465277777781</v>
      </c>
      <c r="G356" s="4">
        <v>45687.510416666664</v>
      </c>
      <c r="H356" s="5">
        <v>50</v>
      </c>
      <c r="I356" s="3" t="s">
        <v>73</v>
      </c>
      <c r="J356" s="3" t="s">
        <v>2639</v>
      </c>
      <c r="K356" s="5">
        <v>2</v>
      </c>
      <c r="L356" s="5">
        <v>58</v>
      </c>
      <c r="M356" s="3" t="s">
        <v>68</v>
      </c>
      <c r="P356" s="3" t="s">
        <v>25</v>
      </c>
      <c r="Q356" s="2">
        <v>255.41</v>
      </c>
      <c r="R356" s="3" t="s">
        <v>43</v>
      </c>
      <c r="S356">
        <f>COUNTIF(A:A,A356)</f>
        <v>1</v>
      </c>
      <c r="T356" t="str">
        <f>IF(OR(H356="",LOWER(TRIM(H356&amp;""))="missing",LOWER(TRIM(H356&amp;""))=""),"Missing/",IFERROR(IF(OR(VALUE(H356)&lt;0,VALUE(H356)&gt;110),"Invalid","Valid"),"Check Format"))</f>
        <v>Valid</v>
      </c>
      <c r="U356">
        <f>IF(Raw_Data[[#This Row],[Age_Check]]="Valid",H356,"")</f>
        <v>50</v>
      </c>
      <c r="V356" t="str">
        <f>IF(OR(K356="",UPPER(TRIM(K356&amp;""))="",LOWER(TRIM(K356&amp;""))="",LOWER(TRIM(K356&amp;""))="",LOWER(TRIM(K356&amp;""))="missing"),"Missing/",IFERROR(IF(VALUE(K356)&lt;0,"Invalid","Valid"),"Check Format"))</f>
        <v>Valid</v>
      </c>
      <c r="W356" t="str">
        <f>IF(OR(E356="",F356=""),"Missing Date/Time",IFERROR(IF(F356&gt;E356,"Arrival After Appointment","OK"),"Check Format"))</f>
        <v>OK</v>
      </c>
      <c r="X356" t="str">
        <f>IF(OR(F356="",G356=""),"Missing Date/Time",IFERROR(IF(G356&lt;F356,"Discharge Before Arrival","OK"),"Check Format"))</f>
        <v>OK</v>
      </c>
    </row>
    <row r="357" spans="1:24" x14ac:dyDescent="0.25">
      <c r="A357" s="2" t="s">
        <v>737</v>
      </c>
      <c r="B357" s="2" t="s">
        <v>738</v>
      </c>
      <c r="D357" s="3" t="s">
        <v>149</v>
      </c>
      <c r="E357" s="4" t="s">
        <v>739</v>
      </c>
      <c r="F357" s="4">
        <v>46018.732638888891</v>
      </c>
      <c r="G357" s="4">
        <v>46018.784722222219</v>
      </c>
      <c r="J357" s="3" t="s">
        <v>171</v>
      </c>
      <c r="K357" s="5">
        <v>36</v>
      </c>
      <c r="L357" s="5">
        <v>39</v>
      </c>
      <c r="M357" s="3" t="s">
        <v>50</v>
      </c>
      <c r="O357" s="5">
        <v>0</v>
      </c>
      <c r="P357" s="3" t="s">
        <v>80</v>
      </c>
      <c r="Q357" s="2">
        <v>184.52</v>
      </c>
      <c r="R357" s="3" t="s">
        <v>58</v>
      </c>
      <c r="S357">
        <f>COUNTIF(A:A,A357)</f>
        <v>1</v>
      </c>
      <c r="T357" t="str">
        <f>IF(OR(H357="",LOWER(TRIM(H357&amp;""))="missing",LOWER(TRIM(H357&amp;""))=""),"Missing/",IFERROR(IF(OR(VALUE(H357)&lt;0,VALUE(H357)&gt;110),"Invalid","Valid"),"Check Format"))</f>
        <v>Missing/</v>
      </c>
      <c r="U357" t="str">
        <f>IF(Raw_Data[[#This Row],[Age_Check]]="Valid",H357,"")</f>
        <v/>
      </c>
      <c r="V357" t="str">
        <f>IF(OR(K357="",UPPER(TRIM(K357&amp;""))="",LOWER(TRIM(K357&amp;""))="",LOWER(TRIM(K357&amp;""))="",LOWER(TRIM(K357&amp;""))="missing"),"Missing/",IFERROR(IF(VALUE(K357)&lt;0,"Invalid","Valid"),"Check Format"))</f>
        <v>Valid</v>
      </c>
      <c r="W357" t="str">
        <f>IF(OR(E357="",F357=""),"Missing Date/Time",IFERROR(IF(F357&gt;E357,"Arrival After Appointment","OK"),"Check Format"))</f>
        <v>OK</v>
      </c>
      <c r="X357" t="str">
        <f>IF(OR(F357="",G357=""),"Missing Date/Time",IFERROR(IF(G357&lt;F357,"Discharge Before Arrival","OK"),"Check Format"))</f>
        <v>OK</v>
      </c>
    </row>
    <row r="358" spans="1:24" x14ac:dyDescent="0.25">
      <c r="A358" s="2" t="s">
        <v>740</v>
      </c>
      <c r="B358" s="2" t="s">
        <v>741</v>
      </c>
      <c r="C358" s="3" t="s">
        <v>94</v>
      </c>
      <c r="D358" s="3" t="s">
        <v>72</v>
      </c>
      <c r="E358" s="4">
        <v>45759.538194444445</v>
      </c>
      <c r="F358" s="4">
        <v>45759.522222222222</v>
      </c>
      <c r="G358" s="4">
        <v>45759.6</v>
      </c>
      <c r="H358" s="5">
        <v>84</v>
      </c>
      <c r="J358" s="3" t="s">
        <v>22</v>
      </c>
      <c r="K358" s="5">
        <v>67</v>
      </c>
      <c r="L358" s="5">
        <v>22</v>
      </c>
      <c r="M358" s="3" t="s">
        <v>23</v>
      </c>
      <c r="N358" t="s">
        <v>69</v>
      </c>
      <c r="O358" s="5">
        <v>2</v>
      </c>
      <c r="P358" s="3" t="s">
        <v>25</v>
      </c>
      <c r="Q358" s="2">
        <v>91.27</v>
      </c>
      <c r="R358" s="3" t="s">
        <v>26</v>
      </c>
      <c r="S358">
        <f>COUNTIF(A:A,A358)</f>
        <v>1</v>
      </c>
      <c r="T358" t="str">
        <f>IF(OR(H358="",LOWER(TRIM(H358&amp;""))="missing",LOWER(TRIM(H358&amp;""))=""),"Missing/",IFERROR(IF(OR(VALUE(H358)&lt;0,VALUE(H358)&gt;110),"Invalid","Valid"),"Check Format"))</f>
        <v>Valid</v>
      </c>
      <c r="U358">
        <f>IF(Raw_Data[[#This Row],[Age_Check]]="Valid",H358,"")</f>
        <v>84</v>
      </c>
      <c r="V358" t="str">
        <f>IF(OR(K358="",UPPER(TRIM(K358&amp;""))="",LOWER(TRIM(K358&amp;""))="",LOWER(TRIM(K358&amp;""))="",LOWER(TRIM(K358&amp;""))="missing"),"Missing/",IFERROR(IF(VALUE(K358)&lt;0,"Invalid","Valid"),"Check Format"))</f>
        <v>Valid</v>
      </c>
      <c r="W358" t="str">
        <f>IF(OR(E358="",F358=""),"Missing Date/Time",IFERROR(IF(F358&gt;E358,"Arrival After Appointment","OK"),"Check Format"))</f>
        <v>OK</v>
      </c>
      <c r="X358" t="str">
        <f>IF(OR(F358="",G358=""),"Missing Date/Time",IFERROR(IF(G358&lt;F358,"Discharge Before Arrival","OK"),"Check Format"))</f>
        <v>OK</v>
      </c>
    </row>
    <row r="359" spans="1:24" x14ac:dyDescent="0.25">
      <c r="A359" s="2" t="s">
        <v>742</v>
      </c>
      <c r="B359" s="2" t="s">
        <v>54</v>
      </c>
      <c r="C359" s="3" t="s">
        <v>19</v>
      </c>
      <c r="D359" s="3" t="s">
        <v>66</v>
      </c>
      <c r="E359" s="4">
        <v>45573.604166666664</v>
      </c>
      <c r="F359" s="4">
        <v>45514.587500000001</v>
      </c>
      <c r="G359" s="4">
        <v>45514.680555555555</v>
      </c>
      <c r="I359" s="3" t="s">
        <v>73</v>
      </c>
      <c r="K359" s="5">
        <v>57</v>
      </c>
      <c r="L359" s="5">
        <v>53</v>
      </c>
      <c r="M359" s="3" t="s">
        <v>87</v>
      </c>
      <c r="N359" t="s">
        <v>24</v>
      </c>
      <c r="P359" s="3" t="s">
        <v>42</v>
      </c>
      <c r="Q359" s="2">
        <v>188.49</v>
      </c>
      <c r="R359" s="3" t="s">
        <v>58</v>
      </c>
      <c r="S359">
        <f>COUNTIF(A:A,A359)</f>
        <v>1</v>
      </c>
      <c r="T359" t="str">
        <f>IF(OR(H359="",LOWER(TRIM(H359&amp;""))="missing",LOWER(TRIM(H359&amp;""))=""),"Missing/",IFERROR(IF(OR(VALUE(H359)&lt;0,VALUE(H359)&gt;110),"Invalid","Valid"),"Check Format"))</f>
        <v>Missing/</v>
      </c>
      <c r="U359" t="str">
        <f>IF(Raw_Data[[#This Row],[Age_Check]]="Valid",H359,"")</f>
        <v/>
      </c>
      <c r="V359" t="str">
        <f>IF(OR(K359="",UPPER(TRIM(K359&amp;""))="",LOWER(TRIM(K359&amp;""))="",LOWER(TRIM(K359&amp;""))="",LOWER(TRIM(K359&amp;""))="missing"),"Missing/",IFERROR(IF(VALUE(K359)&lt;0,"Invalid","Valid"),"Check Format"))</f>
        <v>Valid</v>
      </c>
      <c r="W359" t="str">
        <f>IF(OR(E359="",F359=""),"Missing Date/Time",IFERROR(IF(F359&gt;E359,"Arrival After Appointment","OK"),"Check Format"))</f>
        <v>OK</v>
      </c>
      <c r="X359" t="str">
        <f>IF(OR(F359="",G359=""),"Missing Date/Time",IFERROR(IF(G359&lt;F359,"Discharge Before Arrival","OK"),"Check Format"))</f>
        <v>OK</v>
      </c>
    </row>
    <row r="360" spans="1:24" x14ac:dyDescent="0.25">
      <c r="A360" s="2" t="s">
        <v>743</v>
      </c>
      <c r="B360" s="2" t="s">
        <v>364</v>
      </c>
      <c r="D360" s="3" t="s">
        <v>66</v>
      </c>
      <c r="E360" s="4">
        <v>45698.291666666664</v>
      </c>
      <c r="F360" s="4">
        <v>45698.290277777778</v>
      </c>
      <c r="I360" s="3" t="s">
        <v>73</v>
      </c>
      <c r="J360" s="3" t="s">
        <v>22</v>
      </c>
      <c r="K360" s="5">
        <v>45</v>
      </c>
      <c r="L360" s="5">
        <v>45</v>
      </c>
      <c r="M360" s="3" t="s">
        <v>68</v>
      </c>
      <c r="N360" t="s">
        <v>24</v>
      </c>
      <c r="O360" s="5">
        <v>2</v>
      </c>
      <c r="R360" s="3" t="s">
        <v>58</v>
      </c>
      <c r="S360">
        <f>COUNTIF(A:A,A360)</f>
        <v>1</v>
      </c>
      <c r="T360" t="str">
        <f>IF(OR(H360="",LOWER(TRIM(H360&amp;""))="missing",LOWER(TRIM(H360&amp;""))=""),"Missing/",IFERROR(IF(OR(VALUE(H360)&lt;0,VALUE(H360)&gt;110),"Invalid","Valid"),"Check Format"))</f>
        <v>Missing/</v>
      </c>
      <c r="U360" t="str">
        <f>IF(Raw_Data[[#This Row],[Age_Check]]="Valid",H360,"")</f>
        <v/>
      </c>
      <c r="V360" t="str">
        <f>IF(OR(K360="",UPPER(TRIM(K360&amp;""))="",LOWER(TRIM(K360&amp;""))="",LOWER(TRIM(K360&amp;""))="",LOWER(TRIM(K360&amp;""))="missing"),"Missing/",IFERROR(IF(VALUE(K360)&lt;0,"Invalid","Valid"),"Check Format"))</f>
        <v>Valid</v>
      </c>
      <c r="W360" t="str">
        <f>IF(OR(E360="",F360=""),"Missing Date/Time",IFERROR(IF(F360&gt;E360,"Arrival After Appointment","OK"),"Check Format"))</f>
        <v>OK</v>
      </c>
      <c r="X360" t="str">
        <f>IF(OR(F360="",G360=""),"Missing Date/Time",IFERROR(IF(G360&lt;F360,"Discharge Before Arrival","OK"),"Check Format"))</f>
        <v>Missing Date/Time</v>
      </c>
    </row>
    <row r="361" spans="1:24" x14ac:dyDescent="0.25">
      <c r="A361" s="2" t="s">
        <v>744</v>
      </c>
      <c r="B361" s="2" t="s">
        <v>745</v>
      </c>
      <c r="C361" s="3" t="s">
        <v>29</v>
      </c>
      <c r="D361" s="3" t="s">
        <v>47</v>
      </c>
      <c r="E361" s="4" t="s">
        <v>746</v>
      </c>
      <c r="F361" s="4">
        <v>45464.352777777778</v>
      </c>
      <c r="H361" s="5">
        <v>68</v>
      </c>
      <c r="I361" s="3" t="s">
        <v>73</v>
      </c>
      <c r="J361" s="3" t="s">
        <v>67</v>
      </c>
      <c r="L361" s="5">
        <v>52</v>
      </c>
      <c r="M361" s="3" t="s">
        <v>87</v>
      </c>
      <c r="P361" s="3" t="s">
        <v>25</v>
      </c>
      <c r="Q361" s="2">
        <v>5.82</v>
      </c>
      <c r="R361" s="3" t="s">
        <v>26</v>
      </c>
      <c r="S361">
        <f>COUNTIF(A:A,A361)</f>
        <v>1</v>
      </c>
      <c r="T361" t="str">
        <f>IF(OR(H361="",LOWER(TRIM(H361&amp;""))="missing",LOWER(TRIM(H361&amp;""))=""),"Missing/",IFERROR(IF(OR(VALUE(H361)&lt;0,VALUE(H361)&gt;110),"Invalid","Valid"),"Check Format"))</f>
        <v>Valid</v>
      </c>
      <c r="U361">
        <f>IF(Raw_Data[[#This Row],[Age_Check]]="Valid",H361,"")</f>
        <v>68</v>
      </c>
      <c r="V361" t="str">
        <f>IF(OR(K361="",UPPER(TRIM(K361&amp;""))="",LOWER(TRIM(K361&amp;""))="",LOWER(TRIM(K361&amp;""))="",LOWER(TRIM(K361&amp;""))="missing"),"Missing/",IFERROR(IF(VALUE(K361)&lt;0,"Invalid","Valid"),"Check Format"))</f>
        <v>Missing/</v>
      </c>
      <c r="W361" t="str">
        <f>IF(OR(E361="",F361=""),"Missing Date/Time",IFERROR(IF(F361&gt;E361,"Arrival After Appointment","OK"),"Check Format"))</f>
        <v>OK</v>
      </c>
      <c r="X361" t="str">
        <f>IF(OR(F361="",G361=""),"Missing Date/Time",IFERROR(IF(G361&lt;F361,"Discharge Before Arrival","OK"),"Check Format"))</f>
        <v>Missing Date/Time</v>
      </c>
    </row>
    <row r="362" spans="1:24" x14ac:dyDescent="0.25">
      <c r="A362" s="2" t="s">
        <v>747</v>
      </c>
      <c r="B362" s="2" t="s">
        <v>593</v>
      </c>
      <c r="C362" s="3" t="s">
        <v>29</v>
      </c>
      <c r="D362" s="3" t="s">
        <v>23</v>
      </c>
      <c r="E362" s="4">
        <v>45675.427083333336</v>
      </c>
      <c r="F362" s="4">
        <v>45675.412499999999</v>
      </c>
      <c r="G362" s="4">
        <v>45675.46597222222</v>
      </c>
      <c r="I362" s="3" t="s">
        <v>95</v>
      </c>
      <c r="J362" s="3" t="s">
        <v>62</v>
      </c>
      <c r="K362" s="5">
        <v>45</v>
      </c>
      <c r="L362" s="5">
        <v>11</v>
      </c>
      <c r="M362" s="3" t="s">
        <v>68</v>
      </c>
      <c r="N362" t="s">
        <v>74</v>
      </c>
      <c r="O362" s="5">
        <v>4</v>
      </c>
      <c r="Q362" s="2">
        <v>41.43</v>
      </c>
      <c r="R362" s="3" t="s">
        <v>26</v>
      </c>
      <c r="S362">
        <f>COUNTIF(A:A,A362)</f>
        <v>1</v>
      </c>
      <c r="T362" t="str">
        <f>IF(OR(H362="",LOWER(TRIM(H362&amp;""))="missing",LOWER(TRIM(H362&amp;""))=""),"Missing/",IFERROR(IF(OR(VALUE(H362)&lt;0,VALUE(H362)&gt;110),"Invalid","Valid"),"Check Format"))</f>
        <v>Missing/</v>
      </c>
      <c r="U362" t="str">
        <f>IF(Raw_Data[[#This Row],[Age_Check]]="Valid",H362,"")</f>
        <v/>
      </c>
      <c r="V362" t="str">
        <f>IF(OR(K362="",UPPER(TRIM(K362&amp;""))="",LOWER(TRIM(K362&amp;""))="",LOWER(TRIM(K362&amp;""))="",LOWER(TRIM(K362&amp;""))="missing"),"Missing/",IFERROR(IF(VALUE(K362)&lt;0,"Invalid","Valid"),"Check Format"))</f>
        <v>Valid</v>
      </c>
      <c r="W362" t="str">
        <f>IF(OR(E362="",F362=""),"Missing Date/Time",IFERROR(IF(F362&gt;E362,"Arrival After Appointment","OK"),"Check Format"))</f>
        <v>OK</v>
      </c>
      <c r="X362" t="str">
        <f>IF(OR(F362="",G362=""),"Missing Date/Time",IFERROR(IF(G362&lt;F362,"Discharge Before Arrival","OK"),"Check Format"))</f>
        <v>OK</v>
      </c>
    </row>
    <row r="363" spans="1:24" x14ac:dyDescent="0.25">
      <c r="A363" s="2" t="s">
        <v>748</v>
      </c>
      <c r="B363" s="2" t="s">
        <v>749</v>
      </c>
      <c r="C363" s="3" t="s">
        <v>94</v>
      </c>
      <c r="D363" s="3" t="s">
        <v>20</v>
      </c>
      <c r="E363" s="4">
        <v>45696.545138888891</v>
      </c>
      <c r="G363" s="4">
        <v>45696.629166666666</v>
      </c>
      <c r="H363" s="5">
        <v>49</v>
      </c>
      <c r="I363" s="3" t="s">
        <v>73</v>
      </c>
      <c r="J363" s="3" t="s">
        <v>2639</v>
      </c>
      <c r="K363" s="5">
        <v>98</v>
      </c>
      <c r="L363" s="5">
        <v>23</v>
      </c>
      <c r="M363" s="3" t="s">
        <v>50</v>
      </c>
      <c r="N363" t="s">
        <v>100</v>
      </c>
      <c r="P363" s="3" t="s">
        <v>25</v>
      </c>
      <c r="R363" s="3" t="s">
        <v>43</v>
      </c>
      <c r="S363">
        <f>COUNTIF(A:A,A363)</f>
        <v>1</v>
      </c>
      <c r="T363" t="str">
        <f>IF(OR(H363="",LOWER(TRIM(H363&amp;""))="missing",LOWER(TRIM(H363&amp;""))=""),"Missing/",IFERROR(IF(OR(VALUE(H363)&lt;0,VALUE(H363)&gt;110),"Invalid","Valid"),"Check Format"))</f>
        <v>Valid</v>
      </c>
      <c r="U363">
        <f>IF(Raw_Data[[#This Row],[Age_Check]]="Valid",H363,"")</f>
        <v>49</v>
      </c>
      <c r="V363" t="str">
        <f>IF(OR(K363="",UPPER(TRIM(K363&amp;""))="",LOWER(TRIM(K363&amp;""))="",LOWER(TRIM(K363&amp;""))="",LOWER(TRIM(K363&amp;""))="missing"),"Missing/",IFERROR(IF(VALUE(K363)&lt;0,"Invalid","Valid"),"Check Format"))</f>
        <v>Valid</v>
      </c>
      <c r="W363" t="str">
        <f>IF(OR(E363="",F363=""),"Missing Date/Time",IFERROR(IF(F363&gt;E363,"Arrival After Appointment","OK"),"Check Format"))</f>
        <v>Missing Date/Time</v>
      </c>
      <c r="X363" t="str">
        <f>IF(OR(F363="",G363=""),"Missing Date/Time",IFERROR(IF(G363&lt;F363,"Discharge Before Arrival","OK"),"Check Format"))</f>
        <v>Missing Date/Time</v>
      </c>
    </row>
    <row r="364" spans="1:24" x14ac:dyDescent="0.25">
      <c r="A364" s="2" t="s">
        <v>750</v>
      </c>
      <c r="B364" s="2" t="s">
        <v>465</v>
      </c>
      <c r="C364" s="3" t="s">
        <v>94</v>
      </c>
      <c r="D364" s="3" t="s">
        <v>61</v>
      </c>
      <c r="E364" s="4">
        <v>45396.777777777781</v>
      </c>
      <c r="F364" s="4">
        <v>45396.761111111111</v>
      </c>
      <c r="G364" s="4">
        <v>45396.847916666666</v>
      </c>
      <c r="I364" s="3" t="s">
        <v>39</v>
      </c>
      <c r="J364" s="3" t="s">
        <v>171</v>
      </c>
      <c r="K364" s="5">
        <v>70</v>
      </c>
      <c r="L364" s="5">
        <v>31</v>
      </c>
      <c r="M364" s="3" t="s">
        <v>32</v>
      </c>
      <c r="N364" t="s">
        <v>100</v>
      </c>
      <c r="O364" s="5">
        <v>6</v>
      </c>
      <c r="P364" s="3" t="s">
        <v>25</v>
      </c>
      <c r="Q364" s="2">
        <v>183.16</v>
      </c>
      <c r="R364" s="3" t="s">
        <v>26</v>
      </c>
      <c r="S364">
        <f>COUNTIF(A:A,A364)</f>
        <v>1</v>
      </c>
      <c r="T364" t="str">
        <f>IF(OR(H364="",LOWER(TRIM(H364&amp;""))="missing",LOWER(TRIM(H364&amp;""))=""),"Missing/",IFERROR(IF(OR(VALUE(H364)&lt;0,VALUE(H364)&gt;110),"Invalid","Valid"),"Check Format"))</f>
        <v>Missing/</v>
      </c>
      <c r="U364" t="str">
        <f>IF(Raw_Data[[#This Row],[Age_Check]]="Valid",H364,"")</f>
        <v/>
      </c>
      <c r="V364" t="str">
        <f>IF(OR(K364="",UPPER(TRIM(K364&amp;""))="",LOWER(TRIM(K364&amp;""))="",LOWER(TRIM(K364&amp;""))="",LOWER(TRIM(K364&amp;""))="missing"),"Missing/",IFERROR(IF(VALUE(K364)&lt;0,"Invalid","Valid"),"Check Format"))</f>
        <v>Valid</v>
      </c>
      <c r="W364" t="str">
        <f>IF(OR(E364="",F364=""),"Missing Date/Time",IFERROR(IF(F364&gt;E364,"Arrival After Appointment","OK"),"Check Format"))</f>
        <v>OK</v>
      </c>
      <c r="X364" t="str">
        <f>IF(OR(F364="",G364=""),"Missing Date/Time",IFERROR(IF(G364&lt;F364,"Discharge Before Arrival","OK"),"Check Format"))</f>
        <v>OK</v>
      </c>
    </row>
    <row r="365" spans="1:24" x14ac:dyDescent="0.25">
      <c r="A365" s="2" t="s">
        <v>627</v>
      </c>
      <c r="B365" s="2" t="s">
        <v>36</v>
      </c>
      <c r="C365" s="3" t="s">
        <v>94</v>
      </c>
      <c r="D365" s="3" t="s">
        <v>115</v>
      </c>
      <c r="E365" s="4">
        <v>45611.732638888891</v>
      </c>
      <c r="F365" s="4">
        <v>45611.731249999997</v>
      </c>
      <c r="G365" s="4">
        <v>45611.805555555555</v>
      </c>
      <c r="I365" s="3" t="s">
        <v>95</v>
      </c>
      <c r="J365" s="3" t="s">
        <v>2639</v>
      </c>
      <c r="K365" s="5">
        <v>71</v>
      </c>
      <c r="L365" s="5">
        <v>34</v>
      </c>
      <c r="M365" s="3" t="s">
        <v>87</v>
      </c>
      <c r="N365" t="s">
        <v>24</v>
      </c>
      <c r="O365" s="5">
        <v>0</v>
      </c>
      <c r="P365" s="3" t="s">
        <v>25</v>
      </c>
      <c r="Q365" s="2">
        <v>184.4</v>
      </c>
      <c r="R365" s="3" t="s">
        <v>58</v>
      </c>
      <c r="S365">
        <f>COUNTIF(A:A,A365)</f>
        <v>2</v>
      </c>
      <c r="T365" t="str">
        <f>IF(OR(H365="",LOWER(TRIM(H365&amp;""))="missing",LOWER(TRIM(H365&amp;""))=""),"Missing/",IFERROR(IF(OR(VALUE(H365)&lt;0,VALUE(H365)&gt;110),"Invalid","Valid"),"Check Format"))</f>
        <v>Missing/</v>
      </c>
      <c r="U365" t="str">
        <f>IF(Raw_Data[[#This Row],[Age_Check]]="Valid",H365,"")</f>
        <v/>
      </c>
      <c r="V365" t="str">
        <f>IF(OR(K365="",UPPER(TRIM(K365&amp;""))="",LOWER(TRIM(K365&amp;""))="",LOWER(TRIM(K365&amp;""))="",LOWER(TRIM(K365&amp;""))="missing"),"Missing/",IFERROR(IF(VALUE(K365)&lt;0,"Invalid","Valid"),"Check Format"))</f>
        <v>Valid</v>
      </c>
      <c r="W365" t="str">
        <f>IF(OR(E365="",F365=""),"Missing Date/Time",IFERROR(IF(F365&gt;E365,"Arrival After Appointment","OK"),"Check Format"))</f>
        <v>OK</v>
      </c>
      <c r="X365" t="str">
        <f>IF(OR(F365="",G365=""),"Missing Date/Time",IFERROR(IF(G365&lt;F365,"Discharge Before Arrival","OK"),"Check Format"))</f>
        <v>OK</v>
      </c>
    </row>
    <row r="366" spans="1:24" x14ac:dyDescent="0.25">
      <c r="A366" s="2" t="s">
        <v>754</v>
      </c>
      <c r="B366" s="2" t="s">
        <v>132</v>
      </c>
      <c r="C366" s="3" t="s">
        <v>19</v>
      </c>
      <c r="D366" s="3" t="s">
        <v>55</v>
      </c>
      <c r="E366" s="4">
        <v>45436.423611111109</v>
      </c>
      <c r="F366" s="4">
        <v>45436.413888888892</v>
      </c>
      <c r="G366" s="4">
        <v>45436.494444444441</v>
      </c>
      <c r="H366" s="5">
        <v>25</v>
      </c>
      <c r="I366" s="3" t="s">
        <v>95</v>
      </c>
      <c r="J366" s="3" t="s">
        <v>62</v>
      </c>
      <c r="K366" s="5">
        <v>43</v>
      </c>
      <c r="L366" s="5">
        <v>59</v>
      </c>
      <c r="M366" s="3" t="s">
        <v>68</v>
      </c>
      <c r="P366" s="3" t="s">
        <v>25</v>
      </c>
      <c r="Q366" s="2">
        <v>213.02</v>
      </c>
      <c r="R366" s="3" t="s">
        <v>43</v>
      </c>
      <c r="S366">
        <f>COUNTIF(A:A,A366)</f>
        <v>1</v>
      </c>
      <c r="T366" t="str">
        <f>IF(OR(H366="",LOWER(TRIM(H366&amp;""))="missing",LOWER(TRIM(H366&amp;""))=""),"Missing/",IFERROR(IF(OR(VALUE(H366)&lt;0,VALUE(H366)&gt;110),"Invalid","Valid"),"Check Format"))</f>
        <v>Valid</v>
      </c>
      <c r="U366">
        <f>IF(Raw_Data[[#This Row],[Age_Check]]="Valid",H366,"")</f>
        <v>25</v>
      </c>
      <c r="V366" t="str">
        <f>IF(OR(K366="",UPPER(TRIM(K366&amp;""))="",LOWER(TRIM(K366&amp;""))="",LOWER(TRIM(K366&amp;""))="",LOWER(TRIM(K366&amp;""))="missing"),"Missing/",IFERROR(IF(VALUE(K366)&lt;0,"Invalid","Valid"),"Check Format"))</f>
        <v>Valid</v>
      </c>
      <c r="W366" t="str">
        <f>IF(OR(E366="",F366=""),"Missing Date/Time",IFERROR(IF(F366&gt;E366,"Arrival After Appointment","OK"),"Check Format"))</f>
        <v>OK</v>
      </c>
      <c r="X366" t="str">
        <f>IF(OR(F366="",G366=""),"Missing Date/Time",IFERROR(IF(G366&lt;F366,"Discharge Before Arrival","OK"),"Check Format"))</f>
        <v>OK</v>
      </c>
    </row>
    <row r="367" spans="1:24" x14ac:dyDescent="0.25">
      <c r="A367" s="2" t="s">
        <v>755</v>
      </c>
      <c r="B367" s="2" t="s">
        <v>756</v>
      </c>
      <c r="C367" s="3" t="s">
        <v>94</v>
      </c>
      <c r="D367" s="3" t="s">
        <v>174</v>
      </c>
      <c r="E367" s="4">
        <v>45660.5625</v>
      </c>
      <c r="F367" s="4">
        <v>45660.544444444444</v>
      </c>
      <c r="G367" s="4">
        <v>45660.611111111109</v>
      </c>
      <c r="I367" s="3" t="s">
        <v>95</v>
      </c>
      <c r="J367" s="3" t="s">
        <v>171</v>
      </c>
      <c r="K367" s="5">
        <v>45</v>
      </c>
      <c r="L367" s="5">
        <v>25</v>
      </c>
      <c r="M367" s="3" t="s">
        <v>23</v>
      </c>
      <c r="N367" t="s">
        <v>103</v>
      </c>
      <c r="O367" s="5">
        <v>5</v>
      </c>
      <c r="P367" s="3" t="s">
        <v>25</v>
      </c>
      <c r="Q367" s="2">
        <v>119.27</v>
      </c>
      <c r="R367" s="3" t="s">
        <v>75</v>
      </c>
      <c r="S367">
        <f>COUNTIF(A:A,A367)</f>
        <v>1</v>
      </c>
      <c r="T367" t="str">
        <f>IF(OR(H367="",LOWER(TRIM(H367&amp;""))="missing",LOWER(TRIM(H367&amp;""))=""),"Missing/",IFERROR(IF(OR(VALUE(H367)&lt;0,VALUE(H367)&gt;110),"Invalid","Valid"),"Check Format"))</f>
        <v>Missing/</v>
      </c>
      <c r="U367" t="str">
        <f>IF(Raw_Data[[#This Row],[Age_Check]]="Valid",H367,"")</f>
        <v/>
      </c>
      <c r="V367" t="str">
        <f>IF(OR(K367="",UPPER(TRIM(K367&amp;""))="",LOWER(TRIM(K367&amp;""))="",LOWER(TRIM(K367&amp;""))="",LOWER(TRIM(K367&amp;""))="missing"),"Missing/",IFERROR(IF(VALUE(K367)&lt;0,"Invalid","Valid"),"Check Format"))</f>
        <v>Valid</v>
      </c>
      <c r="W367" t="str">
        <f>IF(OR(E367="",F367=""),"Missing Date/Time",IFERROR(IF(F367&gt;E367,"Arrival After Appointment","OK"),"Check Format"))</f>
        <v>OK</v>
      </c>
      <c r="X367" t="str">
        <f>IF(OR(F367="",G367=""),"Missing Date/Time",IFERROR(IF(G367&lt;F367,"Discharge Before Arrival","OK"),"Check Format"))</f>
        <v>OK</v>
      </c>
    </row>
    <row r="368" spans="1:24" x14ac:dyDescent="0.25">
      <c r="A368" s="2" t="s">
        <v>757</v>
      </c>
      <c r="B368" s="2" t="s">
        <v>758</v>
      </c>
      <c r="C368" s="3" t="s">
        <v>37</v>
      </c>
      <c r="D368" s="3" t="s">
        <v>30</v>
      </c>
      <c r="E368" s="4">
        <v>45867.690972222219</v>
      </c>
      <c r="F368" s="4">
        <v>45867.686805555553</v>
      </c>
      <c r="I368" s="3" t="s">
        <v>39</v>
      </c>
      <c r="J368" s="3" t="s">
        <v>62</v>
      </c>
      <c r="K368" s="5">
        <v>130</v>
      </c>
      <c r="L368" s="5">
        <v>38</v>
      </c>
      <c r="M368" s="3" t="s">
        <v>32</v>
      </c>
      <c r="N368" t="s">
        <v>69</v>
      </c>
      <c r="P368" s="3" t="s">
        <v>25</v>
      </c>
      <c r="Q368" s="2">
        <v>179.4</v>
      </c>
      <c r="R368" s="3" t="s">
        <v>75</v>
      </c>
      <c r="S368">
        <f>COUNTIF(A:A,A368)</f>
        <v>1</v>
      </c>
      <c r="T368" t="str">
        <f>IF(OR(H368="",LOWER(TRIM(H368&amp;""))="missing",LOWER(TRIM(H368&amp;""))=""),"Missing/",IFERROR(IF(OR(VALUE(H368)&lt;0,VALUE(H368)&gt;110),"Invalid","Valid"),"Check Format"))</f>
        <v>Missing/</v>
      </c>
      <c r="U368" t="str">
        <f>IF(Raw_Data[[#This Row],[Age_Check]]="Valid",H368,"")</f>
        <v/>
      </c>
      <c r="V368" t="str">
        <f>IF(OR(K368="",UPPER(TRIM(K368&amp;""))="",LOWER(TRIM(K368&amp;""))="",LOWER(TRIM(K368&amp;""))="",LOWER(TRIM(K368&amp;""))="missing"),"Missing/",IFERROR(IF(VALUE(K368)&lt;0,"Invalid","Valid"),"Check Format"))</f>
        <v>Valid</v>
      </c>
      <c r="W368" t="str">
        <f>IF(OR(E368="",F368=""),"Missing Date/Time",IFERROR(IF(F368&gt;E368,"Arrival After Appointment","OK"),"Check Format"))</f>
        <v>OK</v>
      </c>
      <c r="X368" t="str">
        <f>IF(OR(F368="",G368=""),"Missing Date/Time",IFERROR(IF(G368&lt;F368,"Discharge Before Arrival","OK"),"Check Format"))</f>
        <v>Missing Date/Time</v>
      </c>
    </row>
    <row r="369" spans="1:24" x14ac:dyDescent="0.25">
      <c r="A369" s="2" t="s">
        <v>759</v>
      </c>
      <c r="B369" s="2" t="s">
        <v>331</v>
      </c>
      <c r="C369" s="3" t="s">
        <v>29</v>
      </c>
      <c r="D369" s="3" t="s">
        <v>20</v>
      </c>
      <c r="E369" s="4">
        <v>45331.354166666664</v>
      </c>
      <c r="F369" s="4">
        <v>45331.34375</v>
      </c>
      <c r="G369" s="4">
        <v>45331.444444444445</v>
      </c>
      <c r="H369" s="5">
        <v>47</v>
      </c>
      <c r="I369" s="3" t="s">
        <v>95</v>
      </c>
      <c r="J369" s="3" t="s">
        <v>171</v>
      </c>
      <c r="K369" s="5">
        <v>94</v>
      </c>
      <c r="L369" s="5">
        <v>36</v>
      </c>
      <c r="N369" t="s">
        <v>24</v>
      </c>
      <c r="O369" s="5">
        <v>2</v>
      </c>
      <c r="Q369" s="2">
        <v>124.28</v>
      </c>
      <c r="R369" s="3" t="s">
        <v>58</v>
      </c>
      <c r="S369">
        <f>COUNTIF(A:A,A369)</f>
        <v>1</v>
      </c>
      <c r="T369" t="str">
        <f>IF(OR(H369="",LOWER(TRIM(H369&amp;""))="missing",LOWER(TRIM(H369&amp;""))=""),"Missing/",IFERROR(IF(OR(VALUE(H369)&lt;0,VALUE(H369)&gt;110),"Invalid","Valid"),"Check Format"))</f>
        <v>Valid</v>
      </c>
      <c r="U369">
        <f>IF(Raw_Data[[#This Row],[Age_Check]]="Valid",H369,"")</f>
        <v>47</v>
      </c>
      <c r="V369" t="str">
        <f>IF(OR(K369="",UPPER(TRIM(K369&amp;""))="",LOWER(TRIM(K369&amp;""))="",LOWER(TRIM(K369&amp;""))="",LOWER(TRIM(K369&amp;""))="missing"),"Missing/",IFERROR(IF(VALUE(K369)&lt;0,"Invalid","Valid"),"Check Format"))</f>
        <v>Valid</v>
      </c>
      <c r="W369" t="str">
        <f>IF(OR(E369="",F369=""),"Missing Date/Time",IFERROR(IF(F369&gt;E369,"Arrival After Appointment","OK"),"Check Format"))</f>
        <v>OK</v>
      </c>
      <c r="X369" t="str">
        <f>IF(OR(F369="",G369=""),"Missing Date/Time",IFERROR(IF(G369&lt;F369,"Discharge Before Arrival","OK"),"Check Format"))</f>
        <v>OK</v>
      </c>
    </row>
    <row r="370" spans="1:24" x14ac:dyDescent="0.25">
      <c r="A370" s="2" t="s">
        <v>760</v>
      </c>
      <c r="B370" s="2" t="s">
        <v>761</v>
      </c>
      <c r="C370" s="3" t="s">
        <v>19</v>
      </c>
      <c r="D370" s="3" t="s">
        <v>20</v>
      </c>
      <c r="E370" s="4">
        <v>45758.715277777781</v>
      </c>
      <c r="F370" s="4">
        <v>45758.695138888892</v>
      </c>
      <c r="G370" s="4">
        <v>45758.771527777775</v>
      </c>
      <c r="H370" s="5">
        <v>90</v>
      </c>
      <c r="J370" s="3" t="s">
        <v>22</v>
      </c>
      <c r="K370" s="5">
        <v>51</v>
      </c>
      <c r="L370" s="5">
        <v>30</v>
      </c>
      <c r="M370" s="3" t="s">
        <v>50</v>
      </c>
      <c r="N370" t="s">
        <v>69</v>
      </c>
      <c r="P370" s="3" t="s">
        <v>42</v>
      </c>
      <c r="Q370" s="2">
        <v>142.02000000000001</v>
      </c>
      <c r="R370" s="3" t="s">
        <v>26</v>
      </c>
      <c r="S370">
        <f>COUNTIF(A:A,A370)</f>
        <v>1</v>
      </c>
      <c r="T370" t="str">
        <f>IF(OR(H370="",LOWER(TRIM(H370&amp;""))="missing",LOWER(TRIM(H370&amp;""))=""),"Missing/",IFERROR(IF(OR(VALUE(H370)&lt;0,VALUE(H370)&gt;110),"Invalid","Valid"),"Check Format"))</f>
        <v>Valid</v>
      </c>
      <c r="U370">
        <f>IF(Raw_Data[[#This Row],[Age_Check]]="Valid",H370,"")</f>
        <v>90</v>
      </c>
      <c r="V370" t="str">
        <f>IF(OR(K370="",UPPER(TRIM(K370&amp;""))="",LOWER(TRIM(K370&amp;""))="",LOWER(TRIM(K370&amp;""))="",LOWER(TRIM(K370&amp;""))="missing"),"Missing/",IFERROR(IF(VALUE(K370)&lt;0,"Invalid","Valid"),"Check Format"))</f>
        <v>Valid</v>
      </c>
      <c r="W370" t="str">
        <f>IF(OR(E370="",F370=""),"Missing Date/Time",IFERROR(IF(F370&gt;E370,"Arrival After Appointment","OK"),"Check Format"))</f>
        <v>OK</v>
      </c>
      <c r="X370" t="str">
        <f>IF(OR(F370="",G370=""),"Missing Date/Time",IFERROR(IF(G370&lt;F370,"Discharge Before Arrival","OK"),"Check Format"))</f>
        <v>OK</v>
      </c>
    </row>
    <row r="371" spans="1:24" x14ac:dyDescent="0.25">
      <c r="A371" s="2" t="s">
        <v>762</v>
      </c>
      <c r="B371" s="2" t="s">
        <v>478</v>
      </c>
      <c r="C371" s="3" t="s">
        <v>37</v>
      </c>
      <c r="D371" s="3" t="s">
        <v>47</v>
      </c>
      <c r="E371" s="4" t="s">
        <v>763</v>
      </c>
      <c r="F371" s="4">
        <v>45713.745138888888</v>
      </c>
      <c r="G371" s="4">
        <v>45713.833333333336</v>
      </c>
      <c r="I371" s="3" t="s">
        <v>95</v>
      </c>
      <c r="J371" s="3" t="s">
        <v>62</v>
      </c>
      <c r="K371" s="5">
        <v>83</v>
      </c>
      <c r="L371" s="5">
        <v>32</v>
      </c>
      <c r="M371" s="3" t="s">
        <v>23</v>
      </c>
      <c r="N371" t="s">
        <v>100</v>
      </c>
      <c r="O371" s="5">
        <v>0</v>
      </c>
      <c r="P371" s="3" t="s">
        <v>42</v>
      </c>
      <c r="Q371" s="2">
        <v>203.61</v>
      </c>
      <c r="R371" s="3" t="s">
        <v>58</v>
      </c>
      <c r="S371">
        <f>COUNTIF(A:A,A371)</f>
        <v>1</v>
      </c>
      <c r="T371" t="str">
        <f>IF(OR(H371="",LOWER(TRIM(H371&amp;""))="missing",LOWER(TRIM(H371&amp;""))=""),"Missing/",IFERROR(IF(OR(VALUE(H371)&lt;0,VALUE(H371)&gt;110),"Invalid","Valid"),"Check Format"))</f>
        <v>Missing/</v>
      </c>
      <c r="U371" t="str">
        <f>IF(Raw_Data[[#This Row],[Age_Check]]="Valid",H371,"")</f>
        <v/>
      </c>
      <c r="V371" t="str">
        <f>IF(OR(K371="",UPPER(TRIM(K371&amp;""))="",LOWER(TRIM(K371&amp;""))="",LOWER(TRIM(K371&amp;""))="",LOWER(TRIM(K371&amp;""))="missing"),"Missing/",IFERROR(IF(VALUE(K371)&lt;0,"Invalid","Valid"),"Check Format"))</f>
        <v>Valid</v>
      </c>
      <c r="W371" t="str">
        <f>IF(OR(E371="",F371=""),"Missing Date/Time",IFERROR(IF(F371&gt;E371,"Arrival After Appointment","OK"),"Check Format"))</f>
        <v>OK</v>
      </c>
      <c r="X371" t="str">
        <f>IF(OR(F371="",G371=""),"Missing Date/Time",IFERROR(IF(G371&lt;F371,"Discharge Before Arrival","OK"),"Check Format"))</f>
        <v>OK</v>
      </c>
    </row>
    <row r="372" spans="1:24" x14ac:dyDescent="0.25">
      <c r="A372" s="2" t="s">
        <v>764</v>
      </c>
      <c r="B372" s="2" t="s">
        <v>765</v>
      </c>
      <c r="C372" s="3" t="s">
        <v>37</v>
      </c>
      <c r="D372" s="3" t="s">
        <v>66</v>
      </c>
      <c r="E372" s="4">
        <v>45494.590277777781</v>
      </c>
      <c r="F372" s="4">
        <v>45494.589583333334</v>
      </c>
      <c r="G372" s="4">
        <v>45494.651388888888</v>
      </c>
      <c r="I372" s="3" t="s">
        <v>73</v>
      </c>
      <c r="K372" s="5">
        <v>55</v>
      </c>
      <c r="L372" s="5">
        <v>33</v>
      </c>
      <c r="M372" s="3" t="s">
        <v>23</v>
      </c>
      <c r="N372" t="s">
        <v>69</v>
      </c>
      <c r="O372" s="5">
        <v>1</v>
      </c>
      <c r="P372" s="3" t="s">
        <v>80</v>
      </c>
      <c r="Q372" s="2">
        <v>0</v>
      </c>
      <c r="R372" s="3" t="s">
        <v>58</v>
      </c>
      <c r="S372">
        <f>COUNTIF(A:A,A372)</f>
        <v>1</v>
      </c>
      <c r="T372" t="str">
        <f>IF(OR(H372="",LOWER(TRIM(H372&amp;""))="missing",LOWER(TRIM(H372&amp;""))=""),"Missing/",IFERROR(IF(OR(VALUE(H372)&lt;0,VALUE(H372)&gt;110),"Invalid","Valid"),"Check Format"))</f>
        <v>Missing/</v>
      </c>
      <c r="U372" t="str">
        <f>IF(Raw_Data[[#This Row],[Age_Check]]="Valid",H372,"")</f>
        <v/>
      </c>
      <c r="V372" t="str">
        <f>IF(OR(K372="",UPPER(TRIM(K372&amp;""))="",LOWER(TRIM(K372&amp;""))="",LOWER(TRIM(K372&amp;""))="",LOWER(TRIM(K372&amp;""))="missing"),"Missing/",IFERROR(IF(VALUE(K372)&lt;0,"Invalid","Valid"),"Check Format"))</f>
        <v>Valid</v>
      </c>
      <c r="W372" t="str">
        <f>IF(OR(E372="",F372=""),"Missing Date/Time",IFERROR(IF(F372&gt;E372,"Arrival After Appointment","OK"),"Check Format"))</f>
        <v>OK</v>
      </c>
      <c r="X372" t="str">
        <f>IF(OR(F372="",G372=""),"Missing Date/Time",IFERROR(IF(G372&lt;F372,"Discharge Before Arrival","OK"),"Check Format"))</f>
        <v>OK</v>
      </c>
    </row>
    <row r="373" spans="1:24" x14ac:dyDescent="0.25">
      <c r="A373" s="2" t="s">
        <v>766</v>
      </c>
      <c r="B373" s="2" t="s">
        <v>767</v>
      </c>
      <c r="C373" s="3" t="s">
        <v>46</v>
      </c>
      <c r="D373" s="3" t="s">
        <v>61</v>
      </c>
      <c r="E373" s="4">
        <v>45980.333333333336</v>
      </c>
      <c r="F373" s="4">
        <v>45980.322222222225</v>
      </c>
      <c r="G373" s="4">
        <v>45980.422222222223</v>
      </c>
      <c r="H373" s="5">
        <v>145</v>
      </c>
      <c r="I373" s="3" t="s">
        <v>90</v>
      </c>
      <c r="J373" s="3" t="s">
        <v>67</v>
      </c>
      <c r="K373" s="5">
        <v>90</v>
      </c>
      <c r="L373" s="5">
        <v>38</v>
      </c>
      <c r="M373" s="3" t="s">
        <v>32</v>
      </c>
      <c r="N373" t="s">
        <v>24</v>
      </c>
      <c r="O373" s="5">
        <v>0</v>
      </c>
      <c r="P373" s="3" t="s">
        <v>25</v>
      </c>
      <c r="Q373" s="2">
        <v>224.84</v>
      </c>
      <c r="R373" s="3" t="s">
        <v>75</v>
      </c>
      <c r="S373">
        <f>COUNTIF(A:A,A373)</f>
        <v>1</v>
      </c>
      <c r="T373" t="str">
        <f>IF(OR(H373="",LOWER(TRIM(H373&amp;""))="missing",LOWER(TRIM(H373&amp;""))=""),"Missing/",IFERROR(IF(OR(VALUE(H373)&lt;0,VALUE(H373)&gt;110),"Invalid","Valid"),"Check Format"))</f>
        <v>Invalid</v>
      </c>
      <c r="U373" t="str">
        <f>IF(Raw_Data[[#This Row],[Age_Check]]="Valid",H373,"")</f>
        <v/>
      </c>
      <c r="V373" t="str">
        <f>IF(OR(K373="",UPPER(TRIM(K373&amp;""))="",LOWER(TRIM(K373&amp;""))="",LOWER(TRIM(K373&amp;""))="",LOWER(TRIM(K373&amp;""))="missing"),"Missing/",IFERROR(IF(VALUE(K373)&lt;0,"Invalid","Valid"),"Check Format"))</f>
        <v>Valid</v>
      </c>
      <c r="W373" t="str">
        <f>IF(OR(E373="",F373=""),"Missing Date/Time",IFERROR(IF(F373&gt;E373,"Arrival After Appointment","OK"),"Check Format"))</f>
        <v>OK</v>
      </c>
      <c r="X373" t="str">
        <f>IF(OR(F373="",G373=""),"Missing Date/Time",IFERROR(IF(G373&lt;F373,"Discharge Before Arrival","OK"),"Check Format"))</f>
        <v>OK</v>
      </c>
    </row>
    <row r="374" spans="1:24" x14ac:dyDescent="0.25">
      <c r="A374" s="2" t="s">
        <v>768</v>
      </c>
      <c r="B374" s="2" t="s">
        <v>769</v>
      </c>
      <c r="D374" s="3" t="s">
        <v>30</v>
      </c>
      <c r="F374" s="4">
        <v>45973.554166666669</v>
      </c>
      <c r="G374" s="4">
        <v>45973.61041666667</v>
      </c>
      <c r="H374" s="5">
        <v>145</v>
      </c>
      <c r="I374" s="3" t="s">
        <v>73</v>
      </c>
      <c r="J374" s="3" t="s">
        <v>67</v>
      </c>
      <c r="K374" s="5">
        <v>0</v>
      </c>
      <c r="L374" s="5">
        <v>69</v>
      </c>
      <c r="M374" s="3" t="s">
        <v>63</v>
      </c>
      <c r="N374" t="s">
        <v>24</v>
      </c>
      <c r="O374" s="5">
        <v>6</v>
      </c>
      <c r="P374" s="3" t="s">
        <v>42</v>
      </c>
      <c r="Q374" s="2">
        <v>133.83000000000001</v>
      </c>
      <c r="R374" s="3" t="s">
        <v>58</v>
      </c>
      <c r="S374">
        <f>COUNTIF(A:A,A374)</f>
        <v>1</v>
      </c>
      <c r="T374" t="str">
        <f>IF(OR(H374="",LOWER(TRIM(H374&amp;""))="missing",LOWER(TRIM(H374&amp;""))=""),"Missing/",IFERROR(IF(OR(VALUE(H374)&lt;0,VALUE(H374)&gt;110),"Invalid","Valid"),"Check Format"))</f>
        <v>Invalid</v>
      </c>
      <c r="U374" t="str">
        <f>IF(Raw_Data[[#This Row],[Age_Check]]="Valid",H374,"")</f>
        <v/>
      </c>
      <c r="V374" t="str">
        <f>IF(OR(K374="",UPPER(TRIM(K374&amp;""))="",LOWER(TRIM(K374&amp;""))="",LOWER(TRIM(K374&amp;""))="",LOWER(TRIM(K374&amp;""))="missing"),"Missing/",IFERROR(IF(VALUE(K374)&lt;0,"Invalid","Valid"),"Check Format"))</f>
        <v>Valid</v>
      </c>
      <c r="W374" t="str">
        <f>IF(OR(E374="",F374=""),"Missing Date/Time",IFERROR(IF(F374&gt;E374,"Arrival After Appointment","OK"),"Check Format"))</f>
        <v>Missing Date/Time</v>
      </c>
      <c r="X374" t="str">
        <f>IF(OR(F374="",G374=""),"Missing Date/Time",IFERROR(IF(G374&lt;F374,"Discharge Before Arrival","OK"),"Check Format"))</f>
        <v>OK</v>
      </c>
    </row>
    <row r="375" spans="1:24" x14ac:dyDescent="0.25">
      <c r="A375" s="2" t="s">
        <v>770</v>
      </c>
      <c r="B375" s="2" t="s">
        <v>465</v>
      </c>
      <c r="D375" s="3" t="s">
        <v>106</v>
      </c>
      <c r="E375" s="4">
        <v>45945.5</v>
      </c>
      <c r="F375" s="4">
        <v>45945.489583333336</v>
      </c>
      <c r="G375" s="4">
        <v>45945.575694444444</v>
      </c>
      <c r="I375" s="3" t="s">
        <v>95</v>
      </c>
      <c r="J375" s="3" t="s">
        <v>150</v>
      </c>
      <c r="K375" s="5">
        <v>96</v>
      </c>
      <c r="L375" s="5">
        <v>13</v>
      </c>
      <c r="M375" s="3" t="s">
        <v>32</v>
      </c>
      <c r="N375" t="s">
        <v>100</v>
      </c>
      <c r="O375" s="5">
        <v>6</v>
      </c>
      <c r="P375" s="3" t="s">
        <v>80</v>
      </c>
      <c r="Q375" s="2">
        <v>194.02</v>
      </c>
      <c r="R375" s="3" t="s">
        <v>26</v>
      </c>
      <c r="S375">
        <f>COUNTIF(A:A,A375)</f>
        <v>1</v>
      </c>
      <c r="T375" t="str">
        <f>IF(OR(H375="",LOWER(TRIM(H375&amp;""))="missing",LOWER(TRIM(H375&amp;""))=""),"Missing/",IFERROR(IF(OR(VALUE(H375)&lt;0,VALUE(H375)&gt;110),"Invalid","Valid"),"Check Format"))</f>
        <v>Missing/</v>
      </c>
      <c r="U375" t="str">
        <f>IF(Raw_Data[[#This Row],[Age_Check]]="Valid",H375,"")</f>
        <v/>
      </c>
      <c r="V375" t="str">
        <f>IF(OR(K375="",UPPER(TRIM(K375&amp;""))="",LOWER(TRIM(K375&amp;""))="",LOWER(TRIM(K375&amp;""))="",LOWER(TRIM(K375&amp;""))="missing"),"Missing/",IFERROR(IF(VALUE(K375)&lt;0,"Invalid","Valid"),"Check Format"))</f>
        <v>Valid</v>
      </c>
      <c r="W375" t="str">
        <f>IF(OR(E375="",F375=""),"Missing Date/Time",IFERROR(IF(F375&gt;E375,"Arrival After Appointment","OK"),"Check Format"))</f>
        <v>OK</v>
      </c>
      <c r="X375" t="str">
        <f>IF(OR(F375="",G375=""),"Missing Date/Time",IFERROR(IF(G375&lt;F375,"Discharge Before Arrival","OK"),"Check Format"))</f>
        <v>OK</v>
      </c>
    </row>
    <row r="376" spans="1:24" x14ac:dyDescent="0.25">
      <c r="A376" s="2" t="s">
        <v>771</v>
      </c>
      <c r="B376" s="2" t="s">
        <v>431</v>
      </c>
      <c r="C376" s="3" t="s">
        <v>19</v>
      </c>
      <c r="D376" s="3" t="s">
        <v>61</v>
      </c>
      <c r="E376" s="4">
        <v>45324.399305555555</v>
      </c>
      <c r="F376" s="4">
        <v>45324.387499999997</v>
      </c>
      <c r="G376" s="4">
        <v>45324.427777777775</v>
      </c>
      <c r="I376" s="3" t="s">
        <v>73</v>
      </c>
      <c r="J376" s="3" t="s">
        <v>62</v>
      </c>
      <c r="K376" s="5">
        <v>21</v>
      </c>
      <c r="L376" s="5">
        <v>20</v>
      </c>
      <c r="M376" s="3" t="s">
        <v>23</v>
      </c>
      <c r="N376" t="s">
        <v>69</v>
      </c>
      <c r="P376" s="3" t="s">
        <v>80</v>
      </c>
      <c r="Q376" s="2">
        <v>298.12</v>
      </c>
      <c r="R376" s="3" t="s">
        <v>43</v>
      </c>
      <c r="S376">
        <f>COUNTIF(A:A,A376)</f>
        <v>1</v>
      </c>
      <c r="T376" t="str">
        <f>IF(OR(H376="",LOWER(TRIM(H376&amp;""))="missing",LOWER(TRIM(H376&amp;""))=""),"Missing/",IFERROR(IF(OR(VALUE(H376)&lt;0,VALUE(H376)&gt;110),"Invalid","Valid"),"Check Format"))</f>
        <v>Missing/</v>
      </c>
      <c r="U376" t="str">
        <f>IF(Raw_Data[[#This Row],[Age_Check]]="Valid",H376,"")</f>
        <v/>
      </c>
      <c r="V376" t="str">
        <f>IF(OR(K376="",UPPER(TRIM(K376&amp;""))="",LOWER(TRIM(K376&amp;""))="",LOWER(TRIM(K376&amp;""))="",LOWER(TRIM(K376&amp;""))="missing"),"Missing/",IFERROR(IF(VALUE(K376)&lt;0,"Invalid","Valid"),"Check Format"))</f>
        <v>Valid</v>
      </c>
      <c r="W376" t="str">
        <f>IF(OR(E376="",F376=""),"Missing Date/Time",IFERROR(IF(F376&gt;E376,"Arrival After Appointment","OK"),"Check Format"))</f>
        <v>OK</v>
      </c>
      <c r="X376" t="str">
        <f>IF(OR(F376="",G376=""),"Missing Date/Time",IFERROR(IF(G376&lt;F376,"Discharge Before Arrival","OK"),"Check Format"))</f>
        <v>OK</v>
      </c>
    </row>
    <row r="377" spans="1:24" x14ac:dyDescent="0.25">
      <c r="A377" s="2" t="s">
        <v>772</v>
      </c>
      <c r="B377" s="2" t="s">
        <v>281</v>
      </c>
      <c r="C377" s="3" t="s">
        <v>29</v>
      </c>
      <c r="D377" s="3" t="s">
        <v>209</v>
      </c>
      <c r="E377" s="4">
        <v>45978.368055555555</v>
      </c>
      <c r="F377" s="4">
        <v>45978.347916666666</v>
      </c>
      <c r="G377" s="4">
        <v>45978.427777777775</v>
      </c>
      <c r="I377" s="3" t="s">
        <v>39</v>
      </c>
      <c r="J377" s="3" t="s">
        <v>171</v>
      </c>
      <c r="K377" s="5">
        <v>51</v>
      </c>
      <c r="L377" s="5">
        <v>35</v>
      </c>
      <c r="N377" t="s">
        <v>69</v>
      </c>
      <c r="O377" s="5">
        <v>4</v>
      </c>
      <c r="P377" s="3" t="s">
        <v>80</v>
      </c>
      <c r="Q377" s="2">
        <v>214.61</v>
      </c>
      <c r="R377" s="3" t="s">
        <v>75</v>
      </c>
      <c r="S377">
        <f>COUNTIF(A:A,A377)</f>
        <v>1</v>
      </c>
      <c r="T377" t="str">
        <f>IF(OR(H377="",LOWER(TRIM(H377&amp;""))="missing",LOWER(TRIM(H377&amp;""))=""),"Missing/",IFERROR(IF(OR(VALUE(H377)&lt;0,VALUE(H377)&gt;110),"Invalid","Valid"),"Check Format"))</f>
        <v>Missing/</v>
      </c>
      <c r="U377" t="str">
        <f>IF(Raw_Data[[#This Row],[Age_Check]]="Valid",H377,"")</f>
        <v/>
      </c>
      <c r="V377" t="str">
        <f>IF(OR(K377="",UPPER(TRIM(K377&amp;""))="",LOWER(TRIM(K377&amp;""))="",LOWER(TRIM(K377&amp;""))="",LOWER(TRIM(K377&amp;""))="missing"),"Missing/",IFERROR(IF(VALUE(K377)&lt;0,"Invalid","Valid"),"Check Format"))</f>
        <v>Valid</v>
      </c>
      <c r="W377" t="str">
        <f>IF(OR(E377="",F377=""),"Missing Date/Time",IFERROR(IF(F377&gt;E377,"Arrival After Appointment","OK"),"Check Format"))</f>
        <v>OK</v>
      </c>
      <c r="X377" t="str">
        <f>IF(OR(F377="",G377=""),"Missing Date/Time",IFERROR(IF(G377&lt;F377,"Discharge Before Arrival","OK"),"Check Format"))</f>
        <v>OK</v>
      </c>
    </row>
    <row r="378" spans="1:24" x14ac:dyDescent="0.25">
      <c r="A378" s="2" t="s">
        <v>773</v>
      </c>
      <c r="B378" s="2" t="s">
        <v>531</v>
      </c>
      <c r="C378" s="3" t="s">
        <v>46</v>
      </c>
      <c r="D378" s="3" t="s">
        <v>55</v>
      </c>
      <c r="E378" s="4">
        <v>45603.753472222219</v>
      </c>
      <c r="F378" s="4">
        <v>45484.740972222222</v>
      </c>
      <c r="G378" s="4">
        <v>45484.82916666667</v>
      </c>
      <c r="I378" s="3" t="s">
        <v>39</v>
      </c>
      <c r="J378" s="3" t="s">
        <v>150</v>
      </c>
      <c r="K378" s="5">
        <v>75</v>
      </c>
      <c r="L378" s="5">
        <v>34</v>
      </c>
      <c r="M378" s="3" t="s">
        <v>68</v>
      </c>
      <c r="O378" s="5">
        <v>5</v>
      </c>
      <c r="P378" s="3" t="s">
        <v>25</v>
      </c>
      <c r="Q378" s="2">
        <v>174.2</v>
      </c>
      <c r="R378" s="3" t="s">
        <v>26</v>
      </c>
      <c r="S378">
        <f>COUNTIF(A:A,A378)</f>
        <v>1</v>
      </c>
      <c r="T378" t="str">
        <f>IF(OR(H378="",LOWER(TRIM(H378&amp;""))="missing",LOWER(TRIM(H378&amp;""))=""),"Missing/",IFERROR(IF(OR(VALUE(H378)&lt;0,VALUE(H378)&gt;110),"Invalid","Valid"),"Check Format"))</f>
        <v>Missing/</v>
      </c>
      <c r="U378" t="str">
        <f>IF(Raw_Data[[#This Row],[Age_Check]]="Valid",H378,"")</f>
        <v/>
      </c>
      <c r="V378" t="str">
        <f>IF(OR(K378="",UPPER(TRIM(K378&amp;""))="",LOWER(TRIM(K378&amp;""))="",LOWER(TRIM(K378&amp;""))="",LOWER(TRIM(K378&amp;""))="missing"),"Missing/",IFERROR(IF(VALUE(K378)&lt;0,"Invalid","Valid"),"Check Format"))</f>
        <v>Valid</v>
      </c>
      <c r="W378" t="str">
        <f>IF(OR(E378="",F378=""),"Missing Date/Time",IFERROR(IF(F378&gt;E378,"Arrival After Appointment","OK"),"Check Format"))</f>
        <v>OK</v>
      </c>
      <c r="X378" t="str">
        <f>IF(OR(F378="",G378=""),"Missing Date/Time",IFERROR(IF(G378&lt;F378,"Discharge Before Arrival","OK"),"Check Format"))</f>
        <v>OK</v>
      </c>
    </row>
    <row r="379" spans="1:24" x14ac:dyDescent="0.25">
      <c r="A379" s="2" t="s">
        <v>627</v>
      </c>
      <c r="B379" s="2" t="s">
        <v>355</v>
      </c>
      <c r="C379" s="3" t="s">
        <v>94</v>
      </c>
      <c r="D379" s="3" t="s">
        <v>30</v>
      </c>
      <c r="E379" s="4">
        <v>45396.756944444445</v>
      </c>
      <c r="F379" s="4">
        <v>45396.738888888889</v>
      </c>
      <c r="G379" s="4">
        <v>45396.856944444444</v>
      </c>
      <c r="J379" s="3" t="s">
        <v>62</v>
      </c>
      <c r="K379" s="5">
        <v>68</v>
      </c>
      <c r="L379" s="5">
        <v>76</v>
      </c>
      <c r="M379" s="3" t="s">
        <v>63</v>
      </c>
      <c r="N379" t="s">
        <v>69</v>
      </c>
      <c r="P379" s="3" t="s">
        <v>25</v>
      </c>
      <c r="Q379" s="2">
        <v>93.98</v>
      </c>
      <c r="R379" s="3" t="s">
        <v>58</v>
      </c>
      <c r="S379">
        <f>COUNTIF(A:A,A379)</f>
        <v>2</v>
      </c>
      <c r="T379" t="str">
        <f>IF(OR(H379="",LOWER(TRIM(H379&amp;""))="missing",LOWER(TRIM(H379&amp;""))=""),"Missing/",IFERROR(IF(OR(VALUE(H379)&lt;0,VALUE(H379)&gt;110),"Invalid","Valid"),"Check Format"))</f>
        <v>Missing/</v>
      </c>
      <c r="U379" t="str">
        <f>IF(Raw_Data[[#This Row],[Age_Check]]="Valid",H379,"")</f>
        <v/>
      </c>
      <c r="V379" t="str">
        <f>IF(OR(K379="",UPPER(TRIM(K379&amp;""))="",LOWER(TRIM(K379&amp;""))="",LOWER(TRIM(K379&amp;""))="",LOWER(TRIM(K379&amp;""))="missing"),"Missing/",IFERROR(IF(VALUE(K379)&lt;0,"Invalid","Valid"),"Check Format"))</f>
        <v>Valid</v>
      </c>
      <c r="W379" t="str">
        <f>IF(OR(E379="",F379=""),"Missing Date/Time",IFERROR(IF(F379&gt;E379,"Arrival After Appointment","OK"),"Check Format"))</f>
        <v>OK</v>
      </c>
      <c r="X379" t="str">
        <f>IF(OR(F379="",G379=""),"Missing Date/Time",IFERROR(IF(G379&lt;F379,"Discharge Before Arrival","OK"),"Check Format"))</f>
        <v>OK</v>
      </c>
    </row>
    <row r="380" spans="1:24" x14ac:dyDescent="0.25">
      <c r="A380" s="2" t="s">
        <v>776</v>
      </c>
      <c r="B380" s="2" t="s">
        <v>777</v>
      </c>
      <c r="C380" s="3" t="s">
        <v>94</v>
      </c>
      <c r="D380" s="3" t="s">
        <v>209</v>
      </c>
      <c r="E380" s="4">
        <v>45522.788194444445</v>
      </c>
      <c r="F380" s="4">
        <v>45522.770138888889</v>
      </c>
      <c r="G380" s="4">
        <v>45522.868055555555</v>
      </c>
      <c r="H380" s="5">
        <v>145</v>
      </c>
      <c r="I380" s="3" t="s">
        <v>95</v>
      </c>
      <c r="J380" s="3" t="s">
        <v>67</v>
      </c>
      <c r="K380" s="5">
        <v>65</v>
      </c>
      <c r="L380" s="5">
        <v>50</v>
      </c>
      <c r="M380" s="3" t="s">
        <v>41</v>
      </c>
      <c r="N380" t="s">
        <v>69</v>
      </c>
      <c r="O380" s="5">
        <v>0</v>
      </c>
      <c r="P380" s="3" t="s">
        <v>80</v>
      </c>
      <c r="Q380" s="2">
        <v>233.44</v>
      </c>
      <c r="R380" s="3" t="s">
        <v>75</v>
      </c>
      <c r="S380">
        <f>COUNTIF(A:A,A380)</f>
        <v>1</v>
      </c>
      <c r="T380" t="str">
        <f>IF(OR(H380="",LOWER(TRIM(H380&amp;""))="missing",LOWER(TRIM(H380&amp;""))=""),"Missing/",IFERROR(IF(OR(VALUE(H380)&lt;0,VALUE(H380)&gt;110),"Invalid","Valid"),"Check Format"))</f>
        <v>Invalid</v>
      </c>
      <c r="U380" t="str">
        <f>IF(Raw_Data[[#This Row],[Age_Check]]="Valid",H380,"")</f>
        <v/>
      </c>
      <c r="V380" t="str">
        <f>IF(OR(K380="",UPPER(TRIM(K380&amp;""))="",LOWER(TRIM(K380&amp;""))="",LOWER(TRIM(K380&amp;""))="",LOWER(TRIM(K380&amp;""))="missing"),"Missing/",IFERROR(IF(VALUE(K380)&lt;0,"Invalid","Valid"),"Check Format"))</f>
        <v>Valid</v>
      </c>
      <c r="W380" t="str">
        <f>IF(OR(E380="",F380=""),"Missing Date/Time",IFERROR(IF(F380&gt;E380,"Arrival After Appointment","OK"),"Check Format"))</f>
        <v>OK</v>
      </c>
      <c r="X380" t="str">
        <f>IF(OR(F380="",G380=""),"Missing Date/Time",IFERROR(IF(G380&lt;F380,"Discharge Before Arrival","OK"),"Check Format"))</f>
        <v>OK</v>
      </c>
    </row>
    <row r="381" spans="1:24" x14ac:dyDescent="0.25">
      <c r="A381" s="2" t="s">
        <v>717</v>
      </c>
      <c r="B381" s="2" t="s">
        <v>442</v>
      </c>
      <c r="D381" s="3" t="s">
        <v>61</v>
      </c>
      <c r="E381" s="4">
        <v>45908.409722222219</v>
      </c>
      <c r="F381" s="4">
        <v>45878.406944444447</v>
      </c>
      <c r="G381" s="4">
        <v>45878.476388888892</v>
      </c>
      <c r="K381" s="5">
        <v>33</v>
      </c>
      <c r="L381" s="5">
        <v>63</v>
      </c>
      <c r="O381" s="5">
        <v>6</v>
      </c>
      <c r="P381" s="3" t="s">
        <v>25</v>
      </c>
      <c r="Q381" s="2">
        <v>160.83000000000001</v>
      </c>
      <c r="R381" s="3" t="s">
        <v>43</v>
      </c>
      <c r="S381">
        <f>COUNTIF(A:A,A381)</f>
        <v>2</v>
      </c>
      <c r="T381" t="str">
        <f>IF(OR(H381="",LOWER(TRIM(H381&amp;""))="missing",LOWER(TRIM(H381&amp;""))=""),"Missing/",IFERROR(IF(OR(VALUE(H381)&lt;0,VALUE(H381)&gt;110),"Invalid","Valid"),"Check Format"))</f>
        <v>Missing/</v>
      </c>
      <c r="U381" t="str">
        <f>IF(Raw_Data[[#This Row],[Age_Check]]="Valid",H381,"")</f>
        <v/>
      </c>
      <c r="V381" t="str">
        <f>IF(OR(K381="",UPPER(TRIM(K381&amp;""))="",LOWER(TRIM(K381&amp;""))="",LOWER(TRIM(K381&amp;""))="",LOWER(TRIM(K381&amp;""))="missing"),"Missing/",IFERROR(IF(VALUE(K381)&lt;0,"Invalid","Valid"),"Check Format"))</f>
        <v>Valid</v>
      </c>
      <c r="W381" t="str">
        <f>IF(OR(E381="",F381=""),"Missing Date/Time",IFERROR(IF(F381&gt;E381,"Arrival After Appointment","OK"),"Check Format"))</f>
        <v>OK</v>
      </c>
      <c r="X381" t="str">
        <f>IF(OR(F381="",G381=""),"Missing Date/Time",IFERROR(IF(G381&lt;F381,"Discharge Before Arrival","OK"),"Check Format"))</f>
        <v>OK</v>
      </c>
    </row>
    <row r="382" spans="1:24" x14ac:dyDescent="0.25">
      <c r="A382" s="2" t="s">
        <v>717</v>
      </c>
      <c r="B382" s="2" t="s">
        <v>117</v>
      </c>
      <c r="C382" s="3" t="s">
        <v>46</v>
      </c>
      <c r="D382" s="3" t="s">
        <v>23</v>
      </c>
      <c r="E382" s="4">
        <v>45300.65625</v>
      </c>
      <c r="F382" s="4">
        <v>45300.652083333334</v>
      </c>
      <c r="G382" s="4">
        <v>45300.696527777778</v>
      </c>
      <c r="H382" s="5">
        <v>81</v>
      </c>
      <c r="I382" s="3" t="s">
        <v>39</v>
      </c>
      <c r="J382" s="3" t="s">
        <v>171</v>
      </c>
      <c r="K382" s="5">
        <v>35</v>
      </c>
      <c r="L382" s="5">
        <v>23</v>
      </c>
      <c r="M382" s="3" t="s">
        <v>50</v>
      </c>
      <c r="N382" t="s">
        <v>24</v>
      </c>
      <c r="P382" s="3" t="s">
        <v>25</v>
      </c>
      <c r="Q382" s="2">
        <v>119.37</v>
      </c>
      <c r="R382" s="3" t="s">
        <v>26</v>
      </c>
      <c r="S382">
        <f>COUNTIF(A:A,A382)</f>
        <v>2</v>
      </c>
      <c r="T382" t="str">
        <f>IF(OR(H382="",LOWER(TRIM(H382&amp;""))="missing",LOWER(TRIM(H382&amp;""))=""),"Missing/",IFERROR(IF(OR(VALUE(H382)&lt;0,VALUE(H382)&gt;110),"Invalid","Valid"),"Check Format"))</f>
        <v>Valid</v>
      </c>
      <c r="U382">
        <f>IF(Raw_Data[[#This Row],[Age_Check]]="Valid",H382,"")</f>
        <v>81</v>
      </c>
      <c r="V382" t="str">
        <f>IF(OR(K382="",UPPER(TRIM(K382&amp;""))="",LOWER(TRIM(K382&amp;""))="",LOWER(TRIM(K382&amp;""))="",LOWER(TRIM(K382&amp;""))="missing"),"Missing/",IFERROR(IF(VALUE(K382)&lt;0,"Invalid","Valid"),"Check Format"))</f>
        <v>Valid</v>
      </c>
      <c r="W382" t="str">
        <f>IF(OR(E382="",F382=""),"Missing Date/Time",IFERROR(IF(F382&gt;E382,"Arrival After Appointment","OK"),"Check Format"))</f>
        <v>OK</v>
      </c>
      <c r="X382" t="str">
        <f>IF(OR(F382="",G382=""),"Missing Date/Time",IFERROR(IF(G382&lt;F382,"Discharge Before Arrival","OK"),"Check Format"))</f>
        <v>OK</v>
      </c>
    </row>
    <row r="383" spans="1:24" x14ac:dyDescent="0.25">
      <c r="A383" s="2" t="s">
        <v>780</v>
      </c>
      <c r="B383" s="2" t="s">
        <v>781</v>
      </c>
      <c r="C383" s="3" t="s">
        <v>46</v>
      </c>
      <c r="D383" s="3" t="s">
        <v>38</v>
      </c>
      <c r="E383" s="4">
        <v>46000.743055555555</v>
      </c>
      <c r="F383" s="4">
        <v>46000.73333333333</v>
      </c>
      <c r="G383" s="4">
        <v>46000.785416666666</v>
      </c>
      <c r="H383" s="5">
        <v>15</v>
      </c>
      <c r="I383" s="3" t="s">
        <v>73</v>
      </c>
      <c r="J383" s="3" t="s">
        <v>62</v>
      </c>
      <c r="K383" s="5">
        <v>31</v>
      </c>
      <c r="L383" s="5">
        <v>30</v>
      </c>
      <c r="M383" s="3" t="s">
        <v>32</v>
      </c>
      <c r="O383" s="5">
        <v>6</v>
      </c>
      <c r="P383" s="3" t="s">
        <v>25</v>
      </c>
      <c r="Q383" s="2">
        <v>171.3</v>
      </c>
      <c r="R383" s="3" t="s">
        <v>58</v>
      </c>
      <c r="S383">
        <f>COUNTIF(A:A,A383)</f>
        <v>1</v>
      </c>
      <c r="T383" t="str">
        <f>IF(OR(H383="",LOWER(TRIM(H383&amp;""))="missing",LOWER(TRIM(H383&amp;""))=""),"Missing/",IFERROR(IF(OR(VALUE(H383)&lt;0,VALUE(H383)&gt;110),"Invalid","Valid"),"Check Format"))</f>
        <v>Valid</v>
      </c>
      <c r="U383">
        <f>IF(Raw_Data[[#This Row],[Age_Check]]="Valid",H383,"")</f>
        <v>15</v>
      </c>
      <c r="V383" t="str">
        <f>IF(OR(K383="",UPPER(TRIM(K383&amp;""))="",LOWER(TRIM(K383&amp;""))="",LOWER(TRIM(K383&amp;""))="",LOWER(TRIM(K383&amp;""))="missing"),"Missing/",IFERROR(IF(VALUE(K383)&lt;0,"Invalid","Valid"),"Check Format"))</f>
        <v>Valid</v>
      </c>
      <c r="W383" t="str">
        <f>IF(OR(E383="",F383=""),"Missing Date/Time",IFERROR(IF(F383&gt;E383,"Arrival After Appointment","OK"),"Check Format"))</f>
        <v>OK</v>
      </c>
      <c r="X383" t="str">
        <f>IF(OR(F383="",G383=""),"Missing Date/Time",IFERROR(IF(G383&lt;F383,"Discharge Before Arrival","OK"),"Check Format"))</f>
        <v>OK</v>
      </c>
    </row>
    <row r="384" spans="1:24" x14ac:dyDescent="0.25">
      <c r="A384" s="2" t="s">
        <v>782</v>
      </c>
      <c r="B384" s="2" t="s">
        <v>465</v>
      </c>
      <c r="C384" s="3" t="s">
        <v>19</v>
      </c>
      <c r="D384" s="3" t="s">
        <v>61</v>
      </c>
      <c r="E384" s="4">
        <v>45477.565972222219</v>
      </c>
      <c r="F384" s="4">
        <v>45477.547222222223</v>
      </c>
      <c r="G384" s="4">
        <v>45477.640972222223</v>
      </c>
      <c r="I384" s="3" t="s">
        <v>95</v>
      </c>
      <c r="J384" s="3" t="s">
        <v>67</v>
      </c>
      <c r="K384" s="5">
        <v>69</v>
      </c>
      <c r="L384" s="5">
        <v>39</v>
      </c>
      <c r="O384" s="5">
        <v>0</v>
      </c>
      <c r="P384" s="3" t="s">
        <v>25</v>
      </c>
      <c r="Q384" s="2">
        <v>274.10000000000002</v>
      </c>
      <c r="R384" s="3" t="s">
        <v>26</v>
      </c>
      <c r="S384">
        <f>COUNTIF(A:A,A384)</f>
        <v>1</v>
      </c>
      <c r="T384" t="str">
        <f>IF(OR(H384="",LOWER(TRIM(H384&amp;""))="missing",LOWER(TRIM(H384&amp;""))=""),"Missing/",IFERROR(IF(OR(VALUE(H384)&lt;0,VALUE(H384)&gt;110),"Invalid","Valid"),"Check Format"))</f>
        <v>Missing/</v>
      </c>
      <c r="U384" t="str">
        <f>IF(Raw_Data[[#This Row],[Age_Check]]="Valid",H384,"")</f>
        <v/>
      </c>
      <c r="V384" t="str">
        <f>IF(OR(K384="",UPPER(TRIM(K384&amp;""))="",LOWER(TRIM(K384&amp;""))="",LOWER(TRIM(K384&amp;""))="",LOWER(TRIM(K384&amp;""))="missing"),"Missing/",IFERROR(IF(VALUE(K384)&lt;0,"Invalid","Valid"),"Check Format"))</f>
        <v>Valid</v>
      </c>
      <c r="W384" t="str">
        <f>IF(OR(E384="",F384=""),"Missing Date/Time",IFERROR(IF(F384&gt;E384,"Arrival After Appointment","OK"),"Check Format"))</f>
        <v>OK</v>
      </c>
      <c r="X384" t="str">
        <f>IF(OR(F384="",G384=""),"Missing Date/Time",IFERROR(IF(G384&lt;F384,"Discharge Before Arrival","OK"),"Check Format"))</f>
        <v>OK</v>
      </c>
    </row>
    <row r="385" spans="1:24" x14ac:dyDescent="0.25">
      <c r="A385" s="2" t="s">
        <v>783</v>
      </c>
      <c r="B385" s="2" t="s">
        <v>784</v>
      </c>
      <c r="D385" s="3" t="s">
        <v>106</v>
      </c>
      <c r="E385" s="4">
        <v>45504.711805555555</v>
      </c>
      <c r="F385" s="4">
        <v>45504.709722222222</v>
      </c>
      <c r="I385" s="3" t="s">
        <v>95</v>
      </c>
      <c r="J385" s="3" t="s">
        <v>171</v>
      </c>
      <c r="K385" s="5">
        <v>73</v>
      </c>
      <c r="L385" s="5">
        <v>27</v>
      </c>
      <c r="M385" s="3" t="s">
        <v>23</v>
      </c>
      <c r="O385" s="5">
        <v>3</v>
      </c>
      <c r="P385" s="3" t="s">
        <v>25</v>
      </c>
      <c r="Q385" s="2">
        <v>222.13</v>
      </c>
      <c r="R385" s="3" t="s">
        <v>75</v>
      </c>
      <c r="S385">
        <f>COUNTIF(A:A,A385)</f>
        <v>1</v>
      </c>
      <c r="T385" t="str">
        <f>IF(OR(H385="",LOWER(TRIM(H385&amp;""))="missing",LOWER(TRIM(H385&amp;""))=""),"Missing/",IFERROR(IF(OR(VALUE(H385)&lt;0,VALUE(H385)&gt;110),"Invalid","Valid"),"Check Format"))</f>
        <v>Missing/</v>
      </c>
      <c r="U385" t="str">
        <f>IF(Raw_Data[[#This Row],[Age_Check]]="Valid",H385,"")</f>
        <v/>
      </c>
      <c r="V385" t="str">
        <f>IF(OR(K385="",UPPER(TRIM(K385&amp;""))="",LOWER(TRIM(K385&amp;""))="",LOWER(TRIM(K385&amp;""))="",LOWER(TRIM(K385&amp;""))="missing"),"Missing/",IFERROR(IF(VALUE(K385)&lt;0,"Invalid","Valid"),"Check Format"))</f>
        <v>Valid</v>
      </c>
      <c r="W385" t="str">
        <f>IF(OR(E385="",F385=""),"Missing Date/Time",IFERROR(IF(F385&gt;E385,"Arrival After Appointment","OK"),"Check Format"))</f>
        <v>OK</v>
      </c>
      <c r="X385" t="str">
        <f>IF(OR(F385="",G385=""),"Missing Date/Time",IFERROR(IF(G385&lt;F385,"Discharge Before Arrival","OK"),"Check Format"))</f>
        <v>Missing Date/Time</v>
      </c>
    </row>
    <row r="386" spans="1:24" x14ac:dyDescent="0.25">
      <c r="A386" s="2" t="s">
        <v>785</v>
      </c>
      <c r="B386" s="2" t="s">
        <v>559</v>
      </c>
      <c r="D386" s="3" t="s">
        <v>23</v>
      </c>
      <c r="E386" s="4">
        <v>45758.302083333336</v>
      </c>
      <c r="F386" s="4">
        <v>45965.291666666664</v>
      </c>
      <c r="G386" s="4">
        <v>45965.377083333333</v>
      </c>
      <c r="H386" s="5">
        <v>145</v>
      </c>
      <c r="J386" s="3" t="s">
        <v>22</v>
      </c>
      <c r="K386" s="5">
        <v>99</v>
      </c>
      <c r="L386" s="5">
        <v>9</v>
      </c>
      <c r="M386" s="3" t="s">
        <v>50</v>
      </c>
      <c r="N386" t="s">
        <v>100</v>
      </c>
      <c r="O386" s="5">
        <v>1</v>
      </c>
      <c r="P386" s="3" t="s">
        <v>80</v>
      </c>
      <c r="Q386" s="2">
        <v>192.79</v>
      </c>
      <c r="R386" s="3" t="s">
        <v>43</v>
      </c>
      <c r="S386">
        <f>COUNTIF(A:A,A386)</f>
        <v>1</v>
      </c>
      <c r="T386" t="str">
        <f>IF(OR(H386="",LOWER(TRIM(H386&amp;""))="missing",LOWER(TRIM(H386&amp;""))=""),"Missing/",IFERROR(IF(OR(VALUE(H386)&lt;0,VALUE(H386)&gt;110),"Invalid","Valid"),"Check Format"))</f>
        <v>Invalid</v>
      </c>
      <c r="U386" t="str">
        <f>IF(Raw_Data[[#This Row],[Age_Check]]="Valid",H386,"")</f>
        <v/>
      </c>
      <c r="V386" t="str">
        <f>IF(OR(K386="",UPPER(TRIM(K386&amp;""))="",LOWER(TRIM(K386&amp;""))="",LOWER(TRIM(K386&amp;""))="",LOWER(TRIM(K386&amp;""))="missing"),"Missing/",IFERROR(IF(VALUE(K386)&lt;0,"Invalid","Valid"),"Check Format"))</f>
        <v>Valid</v>
      </c>
      <c r="W386" t="str">
        <f>IF(OR(E386="",F386=""),"Missing Date/Time",IFERROR(IF(F386&gt;E386,"Arrival After Appointment","OK"),"Check Format"))</f>
        <v>Arrival After Appointment</v>
      </c>
      <c r="X386" t="str">
        <f>IF(OR(F386="",G386=""),"Missing Date/Time",IFERROR(IF(G386&lt;F386,"Discharge Before Arrival","OK"),"Check Format"))</f>
        <v>OK</v>
      </c>
    </row>
    <row r="387" spans="1:24" x14ac:dyDescent="0.25">
      <c r="A387" s="2" t="s">
        <v>786</v>
      </c>
      <c r="B387" s="2" t="s">
        <v>781</v>
      </c>
      <c r="C387" s="3" t="s">
        <v>94</v>
      </c>
      <c r="D387" s="3" t="s">
        <v>66</v>
      </c>
      <c r="E387" s="4">
        <v>45689.465277777781</v>
      </c>
      <c r="F387" s="4">
        <v>45659.463888888888</v>
      </c>
      <c r="G387" s="4">
        <v>45659.540277777778</v>
      </c>
      <c r="I387" s="3" t="s">
        <v>95</v>
      </c>
      <c r="J387" s="3" t="s">
        <v>67</v>
      </c>
      <c r="K387" s="5">
        <v>82</v>
      </c>
      <c r="L387" s="5">
        <v>26</v>
      </c>
      <c r="M387" s="3" t="s">
        <v>50</v>
      </c>
      <c r="N387" t="s">
        <v>100</v>
      </c>
      <c r="P387" s="3" t="s">
        <v>25</v>
      </c>
      <c r="Q387" s="2">
        <v>255.06</v>
      </c>
      <c r="R387" s="3" t="s">
        <v>26</v>
      </c>
      <c r="S387">
        <f>COUNTIF(A:A,A387)</f>
        <v>1</v>
      </c>
      <c r="T387" t="str">
        <f>IF(OR(H387="",LOWER(TRIM(H387&amp;""))="missing",LOWER(TRIM(H387&amp;""))=""),"Missing/",IFERROR(IF(OR(VALUE(H387)&lt;0,VALUE(H387)&gt;110),"Invalid","Valid"),"Check Format"))</f>
        <v>Missing/</v>
      </c>
      <c r="U387" t="str">
        <f>IF(Raw_Data[[#This Row],[Age_Check]]="Valid",H387,"")</f>
        <v/>
      </c>
      <c r="V387" t="str">
        <f>IF(OR(K387="",UPPER(TRIM(K387&amp;""))="",LOWER(TRIM(K387&amp;""))="",LOWER(TRIM(K387&amp;""))="",LOWER(TRIM(K387&amp;""))="missing"),"Missing/",IFERROR(IF(VALUE(K387)&lt;0,"Invalid","Valid"),"Check Format"))</f>
        <v>Valid</v>
      </c>
      <c r="W387" t="str">
        <f>IF(OR(E387="",F387=""),"Missing Date/Time",IFERROR(IF(F387&gt;E387,"Arrival After Appointment","OK"),"Check Format"))</f>
        <v>OK</v>
      </c>
      <c r="X387" t="str">
        <f>IF(OR(F387="",G387=""),"Missing Date/Time",IFERROR(IF(G387&lt;F387,"Discharge Before Arrival","OK"),"Check Format"))</f>
        <v>OK</v>
      </c>
    </row>
    <row r="388" spans="1:24" x14ac:dyDescent="0.25">
      <c r="A388" s="2" t="s">
        <v>787</v>
      </c>
      <c r="B388" s="2" t="s">
        <v>788</v>
      </c>
      <c r="C388" s="3" t="s">
        <v>19</v>
      </c>
      <c r="D388" s="3" t="s">
        <v>66</v>
      </c>
      <c r="E388" s="4" t="s">
        <v>789</v>
      </c>
      <c r="F388" s="4">
        <v>45736.532638888886</v>
      </c>
      <c r="I388" s="3" t="s">
        <v>39</v>
      </c>
      <c r="J388" s="3" t="s">
        <v>2639</v>
      </c>
      <c r="K388" s="5">
        <v>52</v>
      </c>
      <c r="L388" s="5">
        <v>34</v>
      </c>
      <c r="M388" s="3" t="s">
        <v>63</v>
      </c>
      <c r="N388" t="s">
        <v>69</v>
      </c>
      <c r="O388" s="5">
        <v>2</v>
      </c>
      <c r="P388" s="3" t="s">
        <v>25</v>
      </c>
      <c r="Q388" s="2">
        <v>131.15</v>
      </c>
      <c r="R388" s="3" t="s">
        <v>43</v>
      </c>
      <c r="S388">
        <f>COUNTIF(A:A,A388)</f>
        <v>1</v>
      </c>
      <c r="T388" t="str">
        <f>IF(OR(H388="",LOWER(TRIM(H388&amp;""))="missing",LOWER(TRIM(H388&amp;""))=""),"Missing/",IFERROR(IF(OR(VALUE(H388)&lt;0,VALUE(H388)&gt;110),"Invalid","Valid"),"Check Format"))</f>
        <v>Missing/</v>
      </c>
      <c r="U388" t="str">
        <f>IF(Raw_Data[[#This Row],[Age_Check]]="Valid",H388,"")</f>
        <v/>
      </c>
      <c r="V388" t="str">
        <f>IF(OR(K388="",UPPER(TRIM(K388&amp;""))="",LOWER(TRIM(K388&amp;""))="",LOWER(TRIM(K388&amp;""))="",LOWER(TRIM(K388&amp;""))="missing"),"Missing/",IFERROR(IF(VALUE(K388)&lt;0,"Invalid","Valid"),"Check Format"))</f>
        <v>Valid</v>
      </c>
      <c r="W388" t="str">
        <f>IF(OR(E388="",F388=""),"Missing Date/Time",IFERROR(IF(F388&gt;E388,"Arrival After Appointment","OK"),"Check Format"))</f>
        <v>OK</v>
      </c>
      <c r="X388" t="str">
        <f>IF(OR(F388="",G388=""),"Missing Date/Time",IFERROR(IF(G388&lt;F388,"Discharge Before Arrival","OK"),"Check Format"))</f>
        <v>Missing Date/Time</v>
      </c>
    </row>
    <row r="389" spans="1:24" x14ac:dyDescent="0.25">
      <c r="A389" s="2" t="s">
        <v>790</v>
      </c>
      <c r="B389" s="2" t="s">
        <v>791</v>
      </c>
      <c r="C389" s="3" t="s">
        <v>29</v>
      </c>
      <c r="D389" s="3" t="s">
        <v>149</v>
      </c>
      <c r="E389" s="4">
        <v>45471.663194444445</v>
      </c>
      <c r="F389" s="4">
        <v>45471.644444444442</v>
      </c>
      <c r="G389" s="4">
        <v>45471.711805555555</v>
      </c>
      <c r="H389" s="5">
        <v>34</v>
      </c>
      <c r="I389" s="3" t="s">
        <v>95</v>
      </c>
      <c r="J389" s="3" t="s">
        <v>22</v>
      </c>
      <c r="K389" s="5">
        <v>58</v>
      </c>
      <c r="L389" s="5">
        <v>12</v>
      </c>
      <c r="M389" s="3" t="s">
        <v>68</v>
      </c>
      <c r="N389" t="s">
        <v>91</v>
      </c>
      <c r="Q389" s="2">
        <v>29.8</v>
      </c>
      <c r="R389" s="3" t="s">
        <v>26</v>
      </c>
      <c r="S389">
        <f>COUNTIF(A:A,A389)</f>
        <v>1</v>
      </c>
      <c r="T389" t="str">
        <f>IF(OR(H389="",LOWER(TRIM(H389&amp;""))="missing",LOWER(TRIM(H389&amp;""))=""),"Missing/",IFERROR(IF(OR(VALUE(H389)&lt;0,VALUE(H389)&gt;110),"Invalid","Valid"),"Check Format"))</f>
        <v>Valid</v>
      </c>
      <c r="U389">
        <f>IF(Raw_Data[[#This Row],[Age_Check]]="Valid",H389,"")</f>
        <v>34</v>
      </c>
      <c r="V389" t="str">
        <f>IF(OR(K389="",UPPER(TRIM(K389&amp;""))="",LOWER(TRIM(K389&amp;""))="",LOWER(TRIM(K389&amp;""))="",LOWER(TRIM(K389&amp;""))="missing"),"Missing/",IFERROR(IF(VALUE(K389)&lt;0,"Invalid","Valid"),"Check Format"))</f>
        <v>Valid</v>
      </c>
      <c r="W389" t="str">
        <f>IF(OR(E389="",F389=""),"Missing Date/Time",IFERROR(IF(F389&gt;E389,"Arrival After Appointment","OK"),"Check Format"))</f>
        <v>OK</v>
      </c>
      <c r="X389" t="str">
        <f>IF(OR(F389="",G389=""),"Missing Date/Time",IFERROR(IF(G389&lt;F389,"Discharge Before Arrival","OK"),"Check Format"))</f>
        <v>OK</v>
      </c>
    </row>
    <row r="390" spans="1:24" x14ac:dyDescent="0.25">
      <c r="A390" s="2" t="s">
        <v>792</v>
      </c>
      <c r="B390" s="2" t="s">
        <v>793</v>
      </c>
      <c r="C390" s="3" t="s">
        <v>94</v>
      </c>
      <c r="D390" s="3" t="s">
        <v>47</v>
      </c>
      <c r="E390" s="4">
        <v>45898.388888888891</v>
      </c>
      <c r="F390" s="4">
        <v>45898.372916666667</v>
      </c>
      <c r="G390" s="4">
        <v>45898.478472222225</v>
      </c>
      <c r="I390" s="3" t="s">
        <v>73</v>
      </c>
      <c r="J390" s="3" t="s">
        <v>67</v>
      </c>
      <c r="K390" s="5">
        <v>113</v>
      </c>
      <c r="L390" s="5">
        <v>16</v>
      </c>
      <c r="N390" t="s">
        <v>24</v>
      </c>
      <c r="Q390" s="2">
        <v>65.69</v>
      </c>
      <c r="R390" s="3" t="s">
        <v>75</v>
      </c>
      <c r="S390">
        <f>COUNTIF(A:A,A390)</f>
        <v>1</v>
      </c>
      <c r="T390" t="str">
        <f>IF(OR(H390="",LOWER(TRIM(H390&amp;""))="missing",LOWER(TRIM(H390&amp;""))=""),"Missing/",IFERROR(IF(OR(VALUE(H390)&lt;0,VALUE(H390)&gt;110),"Invalid","Valid"),"Check Format"))</f>
        <v>Missing/</v>
      </c>
      <c r="U390" t="str">
        <f>IF(Raw_Data[[#This Row],[Age_Check]]="Valid",H390,"")</f>
        <v/>
      </c>
      <c r="V390" t="str">
        <f>IF(OR(K390="",UPPER(TRIM(K390&amp;""))="",LOWER(TRIM(K390&amp;""))="",LOWER(TRIM(K390&amp;""))="",LOWER(TRIM(K390&amp;""))="missing"),"Missing/",IFERROR(IF(VALUE(K390)&lt;0,"Invalid","Valid"),"Check Format"))</f>
        <v>Valid</v>
      </c>
      <c r="W390" t="str">
        <f>IF(OR(E390="",F390=""),"Missing Date/Time",IFERROR(IF(F390&gt;E390,"Arrival After Appointment","OK"),"Check Format"))</f>
        <v>OK</v>
      </c>
      <c r="X390" t="str">
        <f>IF(OR(F390="",G390=""),"Missing Date/Time",IFERROR(IF(G390&lt;F390,"Discharge Before Arrival","OK"),"Check Format"))</f>
        <v>OK</v>
      </c>
    </row>
    <row r="391" spans="1:24" x14ac:dyDescent="0.25">
      <c r="A391" s="2" t="s">
        <v>794</v>
      </c>
      <c r="B391" s="2" t="s">
        <v>795</v>
      </c>
      <c r="C391" s="3" t="s">
        <v>19</v>
      </c>
      <c r="D391" s="3" t="s">
        <v>61</v>
      </c>
      <c r="E391" s="4">
        <v>45526.493055555555</v>
      </c>
      <c r="F391" s="4">
        <v>45526.491666666669</v>
      </c>
      <c r="G391" s="4">
        <v>45526.506944444445</v>
      </c>
      <c r="H391" s="5">
        <v>145</v>
      </c>
      <c r="I391" s="3" t="s">
        <v>95</v>
      </c>
      <c r="J391" s="3" t="s">
        <v>62</v>
      </c>
      <c r="K391" s="5">
        <v>0</v>
      </c>
      <c r="L391" s="5">
        <v>20</v>
      </c>
      <c r="M391" s="3" t="s">
        <v>23</v>
      </c>
      <c r="N391" t="s">
        <v>103</v>
      </c>
      <c r="O391" s="5">
        <v>5</v>
      </c>
      <c r="P391" s="3" t="s">
        <v>80</v>
      </c>
      <c r="Q391" s="2">
        <v>39.15</v>
      </c>
      <c r="R391" s="3" t="s">
        <v>43</v>
      </c>
      <c r="S391">
        <f>COUNTIF(A:A,A391)</f>
        <v>1</v>
      </c>
      <c r="T391" t="str">
        <f>IF(OR(H391="",LOWER(TRIM(H391&amp;""))="missing",LOWER(TRIM(H391&amp;""))=""),"Missing/",IFERROR(IF(OR(VALUE(H391)&lt;0,VALUE(H391)&gt;110),"Invalid","Valid"),"Check Format"))</f>
        <v>Invalid</v>
      </c>
      <c r="U391" t="str">
        <f>IF(Raw_Data[[#This Row],[Age_Check]]="Valid",H391,"")</f>
        <v/>
      </c>
      <c r="V391" t="str">
        <f>IF(OR(K391="",UPPER(TRIM(K391&amp;""))="",LOWER(TRIM(K391&amp;""))="",LOWER(TRIM(K391&amp;""))="",LOWER(TRIM(K391&amp;""))="missing"),"Missing/",IFERROR(IF(VALUE(K391)&lt;0,"Invalid","Valid"),"Check Format"))</f>
        <v>Valid</v>
      </c>
      <c r="W391" t="str">
        <f>IF(OR(E391="",F391=""),"Missing Date/Time",IFERROR(IF(F391&gt;E391,"Arrival After Appointment","OK"),"Check Format"))</f>
        <v>OK</v>
      </c>
      <c r="X391" t="str">
        <f>IF(OR(F391="",G391=""),"Missing Date/Time",IFERROR(IF(G391&lt;F391,"Discharge Before Arrival","OK"),"Check Format"))</f>
        <v>OK</v>
      </c>
    </row>
    <row r="392" spans="1:24" x14ac:dyDescent="0.25">
      <c r="A392" s="2" t="s">
        <v>796</v>
      </c>
      <c r="B392" s="2" t="s">
        <v>283</v>
      </c>
      <c r="C392" s="3" t="s">
        <v>94</v>
      </c>
      <c r="D392" s="3" t="s">
        <v>23</v>
      </c>
      <c r="E392" s="4">
        <v>45837.753472222219</v>
      </c>
      <c r="F392" s="4">
        <v>45837.737500000003</v>
      </c>
      <c r="G392" s="4">
        <v>45837.868055555555</v>
      </c>
      <c r="H392" s="5">
        <v>145</v>
      </c>
      <c r="J392" s="3" t="s">
        <v>67</v>
      </c>
      <c r="K392" s="5">
        <v>115</v>
      </c>
      <c r="L392" s="5">
        <v>50</v>
      </c>
      <c r="M392" s="3" t="s">
        <v>87</v>
      </c>
      <c r="Q392" s="2">
        <v>89.95</v>
      </c>
      <c r="R392" s="3" t="s">
        <v>43</v>
      </c>
      <c r="S392">
        <f>COUNTIF(A:A,A392)</f>
        <v>1</v>
      </c>
      <c r="T392" t="str">
        <f>IF(OR(H392="",LOWER(TRIM(H392&amp;""))="missing",LOWER(TRIM(H392&amp;""))=""),"Missing/",IFERROR(IF(OR(VALUE(H392)&lt;0,VALUE(H392)&gt;110),"Invalid","Valid"),"Check Format"))</f>
        <v>Invalid</v>
      </c>
      <c r="U392" t="str">
        <f>IF(Raw_Data[[#This Row],[Age_Check]]="Valid",H392,"")</f>
        <v/>
      </c>
      <c r="V392" t="str">
        <f>IF(OR(K392="",UPPER(TRIM(K392&amp;""))="",LOWER(TRIM(K392&amp;""))="",LOWER(TRIM(K392&amp;""))="",LOWER(TRIM(K392&amp;""))="missing"),"Missing/",IFERROR(IF(VALUE(K392)&lt;0,"Invalid","Valid"),"Check Format"))</f>
        <v>Valid</v>
      </c>
      <c r="W392" t="str">
        <f>IF(OR(E392="",F392=""),"Missing Date/Time",IFERROR(IF(F392&gt;E392,"Arrival After Appointment","OK"),"Check Format"))</f>
        <v>OK</v>
      </c>
      <c r="X392" t="str">
        <f>IF(OR(F392="",G392=""),"Missing Date/Time",IFERROR(IF(G392&lt;F392,"Discharge Before Arrival","OK"),"Check Format"))</f>
        <v>OK</v>
      </c>
    </row>
    <row r="393" spans="1:24" x14ac:dyDescent="0.25">
      <c r="A393" s="2" t="s">
        <v>797</v>
      </c>
      <c r="B393" s="2" t="s">
        <v>602</v>
      </c>
      <c r="C393" s="3" t="s">
        <v>29</v>
      </c>
      <c r="D393" s="3" t="s">
        <v>72</v>
      </c>
      <c r="E393" s="4">
        <v>45653.3125</v>
      </c>
      <c r="F393" s="4">
        <v>45653.307638888888</v>
      </c>
      <c r="G393" s="4">
        <v>45653.440972222219</v>
      </c>
      <c r="I393" s="3" t="s">
        <v>73</v>
      </c>
      <c r="J393" s="3" t="s">
        <v>62</v>
      </c>
      <c r="K393" s="5">
        <v>136</v>
      </c>
      <c r="L393" s="5">
        <v>49</v>
      </c>
      <c r="M393" s="3" t="s">
        <v>63</v>
      </c>
      <c r="N393" t="s">
        <v>103</v>
      </c>
      <c r="P393" s="3" t="s">
        <v>42</v>
      </c>
      <c r="Q393" s="2">
        <v>119.01</v>
      </c>
      <c r="R393" s="3" t="s">
        <v>43</v>
      </c>
      <c r="S393">
        <f>COUNTIF(A:A,A393)</f>
        <v>1</v>
      </c>
      <c r="T393" t="str">
        <f>IF(OR(H393="",LOWER(TRIM(H393&amp;""))="missing",LOWER(TRIM(H393&amp;""))=""),"Missing/",IFERROR(IF(OR(VALUE(H393)&lt;0,VALUE(H393)&gt;110),"Invalid","Valid"),"Check Format"))</f>
        <v>Missing/</v>
      </c>
      <c r="U393" t="str">
        <f>IF(Raw_Data[[#This Row],[Age_Check]]="Valid",H393,"")</f>
        <v/>
      </c>
      <c r="V393" t="str">
        <f>IF(OR(K393="",UPPER(TRIM(K393&amp;""))="",LOWER(TRIM(K393&amp;""))="",LOWER(TRIM(K393&amp;""))="",LOWER(TRIM(K393&amp;""))="missing"),"Missing/",IFERROR(IF(VALUE(K393)&lt;0,"Invalid","Valid"),"Check Format"))</f>
        <v>Valid</v>
      </c>
      <c r="W393" t="str">
        <f>IF(OR(E393="",F393=""),"Missing Date/Time",IFERROR(IF(F393&gt;E393,"Arrival After Appointment","OK"),"Check Format"))</f>
        <v>OK</v>
      </c>
      <c r="X393" t="str">
        <f>IF(OR(F393="",G393=""),"Missing Date/Time",IFERROR(IF(G393&lt;F393,"Discharge Before Arrival","OK"),"Check Format"))</f>
        <v>OK</v>
      </c>
    </row>
    <row r="394" spans="1:24" x14ac:dyDescent="0.25">
      <c r="A394" s="2" t="s">
        <v>798</v>
      </c>
      <c r="B394" s="2" t="s">
        <v>418</v>
      </c>
      <c r="D394" s="3" t="s">
        <v>23</v>
      </c>
      <c r="E394" s="4">
        <v>45967.315972222219</v>
      </c>
      <c r="F394" s="4">
        <v>45819.308333333334</v>
      </c>
      <c r="H394" s="5">
        <v>92</v>
      </c>
      <c r="I394" s="3" t="s">
        <v>95</v>
      </c>
      <c r="J394" s="3" t="s">
        <v>62</v>
      </c>
      <c r="K394" s="5">
        <v>0</v>
      </c>
      <c r="L394" s="5">
        <v>73</v>
      </c>
      <c r="M394" s="3" t="s">
        <v>41</v>
      </c>
      <c r="N394" t="s">
        <v>74</v>
      </c>
      <c r="O394" s="5">
        <v>0</v>
      </c>
      <c r="P394" s="3" t="s">
        <v>80</v>
      </c>
      <c r="Q394" s="2">
        <v>33.83</v>
      </c>
      <c r="R394" s="3" t="s">
        <v>26</v>
      </c>
      <c r="S394">
        <f>COUNTIF(A:A,A394)</f>
        <v>1</v>
      </c>
      <c r="T394" t="str">
        <f>IF(OR(H394="",LOWER(TRIM(H394&amp;""))="missing",LOWER(TRIM(H394&amp;""))=""),"Missing/",IFERROR(IF(OR(VALUE(H394)&lt;0,VALUE(H394)&gt;110),"Invalid","Valid"),"Check Format"))</f>
        <v>Valid</v>
      </c>
      <c r="U394">
        <f>IF(Raw_Data[[#This Row],[Age_Check]]="Valid",H394,"")</f>
        <v>92</v>
      </c>
      <c r="V394" t="str">
        <f>IF(OR(K394="",UPPER(TRIM(K394&amp;""))="",LOWER(TRIM(K394&amp;""))="",LOWER(TRIM(K394&amp;""))="",LOWER(TRIM(K394&amp;""))="missing"),"Missing/",IFERROR(IF(VALUE(K394)&lt;0,"Invalid","Valid"),"Check Format"))</f>
        <v>Valid</v>
      </c>
      <c r="W394" t="str">
        <f>IF(OR(E394="",F394=""),"Missing Date/Time",IFERROR(IF(F394&gt;E394,"Arrival After Appointment","OK"),"Check Format"))</f>
        <v>OK</v>
      </c>
      <c r="X394" t="str">
        <f>IF(OR(F394="",G394=""),"Missing Date/Time",IFERROR(IF(G394&lt;F394,"Discharge Before Arrival","OK"),"Check Format"))</f>
        <v>Missing Date/Time</v>
      </c>
    </row>
    <row r="395" spans="1:24" x14ac:dyDescent="0.25">
      <c r="A395" s="2" t="s">
        <v>799</v>
      </c>
      <c r="B395" s="2" t="s">
        <v>245</v>
      </c>
      <c r="C395" s="3" t="s">
        <v>46</v>
      </c>
      <c r="D395" s="3" t="s">
        <v>20</v>
      </c>
      <c r="E395" s="4">
        <v>45299.409722222219</v>
      </c>
      <c r="F395" s="4">
        <v>45299.390277777777</v>
      </c>
      <c r="G395" s="4">
        <v>45299.444444444445</v>
      </c>
      <c r="I395" s="3" t="s">
        <v>73</v>
      </c>
      <c r="J395" s="3" t="s">
        <v>22</v>
      </c>
      <c r="K395" s="5">
        <v>0</v>
      </c>
      <c r="L395" s="5">
        <v>50</v>
      </c>
      <c r="M395" s="3" t="s">
        <v>68</v>
      </c>
      <c r="N395" t="s">
        <v>69</v>
      </c>
      <c r="O395" s="5">
        <v>3</v>
      </c>
      <c r="P395" s="3" t="s">
        <v>25</v>
      </c>
      <c r="Q395" s="2">
        <v>340.18</v>
      </c>
      <c r="R395" s="3" t="s">
        <v>43</v>
      </c>
      <c r="S395">
        <f>COUNTIF(A:A,A395)</f>
        <v>1</v>
      </c>
      <c r="T395" t="str">
        <f>IF(OR(H395="",LOWER(TRIM(H395&amp;""))="missing",LOWER(TRIM(H395&amp;""))=""),"Missing/",IFERROR(IF(OR(VALUE(H395)&lt;0,VALUE(H395)&gt;110),"Invalid","Valid"),"Check Format"))</f>
        <v>Missing/</v>
      </c>
      <c r="U395" t="str">
        <f>IF(Raw_Data[[#This Row],[Age_Check]]="Valid",H395,"")</f>
        <v/>
      </c>
      <c r="V395" t="str">
        <f>IF(OR(K395="",UPPER(TRIM(K395&amp;""))="",LOWER(TRIM(K395&amp;""))="",LOWER(TRIM(K395&amp;""))="",LOWER(TRIM(K395&amp;""))="missing"),"Missing/",IFERROR(IF(VALUE(K395)&lt;0,"Invalid","Valid"),"Check Format"))</f>
        <v>Valid</v>
      </c>
      <c r="W395" t="str">
        <f>IF(OR(E395="",F395=""),"Missing Date/Time",IFERROR(IF(F395&gt;E395,"Arrival After Appointment","OK"),"Check Format"))</f>
        <v>OK</v>
      </c>
      <c r="X395" t="str">
        <f>IF(OR(F395="",G395=""),"Missing Date/Time",IFERROR(IF(G395&lt;F395,"Discharge Before Arrival","OK"),"Check Format"))</f>
        <v>OK</v>
      </c>
    </row>
    <row r="396" spans="1:24" x14ac:dyDescent="0.25">
      <c r="A396" s="2" t="s">
        <v>800</v>
      </c>
      <c r="B396" s="2" t="s">
        <v>801</v>
      </c>
      <c r="C396" s="3" t="s">
        <v>46</v>
      </c>
      <c r="D396" s="3" t="s">
        <v>55</v>
      </c>
      <c r="E396" s="4">
        <v>45723.767361111109</v>
      </c>
      <c r="F396" s="4">
        <v>45723.756944444445</v>
      </c>
      <c r="G396" s="4">
        <v>45723.870138888888</v>
      </c>
      <c r="H396" s="5">
        <v>91</v>
      </c>
      <c r="I396" s="3" t="s">
        <v>39</v>
      </c>
      <c r="J396" s="3" t="s">
        <v>67</v>
      </c>
      <c r="K396" s="5">
        <v>106</v>
      </c>
      <c r="L396" s="5">
        <v>42</v>
      </c>
      <c r="O396" s="5">
        <v>4</v>
      </c>
      <c r="P396" s="3" t="s">
        <v>25</v>
      </c>
      <c r="Q396" s="2">
        <v>192.58</v>
      </c>
      <c r="R396" s="3" t="s">
        <v>43</v>
      </c>
      <c r="S396">
        <f>COUNTIF(A:A,A396)</f>
        <v>1</v>
      </c>
      <c r="T396" t="str">
        <f>IF(OR(H396="",LOWER(TRIM(H396&amp;""))="missing",LOWER(TRIM(H396&amp;""))=""),"Missing/",IFERROR(IF(OR(VALUE(H396)&lt;0,VALUE(H396)&gt;110),"Invalid","Valid"),"Check Format"))</f>
        <v>Valid</v>
      </c>
      <c r="U396">
        <f>IF(Raw_Data[[#This Row],[Age_Check]]="Valid",H396,"")</f>
        <v>91</v>
      </c>
      <c r="V396" t="str">
        <f>IF(OR(K396="",UPPER(TRIM(K396&amp;""))="",LOWER(TRIM(K396&amp;""))="",LOWER(TRIM(K396&amp;""))="",LOWER(TRIM(K396&amp;""))="missing"),"Missing/",IFERROR(IF(VALUE(K396)&lt;0,"Invalid","Valid"),"Check Format"))</f>
        <v>Valid</v>
      </c>
      <c r="W396" t="str">
        <f>IF(OR(E396="",F396=""),"Missing Date/Time",IFERROR(IF(F396&gt;E396,"Arrival After Appointment","OK"),"Check Format"))</f>
        <v>OK</v>
      </c>
      <c r="X396" t="str">
        <f>IF(OR(F396="",G396=""),"Missing Date/Time",IFERROR(IF(G396&lt;F396,"Discharge Before Arrival","OK"),"Check Format"))</f>
        <v>OK</v>
      </c>
    </row>
    <row r="397" spans="1:24" x14ac:dyDescent="0.25">
      <c r="A397" s="2" t="s">
        <v>802</v>
      </c>
      <c r="B397" s="2" t="s">
        <v>803</v>
      </c>
      <c r="C397" s="3" t="s">
        <v>46</v>
      </c>
      <c r="D397" s="3" t="s">
        <v>72</v>
      </c>
      <c r="E397" s="4">
        <v>45534.326388888891</v>
      </c>
      <c r="F397" s="4">
        <v>45534.324999999997</v>
      </c>
      <c r="G397" s="4">
        <v>45534.418055555558</v>
      </c>
      <c r="H397" s="5">
        <v>79</v>
      </c>
      <c r="J397" s="3" t="s">
        <v>150</v>
      </c>
      <c r="K397" s="5">
        <v>87</v>
      </c>
      <c r="L397" s="5">
        <v>45</v>
      </c>
      <c r="M397" s="3" t="s">
        <v>68</v>
      </c>
      <c r="N397" t="s">
        <v>24</v>
      </c>
      <c r="P397" s="3" t="s">
        <v>42</v>
      </c>
      <c r="Q397" s="2">
        <v>167.5</v>
      </c>
      <c r="R397" s="3" t="s">
        <v>58</v>
      </c>
      <c r="S397">
        <f>COUNTIF(A:A,A397)</f>
        <v>1</v>
      </c>
      <c r="T397" t="str">
        <f>IF(OR(H397="",LOWER(TRIM(H397&amp;""))="missing",LOWER(TRIM(H397&amp;""))=""),"Missing/",IFERROR(IF(OR(VALUE(H397)&lt;0,VALUE(H397)&gt;110),"Invalid","Valid"),"Check Format"))</f>
        <v>Valid</v>
      </c>
      <c r="U397">
        <f>IF(Raw_Data[[#This Row],[Age_Check]]="Valid",H397,"")</f>
        <v>79</v>
      </c>
      <c r="V397" t="str">
        <f>IF(OR(K397="",UPPER(TRIM(K397&amp;""))="",LOWER(TRIM(K397&amp;""))="",LOWER(TRIM(K397&amp;""))="",LOWER(TRIM(K397&amp;""))="missing"),"Missing/",IFERROR(IF(VALUE(K397)&lt;0,"Invalid","Valid"),"Check Format"))</f>
        <v>Valid</v>
      </c>
      <c r="W397" t="str">
        <f>IF(OR(E397="",F397=""),"Missing Date/Time",IFERROR(IF(F397&gt;E397,"Arrival After Appointment","OK"),"Check Format"))</f>
        <v>OK</v>
      </c>
      <c r="X397" t="str">
        <f>IF(OR(F397="",G397=""),"Missing Date/Time",IFERROR(IF(G397&lt;F397,"Discharge Before Arrival","OK"),"Check Format"))</f>
        <v>OK</v>
      </c>
    </row>
    <row r="398" spans="1:24" x14ac:dyDescent="0.25">
      <c r="A398" s="2" t="s">
        <v>804</v>
      </c>
      <c r="B398" s="2" t="s">
        <v>805</v>
      </c>
      <c r="C398" s="3" t="s">
        <v>94</v>
      </c>
      <c r="D398" s="3" t="s">
        <v>20</v>
      </c>
      <c r="E398" s="4">
        <v>46009.777777777781</v>
      </c>
      <c r="F398" s="4">
        <v>46009.772222222222</v>
      </c>
      <c r="G398" s="4">
        <v>46009.84097222222</v>
      </c>
      <c r="H398" s="5">
        <v>18</v>
      </c>
      <c r="J398" s="3" t="s">
        <v>171</v>
      </c>
      <c r="K398" s="5">
        <v>61</v>
      </c>
      <c r="L398" s="5">
        <v>30</v>
      </c>
      <c r="M398" s="3" t="s">
        <v>50</v>
      </c>
      <c r="N398" t="s">
        <v>100</v>
      </c>
      <c r="O398" s="5">
        <v>0</v>
      </c>
      <c r="P398" s="3" t="s">
        <v>25</v>
      </c>
      <c r="Q398" s="2">
        <v>84.68</v>
      </c>
      <c r="R398" s="3" t="s">
        <v>43</v>
      </c>
      <c r="S398">
        <f>COUNTIF(A:A,A398)</f>
        <v>1</v>
      </c>
      <c r="T398" t="str">
        <f>IF(OR(H398="",LOWER(TRIM(H398&amp;""))="missing",LOWER(TRIM(H398&amp;""))=""),"Missing/",IFERROR(IF(OR(VALUE(H398)&lt;0,VALUE(H398)&gt;110),"Invalid","Valid"),"Check Format"))</f>
        <v>Valid</v>
      </c>
      <c r="U398">
        <f>IF(Raw_Data[[#This Row],[Age_Check]]="Valid",H398,"")</f>
        <v>18</v>
      </c>
      <c r="V398" t="str">
        <f>IF(OR(K398="",UPPER(TRIM(K398&amp;""))="",LOWER(TRIM(K398&amp;""))="",LOWER(TRIM(K398&amp;""))="",LOWER(TRIM(K398&amp;""))="missing"),"Missing/",IFERROR(IF(VALUE(K398)&lt;0,"Invalid","Valid"),"Check Format"))</f>
        <v>Valid</v>
      </c>
      <c r="W398" t="str">
        <f>IF(OR(E398="",F398=""),"Missing Date/Time",IFERROR(IF(F398&gt;E398,"Arrival After Appointment","OK"),"Check Format"))</f>
        <v>OK</v>
      </c>
      <c r="X398" t="str">
        <f>IF(OR(F398="",G398=""),"Missing Date/Time",IFERROR(IF(G398&lt;F398,"Discharge Before Arrival","OK"),"Check Format"))</f>
        <v>OK</v>
      </c>
    </row>
    <row r="399" spans="1:24" x14ac:dyDescent="0.25">
      <c r="A399" s="2" t="s">
        <v>806</v>
      </c>
      <c r="B399" s="2" t="s">
        <v>807</v>
      </c>
      <c r="C399" s="3" t="s">
        <v>29</v>
      </c>
      <c r="D399" s="3" t="s">
        <v>66</v>
      </c>
      <c r="E399" s="4" t="s">
        <v>808</v>
      </c>
      <c r="F399" s="4">
        <v>45729.703472222223</v>
      </c>
      <c r="G399" s="4">
        <v>45729.745138888888</v>
      </c>
      <c r="H399" s="5">
        <v>6</v>
      </c>
      <c r="I399" s="3" t="s">
        <v>95</v>
      </c>
      <c r="J399" s="3" t="s">
        <v>22</v>
      </c>
      <c r="K399" s="5">
        <v>48</v>
      </c>
      <c r="L399" s="5">
        <v>5</v>
      </c>
      <c r="M399" s="3" t="s">
        <v>87</v>
      </c>
      <c r="N399" t="s">
        <v>91</v>
      </c>
      <c r="O399" s="5">
        <v>0</v>
      </c>
      <c r="P399" s="3" t="s">
        <v>25</v>
      </c>
      <c r="Q399" s="2">
        <v>137.13</v>
      </c>
      <c r="R399" s="3" t="s">
        <v>58</v>
      </c>
      <c r="S399">
        <f>COUNTIF(A:A,A399)</f>
        <v>1</v>
      </c>
      <c r="T399" t="str">
        <f>IF(OR(H399="",LOWER(TRIM(H399&amp;""))="missing",LOWER(TRIM(H399&amp;""))=""),"Missing/",IFERROR(IF(OR(VALUE(H399)&lt;0,VALUE(H399)&gt;110),"Invalid","Valid"),"Check Format"))</f>
        <v>Valid</v>
      </c>
      <c r="U399">
        <f>IF(Raw_Data[[#This Row],[Age_Check]]="Valid",H399,"")</f>
        <v>6</v>
      </c>
      <c r="V399" t="str">
        <f>IF(OR(K399="",UPPER(TRIM(K399&amp;""))="",LOWER(TRIM(K399&amp;""))="",LOWER(TRIM(K399&amp;""))="",LOWER(TRIM(K399&amp;""))="missing"),"Missing/",IFERROR(IF(VALUE(K399)&lt;0,"Invalid","Valid"),"Check Format"))</f>
        <v>Valid</v>
      </c>
      <c r="W399" t="str">
        <f>IF(OR(E399="",F399=""),"Missing Date/Time",IFERROR(IF(F399&gt;E399,"Arrival After Appointment","OK"),"Check Format"))</f>
        <v>OK</v>
      </c>
      <c r="X399" t="str">
        <f>IF(OR(F399="",G399=""),"Missing Date/Time",IFERROR(IF(G399&lt;F399,"Discharge Before Arrival","OK"),"Check Format"))</f>
        <v>OK</v>
      </c>
    </row>
    <row r="400" spans="1:24" x14ac:dyDescent="0.25">
      <c r="A400" s="2" t="s">
        <v>809</v>
      </c>
      <c r="B400" s="2" t="s">
        <v>433</v>
      </c>
      <c r="C400" s="3" t="s">
        <v>94</v>
      </c>
      <c r="D400" s="3" t="s">
        <v>47</v>
      </c>
      <c r="E400" s="4">
        <v>45634.461805555555</v>
      </c>
      <c r="F400" s="4">
        <v>45634.445833333331</v>
      </c>
      <c r="G400" s="4">
        <v>45634.486111111109</v>
      </c>
      <c r="H400" s="5">
        <v>145</v>
      </c>
      <c r="J400" s="3" t="s">
        <v>62</v>
      </c>
      <c r="K400" s="5">
        <v>23</v>
      </c>
      <c r="L400" s="5">
        <v>12</v>
      </c>
      <c r="M400" s="3" t="s">
        <v>41</v>
      </c>
      <c r="N400" t="s">
        <v>24</v>
      </c>
      <c r="O400" s="5">
        <v>6</v>
      </c>
      <c r="P400" s="3" t="s">
        <v>80</v>
      </c>
      <c r="Q400" s="2">
        <v>159.38999999999999</v>
      </c>
      <c r="R400" s="3" t="s">
        <v>58</v>
      </c>
      <c r="S400">
        <f>COUNTIF(A:A,A400)</f>
        <v>1</v>
      </c>
      <c r="T400" t="str">
        <f>IF(OR(H400="",LOWER(TRIM(H400&amp;""))="missing",LOWER(TRIM(H400&amp;""))=""),"Missing/",IFERROR(IF(OR(VALUE(H400)&lt;0,VALUE(H400)&gt;110),"Invalid","Valid"),"Check Format"))</f>
        <v>Invalid</v>
      </c>
      <c r="U400" t="str">
        <f>IF(Raw_Data[[#This Row],[Age_Check]]="Valid",H400,"")</f>
        <v/>
      </c>
      <c r="V400" t="str">
        <f>IF(OR(K400="",UPPER(TRIM(K400&amp;""))="",LOWER(TRIM(K400&amp;""))="",LOWER(TRIM(K400&amp;""))="",LOWER(TRIM(K400&amp;""))="missing"),"Missing/",IFERROR(IF(VALUE(K400)&lt;0,"Invalid","Valid"),"Check Format"))</f>
        <v>Valid</v>
      </c>
      <c r="W400" t="str">
        <f>IF(OR(E400="",F400=""),"Missing Date/Time",IFERROR(IF(F400&gt;E400,"Arrival After Appointment","OK"),"Check Format"))</f>
        <v>OK</v>
      </c>
      <c r="X400" t="str">
        <f>IF(OR(F400="",G400=""),"Missing Date/Time",IFERROR(IF(G400&lt;F400,"Discharge Before Arrival","OK"),"Check Format"))</f>
        <v>OK</v>
      </c>
    </row>
    <row r="401" spans="1:24" x14ac:dyDescent="0.25">
      <c r="A401" s="2" t="s">
        <v>810</v>
      </c>
      <c r="B401" s="2" t="s">
        <v>811</v>
      </c>
      <c r="C401" s="3" t="s">
        <v>29</v>
      </c>
      <c r="D401" s="3" t="s">
        <v>99</v>
      </c>
      <c r="E401" s="4">
        <v>45892.71875</v>
      </c>
      <c r="F401" s="4">
        <v>45892.708333333336</v>
      </c>
      <c r="G401" s="4">
        <v>45892.825694444444</v>
      </c>
      <c r="I401" s="3" t="s">
        <v>95</v>
      </c>
      <c r="J401" s="3" t="s">
        <v>2639</v>
      </c>
      <c r="K401" s="5">
        <v>106</v>
      </c>
      <c r="L401" s="5">
        <v>48</v>
      </c>
      <c r="M401" s="3" t="s">
        <v>87</v>
      </c>
      <c r="N401" t="s">
        <v>69</v>
      </c>
      <c r="O401" s="5">
        <v>6</v>
      </c>
      <c r="P401" s="3" t="s">
        <v>42</v>
      </c>
      <c r="Q401" s="2">
        <v>19.36</v>
      </c>
      <c r="R401" s="3" t="s">
        <v>26</v>
      </c>
      <c r="S401">
        <f>COUNTIF(A:A,A401)</f>
        <v>1</v>
      </c>
      <c r="T401" t="str">
        <f>IF(OR(H401="",LOWER(TRIM(H401&amp;""))="missing",LOWER(TRIM(H401&amp;""))=""),"Missing/",IFERROR(IF(OR(VALUE(H401)&lt;0,VALUE(H401)&gt;110),"Invalid","Valid"),"Check Format"))</f>
        <v>Missing/</v>
      </c>
      <c r="U401" t="str">
        <f>IF(Raw_Data[[#This Row],[Age_Check]]="Valid",H401,"")</f>
        <v/>
      </c>
      <c r="V401" t="str">
        <f>IF(OR(K401="",UPPER(TRIM(K401&amp;""))="",LOWER(TRIM(K401&amp;""))="",LOWER(TRIM(K401&amp;""))="",LOWER(TRIM(K401&amp;""))="missing"),"Missing/",IFERROR(IF(VALUE(K401)&lt;0,"Invalid","Valid"),"Check Format"))</f>
        <v>Valid</v>
      </c>
      <c r="W401" t="str">
        <f>IF(OR(E401="",F401=""),"Missing Date/Time",IFERROR(IF(F401&gt;E401,"Arrival After Appointment","OK"),"Check Format"))</f>
        <v>OK</v>
      </c>
      <c r="X401" t="str">
        <f>IF(OR(F401="",G401=""),"Missing Date/Time",IFERROR(IF(G401&lt;F401,"Discharge Before Arrival","OK"),"Check Format"))</f>
        <v>OK</v>
      </c>
    </row>
    <row r="402" spans="1:24" x14ac:dyDescent="0.25">
      <c r="A402" s="2" t="s">
        <v>812</v>
      </c>
      <c r="B402" s="2" t="s">
        <v>813</v>
      </c>
      <c r="C402" s="3" t="s">
        <v>46</v>
      </c>
      <c r="D402" s="3" t="s">
        <v>72</v>
      </c>
      <c r="E402" s="4">
        <v>45412.545138888891</v>
      </c>
      <c r="F402" s="4">
        <v>45412.542361111111</v>
      </c>
      <c r="G402" s="4">
        <v>45412.594444444447</v>
      </c>
      <c r="I402" s="3" t="s">
        <v>73</v>
      </c>
      <c r="J402" s="3" t="s">
        <v>62</v>
      </c>
      <c r="K402" s="5">
        <v>23</v>
      </c>
      <c r="L402" s="5">
        <v>48</v>
      </c>
      <c r="N402" t="s">
        <v>24</v>
      </c>
      <c r="O402" s="5">
        <v>5</v>
      </c>
      <c r="P402" s="3" t="s">
        <v>80</v>
      </c>
      <c r="Q402" s="2">
        <v>66.400000000000006</v>
      </c>
      <c r="R402" s="3" t="s">
        <v>26</v>
      </c>
      <c r="S402">
        <f>COUNTIF(A:A,A402)</f>
        <v>1</v>
      </c>
      <c r="T402" t="str">
        <f>IF(OR(H402="",LOWER(TRIM(H402&amp;""))="missing",LOWER(TRIM(H402&amp;""))=""),"Missing/",IFERROR(IF(OR(VALUE(H402)&lt;0,VALUE(H402)&gt;110),"Invalid","Valid"),"Check Format"))</f>
        <v>Missing/</v>
      </c>
      <c r="U402" t="str">
        <f>IF(Raw_Data[[#This Row],[Age_Check]]="Valid",H402,"")</f>
        <v/>
      </c>
      <c r="V402" t="str">
        <f>IF(OR(K402="",UPPER(TRIM(K402&amp;""))="",LOWER(TRIM(K402&amp;""))="",LOWER(TRIM(K402&amp;""))="",LOWER(TRIM(K402&amp;""))="missing"),"Missing/",IFERROR(IF(VALUE(K402)&lt;0,"Invalid","Valid"),"Check Format"))</f>
        <v>Valid</v>
      </c>
      <c r="W402" t="str">
        <f>IF(OR(E402="",F402=""),"Missing Date/Time",IFERROR(IF(F402&gt;E402,"Arrival After Appointment","OK"),"Check Format"))</f>
        <v>OK</v>
      </c>
      <c r="X402" t="str">
        <f>IF(OR(F402="",G402=""),"Missing Date/Time",IFERROR(IF(G402&lt;F402,"Discharge Before Arrival","OK"),"Check Format"))</f>
        <v>OK</v>
      </c>
    </row>
    <row r="403" spans="1:24" x14ac:dyDescent="0.25">
      <c r="A403" s="2" t="s">
        <v>814</v>
      </c>
      <c r="B403" s="2" t="s">
        <v>348</v>
      </c>
      <c r="C403" s="3" t="s">
        <v>46</v>
      </c>
      <c r="D403" s="3" t="s">
        <v>55</v>
      </c>
      <c r="E403" s="4">
        <v>45570.423611111109</v>
      </c>
      <c r="F403" s="4">
        <v>45570.40625</v>
      </c>
      <c r="G403" s="4">
        <v>45570.486805555556</v>
      </c>
      <c r="J403" s="3" t="s">
        <v>67</v>
      </c>
      <c r="K403" s="5">
        <v>50</v>
      </c>
      <c r="L403" s="5">
        <v>41</v>
      </c>
      <c r="M403" s="3" t="s">
        <v>63</v>
      </c>
      <c r="N403" t="s">
        <v>103</v>
      </c>
      <c r="P403" s="3" t="s">
        <v>25</v>
      </c>
      <c r="Q403" s="2">
        <v>67.53</v>
      </c>
      <c r="R403" s="3" t="s">
        <v>43</v>
      </c>
      <c r="S403">
        <f>COUNTIF(A:A,A403)</f>
        <v>1</v>
      </c>
      <c r="T403" t="str">
        <f>IF(OR(H403="",LOWER(TRIM(H403&amp;""))="missing",LOWER(TRIM(H403&amp;""))=""),"Missing/",IFERROR(IF(OR(VALUE(H403)&lt;0,VALUE(H403)&gt;110),"Invalid","Valid"),"Check Format"))</f>
        <v>Missing/</v>
      </c>
      <c r="U403" t="str">
        <f>IF(Raw_Data[[#This Row],[Age_Check]]="Valid",H403,"")</f>
        <v/>
      </c>
      <c r="V403" t="str">
        <f>IF(OR(K403="",UPPER(TRIM(K403&amp;""))="",LOWER(TRIM(K403&amp;""))="",LOWER(TRIM(K403&amp;""))="",LOWER(TRIM(K403&amp;""))="missing"),"Missing/",IFERROR(IF(VALUE(K403)&lt;0,"Invalid","Valid"),"Check Format"))</f>
        <v>Valid</v>
      </c>
      <c r="W403" t="str">
        <f>IF(OR(E403="",F403=""),"Missing Date/Time",IFERROR(IF(F403&gt;E403,"Arrival After Appointment","OK"),"Check Format"))</f>
        <v>OK</v>
      </c>
      <c r="X403" t="str">
        <f>IF(OR(F403="",G403=""),"Missing Date/Time",IFERROR(IF(G403&lt;F403,"Discharge Before Arrival","OK"),"Check Format"))</f>
        <v>OK</v>
      </c>
    </row>
    <row r="404" spans="1:24" x14ac:dyDescent="0.25">
      <c r="A404" s="2" t="s">
        <v>815</v>
      </c>
      <c r="B404" s="2" t="s">
        <v>741</v>
      </c>
      <c r="C404" s="3" t="s">
        <v>37</v>
      </c>
      <c r="D404" s="3" t="s">
        <v>61</v>
      </c>
      <c r="E404" s="4">
        <v>45946.388888888891</v>
      </c>
      <c r="F404" s="4">
        <v>45946.388888888891</v>
      </c>
      <c r="G404" s="4">
        <v>45946.436111111114</v>
      </c>
      <c r="I404" s="3" t="s">
        <v>39</v>
      </c>
      <c r="J404" s="3" t="s">
        <v>171</v>
      </c>
      <c r="K404" s="5">
        <v>61</v>
      </c>
      <c r="L404" s="5">
        <v>7</v>
      </c>
      <c r="M404" s="3" t="s">
        <v>23</v>
      </c>
      <c r="O404" s="5">
        <v>0</v>
      </c>
      <c r="P404" s="3" t="s">
        <v>25</v>
      </c>
      <c r="Q404" s="2">
        <v>96.89</v>
      </c>
      <c r="R404" s="3" t="s">
        <v>58</v>
      </c>
      <c r="S404">
        <f>COUNTIF(A:A,A404)</f>
        <v>1</v>
      </c>
      <c r="T404" t="str">
        <f>IF(OR(H404="",LOWER(TRIM(H404&amp;""))="missing",LOWER(TRIM(H404&amp;""))=""),"Missing/",IFERROR(IF(OR(VALUE(H404)&lt;0,VALUE(H404)&gt;110),"Invalid","Valid"),"Check Format"))</f>
        <v>Missing/</v>
      </c>
      <c r="U404" t="str">
        <f>IF(Raw_Data[[#This Row],[Age_Check]]="Valid",H404,"")</f>
        <v/>
      </c>
      <c r="V404" t="str">
        <f>IF(OR(K404="",UPPER(TRIM(K404&amp;""))="",LOWER(TRIM(K404&amp;""))="",LOWER(TRIM(K404&amp;""))="",LOWER(TRIM(K404&amp;""))="missing"),"Missing/",IFERROR(IF(VALUE(K404)&lt;0,"Invalid","Valid"),"Check Format"))</f>
        <v>Valid</v>
      </c>
      <c r="W404" t="str">
        <f>IF(OR(E404="",F404=""),"Missing Date/Time",IFERROR(IF(F404&gt;E404,"Arrival After Appointment","OK"),"Check Format"))</f>
        <v>OK</v>
      </c>
      <c r="X404" t="str">
        <f>IF(OR(F404="",G404=""),"Missing Date/Time",IFERROR(IF(G404&lt;F404,"Discharge Before Arrival","OK"),"Check Format"))</f>
        <v>OK</v>
      </c>
    </row>
    <row r="405" spans="1:24" x14ac:dyDescent="0.25">
      <c r="A405" s="2" t="s">
        <v>816</v>
      </c>
      <c r="B405" s="2" t="s">
        <v>620</v>
      </c>
      <c r="C405" s="3" t="s">
        <v>94</v>
      </c>
      <c r="D405" s="3" t="s">
        <v>115</v>
      </c>
      <c r="E405" s="4">
        <v>45578.388888888891</v>
      </c>
      <c r="F405" s="4">
        <v>45578.383333333331</v>
      </c>
      <c r="G405" s="4">
        <v>45578.44027777778</v>
      </c>
      <c r="H405" s="5">
        <v>145</v>
      </c>
      <c r="I405" s="3" t="s">
        <v>73</v>
      </c>
      <c r="J405" s="3" t="s">
        <v>67</v>
      </c>
      <c r="K405" s="5">
        <v>69</v>
      </c>
      <c r="L405" s="5">
        <v>5</v>
      </c>
      <c r="M405" s="3" t="s">
        <v>32</v>
      </c>
      <c r="N405" t="s">
        <v>24</v>
      </c>
      <c r="O405" s="5">
        <v>3</v>
      </c>
      <c r="P405" s="3" t="s">
        <v>25</v>
      </c>
      <c r="Q405" s="2">
        <v>180.24</v>
      </c>
      <c r="R405" s="3" t="s">
        <v>58</v>
      </c>
      <c r="S405">
        <f>COUNTIF(A:A,A405)</f>
        <v>1</v>
      </c>
      <c r="T405" t="str">
        <f>IF(OR(H405="",LOWER(TRIM(H405&amp;""))="missing",LOWER(TRIM(H405&amp;""))=""),"Missing/",IFERROR(IF(OR(VALUE(H405)&lt;0,VALUE(H405)&gt;110),"Invalid","Valid"),"Check Format"))</f>
        <v>Invalid</v>
      </c>
      <c r="U405" t="str">
        <f>IF(Raw_Data[[#This Row],[Age_Check]]="Valid",H405,"")</f>
        <v/>
      </c>
      <c r="V405" t="str">
        <f>IF(OR(K405="",UPPER(TRIM(K405&amp;""))="",LOWER(TRIM(K405&amp;""))="",LOWER(TRIM(K405&amp;""))="",LOWER(TRIM(K405&amp;""))="missing"),"Missing/",IFERROR(IF(VALUE(K405)&lt;0,"Invalid","Valid"),"Check Format"))</f>
        <v>Valid</v>
      </c>
      <c r="W405" t="str">
        <f>IF(OR(E405="",F405=""),"Missing Date/Time",IFERROR(IF(F405&gt;E405,"Arrival After Appointment","OK"),"Check Format"))</f>
        <v>OK</v>
      </c>
      <c r="X405" t="str">
        <f>IF(OR(F405="",G405=""),"Missing Date/Time",IFERROR(IF(G405&lt;F405,"Discharge Before Arrival","OK"),"Check Format"))</f>
        <v>OK</v>
      </c>
    </row>
    <row r="406" spans="1:24" x14ac:dyDescent="0.25">
      <c r="A406" s="2" t="s">
        <v>817</v>
      </c>
      <c r="B406" s="2" t="s">
        <v>818</v>
      </c>
      <c r="C406" s="3" t="s">
        <v>94</v>
      </c>
      <c r="D406" s="3" t="s">
        <v>174</v>
      </c>
      <c r="E406" s="4">
        <v>45669.399305555555</v>
      </c>
      <c r="F406" s="4">
        <v>45669.388888888891</v>
      </c>
      <c r="G406" s="4">
        <v>45669.467361111114</v>
      </c>
      <c r="I406" s="3" t="s">
        <v>95</v>
      </c>
      <c r="J406" s="3" t="s">
        <v>62</v>
      </c>
      <c r="K406" s="5">
        <v>57</v>
      </c>
      <c r="L406" s="5">
        <v>41</v>
      </c>
      <c r="M406" s="3" t="s">
        <v>63</v>
      </c>
      <c r="N406" t="s">
        <v>69</v>
      </c>
      <c r="P406" s="3" t="s">
        <v>25</v>
      </c>
      <c r="Q406" s="2">
        <v>162.91</v>
      </c>
      <c r="R406" s="3" t="s">
        <v>43</v>
      </c>
      <c r="S406">
        <f>COUNTIF(A:A,A406)</f>
        <v>1</v>
      </c>
      <c r="T406" t="str">
        <f>IF(OR(H406="",LOWER(TRIM(H406&amp;""))="missing",LOWER(TRIM(H406&amp;""))=""),"Missing/",IFERROR(IF(OR(VALUE(H406)&lt;0,VALUE(H406)&gt;110),"Invalid","Valid"),"Check Format"))</f>
        <v>Missing/</v>
      </c>
      <c r="U406" t="str">
        <f>IF(Raw_Data[[#This Row],[Age_Check]]="Valid",H406,"")</f>
        <v/>
      </c>
      <c r="V406" t="str">
        <f>IF(OR(K406="",UPPER(TRIM(K406&amp;""))="",LOWER(TRIM(K406&amp;""))="",LOWER(TRIM(K406&amp;""))="",LOWER(TRIM(K406&amp;""))="missing"),"Missing/",IFERROR(IF(VALUE(K406)&lt;0,"Invalid","Valid"),"Check Format"))</f>
        <v>Valid</v>
      </c>
      <c r="W406" t="str">
        <f>IF(OR(E406="",F406=""),"Missing Date/Time",IFERROR(IF(F406&gt;E406,"Arrival After Appointment","OK"),"Check Format"))</f>
        <v>OK</v>
      </c>
      <c r="X406" t="str">
        <f>IF(OR(F406="",G406=""),"Missing Date/Time",IFERROR(IF(G406&lt;F406,"Discharge Before Arrival","OK"),"Check Format"))</f>
        <v>OK</v>
      </c>
    </row>
    <row r="407" spans="1:24" x14ac:dyDescent="0.25">
      <c r="A407" s="2" t="s">
        <v>819</v>
      </c>
      <c r="B407" s="2" t="s">
        <v>357</v>
      </c>
      <c r="C407" s="3" t="s">
        <v>94</v>
      </c>
      <c r="D407" s="3" t="s">
        <v>55</v>
      </c>
      <c r="E407" s="4">
        <v>45704.371527777781</v>
      </c>
      <c r="F407" s="4">
        <v>45704.369444444441</v>
      </c>
      <c r="G407" s="4">
        <v>45704.468055555553</v>
      </c>
      <c r="H407" s="5">
        <v>5</v>
      </c>
      <c r="I407" s="3" t="s">
        <v>73</v>
      </c>
      <c r="K407" s="5">
        <v>105</v>
      </c>
      <c r="L407" s="5">
        <v>34</v>
      </c>
      <c r="M407" s="3" t="s">
        <v>23</v>
      </c>
      <c r="N407" t="s">
        <v>103</v>
      </c>
      <c r="O407" s="5">
        <v>2</v>
      </c>
      <c r="Q407" s="2">
        <v>110.65</v>
      </c>
      <c r="R407" s="3" t="s">
        <v>58</v>
      </c>
      <c r="S407">
        <f>COUNTIF(A:A,A407)</f>
        <v>1</v>
      </c>
      <c r="T407" t="str">
        <f>IF(OR(H407="",LOWER(TRIM(H407&amp;""))="missing",LOWER(TRIM(H407&amp;""))=""),"Missing/",IFERROR(IF(OR(VALUE(H407)&lt;0,VALUE(H407)&gt;110),"Invalid","Valid"),"Check Format"))</f>
        <v>Valid</v>
      </c>
      <c r="U407">
        <f>IF(Raw_Data[[#This Row],[Age_Check]]="Valid",H407,"")</f>
        <v>5</v>
      </c>
      <c r="V407" t="str">
        <f>IF(OR(K407="",UPPER(TRIM(K407&amp;""))="",LOWER(TRIM(K407&amp;""))="",LOWER(TRIM(K407&amp;""))="",LOWER(TRIM(K407&amp;""))="missing"),"Missing/",IFERROR(IF(VALUE(K407)&lt;0,"Invalid","Valid"),"Check Format"))</f>
        <v>Valid</v>
      </c>
      <c r="W407" t="str">
        <f>IF(OR(E407="",F407=""),"Missing Date/Time",IFERROR(IF(F407&gt;E407,"Arrival After Appointment","OK"),"Check Format"))</f>
        <v>OK</v>
      </c>
      <c r="X407" t="str">
        <f>IF(OR(F407="",G407=""),"Missing Date/Time",IFERROR(IF(G407&lt;F407,"Discharge Before Arrival","OK"),"Check Format"))</f>
        <v>OK</v>
      </c>
    </row>
    <row r="408" spans="1:24" x14ac:dyDescent="0.25">
      <c r="A408" s="2" t="s">
        <v>820</v>
      </c>
      <c r="B408" s="2" t="s">
        <v>362</v>
      </c>
      <c r="C408" s="3" t="s">
        <v>29</v>
      </c>
      <c r="D408" s="3" t="s">
        <v>38</v>
      </c>
      <c r="E408" s="4">
        <v>45379.423611111109</v>
      </c>
      <c r="F408" s="4">
        <v>45379.418749999997</v>
      </c>
      <c r="J408" s="3" t="s">
        <v>62</v>
      </c>
      <c r="K408" s="5">
        <v>62</v>
      </c>
      <c r="L408" s="5">
        <v>41</v>
      </c>
      <c r="M408" s="3" t="s">
        <v>23</v>
      </c>
      <c r="N408" t="s">
        <v>74</v>
      </c>
      <c r="O408" s="5">
        <v>6</v>
      </c>
      <c r="P408" s="3" t="s">
        <v>25</v>
      </c>
      <c r="Q408" s="2">
        <v>148.91</v>
      </c>
      <c r="R408" s="3" t="s">
        <v>58</v>
      </c>
      <c r="S408">
        <f>COUNTIF(A:A,A408)</f>
        <v>1</v>
      </c>
      <c r="T408" t="str">
        <f>IF(OR(H408="",LOWER(TRIM(H408&amp;""))="missing",LOWER(TRIM(H408&amp;""))=""),"Missing/",IFERROR(IF(OR(VALUE(H408)&lt;0,VALUE(H408)&gt;110),"Invalid","Valid"),"Check Format"))</f>
        <v>Missing/</v>
      </c>
      <c r="U408" t="str">
        <f>IF(Raw_Data[[#This Row],[Age_Check]]="Valid",H408,"")</f>
        <v/>
      </c>
      <c r="V408" t="str">
        <f>IF(OR(K408="",UPPER(TRIM(K408&amp;""))="",LOWER(TRIM(K408&amp;""))="",LOWER(TRIM(K408&amp;""))="",LOWER(TRIM(K408&amp;""))="missing"),"Missing/",IFERROR(IF(VALUE(K408)&lt;0,"Invalid","Valid"),"Check Format"))</f>
        <v>Valid</v>
      </c>
      <c r="W408" t="str">
        <f>IF(OR(E408="",F408=""),"Missing Date/Time",IFERROR(IF(F408&gt;E408,"Arrival After Appointment","OK"),"Check Format"))</f>
        <v>OK</v>
      </c>
      <c r="X408" t="str">
        <f>IF(OR(F408="",G408=""),"Missing Date/Time",IFERROR(IF(G408&lt;F408,"Discharge Before Arrival","OK"),"Check Format"))</f>
        <v>Missing Date/Time</v>
      </c>
    </row>
    <row r="409" spans="1:24" x14ac:dyDescent="0.25">
      <c r="A409" s="2" t="s">
        <v>821</v>
      </c>
      <c r="B409" s="2" t="s">
        <v>822</v>
      </c>
      <c r="C409" s="3" t="s">
        <v>94</v>
      </c>
      <c r="D409" s="3" t="s">
        <v>47</v>
      </c>
      <c r="E409" s="4" t="s">
        <v>823</v>
      </c>
      <c r="F409" s="4">
        <v>45729.533333333333</v>
      </c>
      <c r="G409" s="4">
        <v>45729.602777777778</v>
      </c>
      <c r="H409" s="5">
        <v>62</v>
      </c>
      <c r="I409" s="3" t="s">
        <v>73</v>
      </c>
      <c r="J409" s="3" t="s">
        <v>150</v>
      </c>
      <c r="K409" s="5">
        <v>59</v>
      </c>
      <c r="L409" s="5">
        <v>19</v>
      </c>
      <c r="M409" s="3" t="s">
        <v>50</v>
      </c>
      <c r="N409" t="s">
        <v>100</v>
      </c>
      <c r="O409" s="5">
        <v>3</v>
      </c>
      <c r="P409" s="3" t="s">
        <v>25</v>
      </c>
      <c r="Q409" s="2">
        <v>91.97</v>
      </c>
      <c r="R409" s="3" t="s">
        <v>75</v>
      </c>
      <c r="S409">
        <f>COUNTIF(A:A,A409)</f>
        <v>1</v>
      </c>
      <c r="T409" t="str">
        <f>IF(OR(H409="",LOWER(TRIM(H409&amp;""))="missing",LOWER(TRIM(H409&amp;""))=""),"Missing/",IFERROR(IF(OR(VALUE(H409)&lt;0,VALUE(H409)&gt;110),"Invalid","Valid"),"Check Format"))</f>
        <v>Valid</v>
      </c>
      <c r="U409">
        <f>IF(Raw_Data[[#This Row],[Age_Check]]="Valid",H409,"")</f>
        <v>62</v>
      </c>
      <c r="V409" t="str">
        <f>IF(OR(K409="",UPPER(TRIM(K409&amp;""))="",LOWER(TRIM(K409&amp;""))="",LOWER(TRIM(K409&amp;""))="",LOWER(TRIM(K409&amp;""))="missing"),"Missing/",IFERROR(IF(VALUE(K409)&lt;0,"Invalid","Valid"),"Check Format"))</f>
        <v>Valid</v>
      </c>
      <c r="W409" t="str">
        <f>IF(OR(E409="",F409=""),"Missing Date/Time",IFERROR(IF(F409&gt;E409,"Arrival After Appointment","OK"),"Check Format"))</f>
        <v>OK</v>
      </c>
      <c r="X409" t="str">
        <f>IF(OR(F409="",G409=""),"Missing Date/Time",IFERROR(IF(G409&lt;F409,"Discharge Before Arrival","OK"),"Check Format"))</f>
        <v>OK</v>
      </c>
    </row>
    <row r="410" spans="1:24" x14ac:dyDescent="0.25">
      <c r="A410" s="2" t="s">
        <v>824</v>
      </c>
      <c r="B410" s="2" t="s">
        <v>825</v>
      </c>
      <c r="C410" s="3" t="s">
        <v>94</v>
      </c>
      <c r="D410" s="3" t="s">
        <v>115</v>
      </c>
      <c r="E410" s="4">
        <v>45970.381944444445</v>
      </c>
      <c r="F410" s="4">
        <v>45911.367361111108</v>
      </c>
      <c r="G410" s="4">
        <v>45911.431250000001</v>
      </c>
      <c r="I410" s="3" t="s">
        <v>73</v>
      </c>
      <c r="J410" s="3" t="s">
        <v>67</v>
      </c>
      <c r="K410" s="5">
        <v>8</v>
      </c>
      <c r="L410" s="5">
        <v>63</v>
      </c>
      <c r="M410" s="3" t="s">
        <v>63</v>
      </c>
      <c r="N410" t="s">
        <v>24</v>
      </c>
      <c r="Q410" s="2">
        <v>45.49</v>
      </c>
      <c r="R410" s="3" t="s">
        <v>58</v>
      </c>
      <c r="S410">
        <f>COUNTIF(A:A,A410)</f>
        <v>1</v>
      </c>
      <c r="T410" t="str">
        <f>IF(OR(H410="",LOWER(TRIM(H410&amp;""))="missing",LOWER(TRIM(H410&amp;""))=""),"Missing/",IFERROR(IF(OR(VALUE(H410)&lt;0,VALUE(H410)&gt;110),"Invalid","Valid"),"Check Format"))</f>
        <v>Missing/</v>
      </c>
      <c r="U410" t="str">
        <f>IF(Raw_Data[[#This Row],[Age_Check]]="Valid",H410,"")</f>
        <v/>
      </c>
      <c r="V410" t="str">
        <f>IF(OR(K410="",UPPER(TRIM(K410&amp;""))="",LOWER(TRIM(K410&amp;""))="",LOWER(TRIM(K410&amp;""))="",LOWER(TRIM(K410&amp;""))="missing"),"Missing/",IFERROR(IF(VALUE(K410)&lt;0,"Invalid","Valid"),"Check Format"))</f>
        <v>Valid</v>
      </c>
      <c r="W410" t="str">
        <f>IF(OR(E410="",F410=""),"Missing Date/Time",IFERROR(IF(F410&gt;E410,"Arrival After Appointment","OK"),"Check Format"))</f>
        <v>OK</v>
      </c>
      <c r="X410" t="str">
        <f>IF(OR(F410="",G410=""),"Missing Date/Time",IFERROR(IF(G410&lt;F410,"Discharge Before Arrival","OK"),"Check Format"))</f>
        <v>OK</v>
      </c>
    </row>
    <row r="411" spans="1:24" x14ac:dyDescent="0.25">
      <c r="A411" s="2" t="s">
        <v>826</v>
      </c>
      <c r="B411" s="2" t="s">
        <v>602</v>
      </c>
      <c r="C411" s="3" t="s">
        <v>94</v>
      </c>
      <c r="D411" s="3" t="s">
        <v>174</v>
      </c>
      <c r="E411" s="4">
        <v>45442.506944444445</v>
      </c>
      <c r="F411" s="4">
        <v>45442.501388888886</v>
      </c>
      <c r="G411" s="4">
        <v>45442.543055555558</v>
      </c>
      <c r="H411" s="5">
        <v>16</v>
      </c>
      <c r="I411" s="3" t="s">
        <v>95</v>
      </c>
      <c r="J411" s="3" t="s">
        <v>67</v>
      </c>
      <c r="K411" s="5">
        <v>33</v>
      </c>
      <c r="L411" s="5">
        <v>19</v>
      </c>
      <c r="M411" s="3" t="s">
        <v>41</v>
      </c>
      <c r="N411" t="s">
        <v>91</v>
      </c>
      <c r="O411" s="5">
        <v>0</v>
      </c>
      <c r="P411" s="3" t="s">
        <v>42</v>
      </c>
      <c r="Q411" s="2">
        <v>216.59</v>
      </c>
      <c r="R411" s="3" t="s">
        <v>26</v>
      </c>
      <c r="S411">
        <f>COUNTIF(A:A,A411)</f>
        <v>1</v>
      </c>
      <c r="T411" t="str">
        <f>IF(OR(H411="",LOWER(TRIM(H411&amp;""))="missing",LOWER(TRIM(H411&amp;""))=""),"Missing/",IFERROR(IF(OR(VALUE(H411)&lt;0,VALUE(H411)&gt;110),"Invalid","Valid"),"Check Format"))</f>
        <v>Valid</v>
      </c>
      <c r="U411">
        <f>IF(Raw_Data[[#This Row],[Age_Check]]="Valid",H411,"")</f>
        <v>16</v>
      </c>
      <c r="V411" t="str">
        <f>IF(OR(K411="",UPPER(TRIM(K411&amp;""))="",LOWER(TRIM(K411&amp;""))="",LOWER(TRIM(K411&amp;""))="",LOWER(TRIM(K411&amp;""))="missing"),"Missing/",IFERROR(IF(VALUE(K411)&lt;0,"Invalid","Valid"),"Check Format"))</f>
        <v>Valid</v>
      </c>
      <c r="W411" t="str">
        <f>IF(OR(E411="",F411=""),"Missing Date/Time",IFERROR(IF(F411&gt;E411,"Arrival After Appointment","OK"),"Check Format"))</f>
        <v>OK</v>
      </c>
      <c r="X411" t="str">
        <f>IF(OR(F411="",G411=""),"Missing Date/Time",IFERROR(IF(G411&lt;F411,"Discharge Before Arrival","OK"),"Check Format"))</f>
        <v>OK</v>
      </c>
    </row>
    <row r="412" spans="1:24" x14ac:dyDescent="0.25">
      <c r="A412" s="2" t="s">
        <v>827</v>
      </c>
      <c r="B412" s="2" t="s">
        <v>559</v>
      </c>
      <c r="D412" s="3" t="s">
        <v>115</v>
      </c>
      <c r="E412" s="4">
        <v>45961.4375</v>
      </c>
      <c r="F412" s="4">
        <v>45961.419444444444</v>
      </c>
      <c r="G412" s="4">
        <v>45961.507638888892</v>
      </c>
      <c r="I412" s="3" t="s">
        <v>95</v>
      </c>
      <c r="J412" s="3" t="s">
        <v>67</v>
      </c>
      <c r="K412" s="5">
        <v>47</v>
      </c>
      <c r="L412" s="5">
        <v>54</v>
      </c>
      <c r="M412" s="3" t="s">
        <v>50</v>
      </c>
      <c r="N412" t="s">
        <v>100</v>
      </c>
      <c r="O412" s="5">
        <v>2</v>
      </c>
      <c r="P412" s="3" t="s">
        <v>80</v>
      </c>
      <c r="Q412" s="2">
        <v>91.12</v>
      </c>
      <c r="R412" s="3" t="s">
        <v>58</v>
      </c>
      <c r="S412">
        <f>COUNTIF(A:A,A412)</f>
        <v>1</v>
      </c>
      <c r="T412" t="str">
        <f>IF(OR(H412="",LOWER(TRIM(H412&amp;""))="missing",LOWER(TRIM(H412&amp;""))=""),"Missing/",IFERROR(IF(OR(VALUE(H412)&lt;0,VALUE(H412)&gt;110),"Invalid","Valid"),"Check Format"))</f>
        <v>Missing/</v>
      </c>
      <c r="U412" t="str">
        <f>IF(Raw_Data[[#This Row],[Age_Check]]="Valid",H412,"")</f>
        <v/>
      </c>
      <c r="V412" t="str">
        <f>IF(OR(K412="",UPPER(TRIM(K412&amp;""))="",LOWER(TRIM(K412&amp;""))="",LOWER(TRIM(K412&amp;""))="",LOWER(TRIM(K412&amp;""))="missing"),"Missing/",IFERROR(IF(VALUE(K412)&lt;0,"Invalid","Valid"),"Check Format"))</f>
        <v>Valid</v>
      </c>
      <c r="W412" t="str">
        <f>IF(OR(E412="",F412=""),"Missing Date/Time",IFERROR(IF(F412&gt;E412,"Arrival After Appointment","OK"),"Check Format"))</f>
        <v>OK</v>
      </c>
      <c r="X412" t="str">
        <f>IF(OR(F412="",G412=""),"Missing Date/Time",IFERROR(IF(G412&lt;F412,"Discharge Before Arrival","OK"),"Check Format"))</f>
        <v>OK</v>
      </c>
    </row>
    <row r="413" spans="1:24" x14ac:dyDescent="0.25">
      <c r="A413" s="2" t="s">
        <v>828</v>
      </c>
      <c r="B413" s="2" t="s">
        <v>381</v>
      </c>
      <c r="C413" s="3" t="s">
        <v>94</v>
      </c>
      <c r="D413" s="3" t="s">
        <v>106</v>
      </c>
      <c r="E413" s="4">
        <v>45404.309027777781</v>
      </c>
      <c r="F413" s="4">
        <v>45404.297222222223</v>
      </c>
      <c r="G413" s="4">
        <v>45404.366666666669</v>
      </c>
      <c r="H413" s="5">
        <v>31</v>
      </c>
      <c r="I413" s="3" t="s">
        <v>73</v>
      </c>
      <c r="J413" s="3" t="s">
        <v>150</v>
      </c>
      <c r="K413" s="5">
        <v>67</v>
      </c>
      <c r="L413" s="5">
        <v>16</v>
      </c>
      <c r="M413" s="3" t="s">
        <v>87</v>
      </c>
      <c r="N413" t="s">
        <v>69</v>
      </c>
      <c r="O413" s="5">
        <v>0</v>
      </c>
      <c r="P413" s="3" t="s">
        <v>42</v>
      </c>
      <c r="R413" s="3" t="s">
        <v>58</v>
      </c>
      <c r="S413">
        <f>COUNTIF(A:A,A413)</f>
        <v>1</v>
      </c>
      <c r="T413" t="str">
        <f>IF(OR(H413="",LOWER(TRIM(H413&amp;""))="missing",LOWER(TRIM(H413&amp;""))=""),"Missing/",IFERROR(IF(OR(VALUE(H413)&lt;0,VALUE(H413)&gt;110),"Invalid","Valid"),"Check Format"))</f>
        <v>Valid</v>
      </c>
      <c r="U413">
        <f>IF(Raw_Data[[#This Row],[Age_Check]]="Valid",H413,"")</f>
        <v>31</v>
      </c>
      <c r="V413" t="str">
        <f>IF(OR(K413="",UPPER(TRIM(K413&amp;""))="",LOWER(TRIM(K413&amp;""))="",LOWER(TRIM(K413&amp;""))="",LOWER(TRIM(K413&amp;""))="missing"),"Missing/",IFERROR(IF(VALUE(K413)&lt;0,"Invalid","Valid"),"Check Format"))</f>
        <v>Valid</v>
      </c>
      <c r="W413" t="str">
        <f>IF(OR(E413="",F413=""),"Missing Date/Time",IFERROR(IF(F413&gt;E413,"Arrival After Appointment","OK"),"Check Format"))</f>
        <v>OK</v>
      </c>
      <c r="X413" t="str">
        <f>IF(OR(F413="",G413=""),"Missing Date/Time",IFERROR(IF(G413&lt;F413,"Discharge Before Arrival","OK"),"Check Format"))</f>
        <v>OK</v>
      </c>
    </row>
    <row r="414" spans="1:24" x14ac:dyDescent="0.25">
      <c r="A414" s="2" t="s">
        <v>829</v>
      </c>
      <c r="B414" s="2" t="s">
        <v>830</v>
      </c>
      <c r="C414" s="3" t="s">
        <v>19</v>
      </c>
      <c r="D414" s="3" t="s">
        <v>23</v>
      </c>
      <c r="E414" s="4">
        <v>45367.614583333336</v>
      </c>
      <c r="F414" s="4">
        <v>45367.614583333336</v>
      </c>
      <c r="G414" s="4">
        <v>45367.713888888888</v>
      </c>
      <c r="H414" s="5">
        <v>19</v>
      </c>
      <c r="I414" s="3" t="s">
        <v>73</v>
      </c>
      <c r="J414" s="3" t="s">
        <v>171</v>
      </c>
      <c r="K414" s="5">
        <v>133</v>
      </c>
      <c r="L414" s="5">
        <v>10</v>
      </c>
      <c r="M414" s="3" t="s">
        <v>68</v>
      </c>
      <c r="O414" s="5">
        <v>0</v>
      </c>
      <c r="P414" s="3" t="s">
        <v>42</v>
      </c>
      <c r="Q414" s="2">
        <v>169.79</v>
      </c>
      <c r="R414" s="3" t="s">
        <v>58</v>
      </c>
      <c r="S414">
        <f>COUNTIF(A:A,A414)</f>
        <v>1</v>
      </c>
      <c r="T414" t="str">
        <f>IF(OR(H414="",LOWER(TRIM(H414&amp;""))="missing",LOWER(TRIM(H414&amp;""))=""),"Missing/",IFERROR(IF(OR(VALUE(H414)&lt;0,VALUE(H414)&gt;110),"Invalid","Valid"),"Check Format"))</f>
        <v>Valid</v>
      </c>
      <c r="U414">
        <f>IF(Raw_Data[[#This Row],[Age_Check]]="Valid",H414,"")</f>
        <v>19</v>
      </c>
      <c r="V414" t="str">
        <f>IF(OR(K414="",UPPER(TRIM(K414&amp;""))="",LOWER(TRIM(K414&amp;""))="",LOWER(TRIM(K414&amp;""))="",LOWER(TRIM(K414&amp;""))="missing"),"Missing/",IFERROR(IF(VALUE(K414)&lt;0,"Invalid","Valid"),"Check Format"))</f>
        <v>Valid</v>
      </c>
      <c r="W414" t="str">
        <f>IF(OR(E414="",F414=""),"Missing Date/Time",IFERROR(IF(F414&gt;E414,"Arrival After Appointment","OK"),"Check Format"))</f>
        <v>OK</v>
      </c>
      <c r="X414" t="str">
        <f>IF(OR(F414="",G414=""),"Missing Date/Time",IFERROR(IF(G414&lt;F414,"Discharge Before Arrival","OK"),"Check Format"))</f>
        <v>OK</v>
      </c>
    </row>
    <row r="415" spans="1:24" x14ac:dyDescent="0.25">
      <c r="A415" s="2" t="s">
        <v>831</v>
      </c>
      <c r="B415" s="2" t="s">
        <v>832</v>
      </c>
      <c r="C415" s="3" t="s">
        <v>94</v>
      </c>
      <c r="D415" s="3" t="s">
        <v>55</v>
      </c>
      <c r="E415" s="4">
        <v>45324.673611111109</v>
      </c>
      <c r="F415" s="4">
        <v>45324.654166666667</v>
      </c>
      <c r="G415" s="4">
        <v>45324.756249999999</v>
      </c>
      <c r="H415" s="5">
        <v>145</v>
      </c>
      <c r="K415" s="5">
        <v>80</v>
      </c>
      <c r="L415" s="5">
        <v>39</v>
      </c>
      <c r="M415" s="3" t="s">
        <v>63</v>
      </c>
      <c r="N415" t="s">
        <v>24</v>
      </c>
      <c r="P415" s="3" t="s">
        <v>25</v>
      </c>
      <c r="Q415" s="2">
        <v>130.18</v>
      </c>
      <c r="R415" s="3" t="s">
        <v>43</v>
      </c>
      <c r="S415">
        <f>COUNTIF(A:A,A415)</f>
        <v>1</v>
      </c>
      <c r="T415" t="str">
        <f>IF(OR(H415="",LOWER(TRIM(H415&amp;""))="missing",LOWER(TRIM(H415&amp;""))=""),"Missing/",IFERROR(IF(OR(VALUE(H415)&lt;0,VALUE(H415)&gt;110),"Invalid","Valid"),"Check Format"))</f>
        <v>Invalid</v>
      </c>
      <c r="U415" t="str">
        <f>IF(Raw_Data[[#This Row],[Age_Check]]="Valid",H415,"")</f>
        <v/>
      </c>
      <c r="V415" t="str">
        <f>IF(OR(K415="",UPPER(TRIM(K415&amp;""))="",LOWER(TRIM(K415&amp;""))="",LOWER(TRIM(K415&amp;""))="",LOWER(TRIM(K415&amp;""))="missing"),"Missing/",IFERROR(IF(VALUE(K415)&lt;0,"Invalid","Valid"),"Check Format"))</f>
        <v>Valid</v>
      </c>
      <c r="W415" t="str">
        <f>IF(OR(E415="",F415=""),"Missing Date/Time",IFERROR(IF(F415&gt;E415,"Arrival After Appointment","OK"),"Check Format"))</f>
        <v>OK</v>
      </c>
      <c r="X415" t="str">
        <f>IF(OR(F415="",G415=""),"Missing Date/Time",IFERROR(IF(G415&lt;F415,"Discharge Before Arrival","OK"),"Check Format"))</f>
        <v>OK</v>
      </c>
    </row>
    <row r="416" spans="1:24" x14ac:dyDescent="0.25">
      <c r="A416" s="2" t="s">
        <v>833</v>
      </c>
      <c r="B416" s="2" t="s">
        <v>259</v>
      </c>
      <c r="D416" s="3" t="s">
        <v>149</v>
      </c>
      <c r="E416" s="4">
        <v>45693.413194444445</v>
      </c>
      <c r="F416" s="4">
        <v>45693.399305555555</v>
      </c>
      <c r="G416" s="4">
        <v>45693.472222222219</v>
      </c>
      <c r="H416" s="5">
        <v>48</v>
      </c>
      <c r="I416" s="3" t="s">
        <v>39</v>
      </c>
      <c r="K416" s="5">
        <v>53</v>
      </c>
      <c r="L416" s="5">
        <v>32</v>
      </c>
      <c r="N416" t="s">
        <v>24</v>
      </c>
      <c r="O416" s="5">
        <v>3</v>
      </c>
      <c r="P416" s="3" t="s">
        <v>25</v>
      </c>
      <c r="Q416" s="2">
        <v>133.24</v>
      </c>
      <c r="R416" s="3" t="s">
        <v>75</v>
      </c>
      <c r="S416">
        <f>COUNTIF(A:A,A416)</f>
        <v>1</v>
      </c>
      <c r="T416" t="str">
        <f>IF(OR(H416="",LOWER(TRIM(H416&amp;""))="missing",LOWER(TRIM(H416&amp;""))=""),"Missing/",IFERROR(IF(OR(VALUE(H416)&lt;0,VALUE(H416)&gt;110),"Invalid","Valid"),"Check Format"))</f>
        <v>Valid</v>
      </c>
      <c r="U416">
        <f>IF(Raw_Data[[#This Row],[Age_Check]]="Valid",H416,"")</f>
        <v>48</v>
      </c>
      <c r="V416" t="str">
        <f>IF(OR(K416="",UPPER(TRIM(K416&amp;""))="",LOWER(TRIM(K416&amp;""))="",LOWER(TRIM(K416&amp;""))="",LOWER(TRIM(K416&amp;""))="missing"),"Missing/",IFERROR(IF(VALUE(K416)&lt;0,"Invalid","Valid"),"Check Format"))</f>
        <v>Valid</v>
      </c>
      <c r="W416" t="str">
        <f>IF(OR(E416="",F416=""),"Missing Date/Time",IFERROR(IF(F416&gt;E416,"Arrival After Appointment","OK"),"Check Format"))</f>
        <v>OK</v>
      </c>
      <c r="X416" t="str">
        <f>IF(OR(F416="",G416=""),"Missing Date/Time",IFERROR(IF(G416&lt;F416,"Discharge Before Arrival","OK"),"Check Format"))</f>
        <v>OK</v>
      </c>
    </row>
    <row r="417" spans="1:24" x14ac:dyDescent="0.25">
      <c r="A417" s="2" t="s">
        <v>834</v>
      </c>
      <c r="B417" s="2" t="s">
        <v>433</v>
      </c>
      <c r="C417" s="3" t="s">
        <v>37</v>
      </c>
      <c r="D417" s="3" t="s">
        <v>38</v>
      </c>
      <c r="E417" s="4">
        <v>45476.447916666664</v>
      </c>
      <c r="F417" s="4">
        <v>45358.447222222225</v>
      </c>
      <c r="G417" s="4">
        <v>45358.560416666667</v>
      </c>
      <c r="H417" s="5">
        <v>145</v>
      </c>
      <c r="I417" s="3" t="s">
        <v>95</v>
      </c>
      <c r="J417" s="3" t="s">
        <v>67</v>
      </c>
      <c r="K417" s="5">
        <v>91</v>
      </c>
      <c r="L417" s="5">
        <v>71</v>
      </c>
      <c r="M417" s="3" t="s">
        <v>32</v>
      </c>
      <c r="N417" t="s">
        <v>74</v>
      </c>
      <c r="O417" s="5">
        <v>1</v>
      </c>
      <c r="P417" s="3" t="s">
        <v>25</v>
      </c>
      <c r="R417" s="3" t="s">
        <v>75</v>
      </c>
      <c r="S417">
        <f>COUNTIF(A:A,A417)</f>
        <v>1</v>
      </c>
      <c r="T417" t="str">
        <f>IF(OR(H417="",LOWER(TRIM(H417&amp;""))="missing",LOWER(TRIM(H417&amp;""))=""),"Missing/",IFERROR(IF(OR(VALUE(H417)&lt;0,VALUE(H417)&gt;110),"Invalid","Valid"),"Check Format"))</f>
        <v>Invalid</v>
      </c>
      <c r="U417" t="str">
        <f>IF(Raw_Data[[#This Row],[Age_Check]]="Valid",H417,"")</f>
        <v/>
      </c>
      <c r="V417" t="str">
        <f>IF(OR(K417="",UPPER(TRIM(K417&amp;""))="",LOWER(TRIM(K417&amp;""))="",LOWER(TRIM(K417&amp;""))="",LOWER(TRIM(K417&amp;""))="missing"),"Missing/",IFERROR(IF(VALUE(K417)&lt;0,"Invalid","Valid"),"Check Format"))</f>
        <v>Valid</v>
      </c>
      <c r="W417" t="str">
        <f>IF(OR(E417="",F417=""),"Missing Date/Time",IFERROR(IF(F417&gt;E417,"Arrival After Appointment","OK"),"Check Format"))</f>
        <v>OK</v>
      </c>
      <c r="X417" t="str">
        <f>IF(OR(F417="",G417=""),"Missing Date/Time",IFERROR(IF(G417&lt;F417,"Discharge Before Arrival","OK"),"Check Format"))</f>
        <v>OK</v>
      </c>
    </row>
    <row r="418" spans="1:24" x14ac:dyDescent="0.25">
      <c r="A418" s="2" t="s">
        <v>835</v>
      </c>
      <c r="B418" s="2" t="s">
        <v>136</v>
      </c>
      <c r="C418" s="3" t="s">
        <v>19</v>
      </c>
      <c r="D418" s="3" t="s">
        <v>55</v>
      </c>
      <c r="E418" s="4">
        <v>45614.579861111109</v>
      </c>
      <c r="F418" s="4">
        <v>45614.563194444447</v>
      </c>
      <c r="G418" s="4">
        <v>45614.611111111109</v>
      </c>
      <c r="J418" s="3" t="s">
        <v>150</v>
      </c>
      <c r="K418" s="5">
        <v>38</v>
      </c>
      <c r="L418" s="5">
        <v>7</v>
      </c>
      <c r="M418" s="3" t="s">
        <v>87</v>
      </c>
      <c r="N418" t="s">
        <v>103</v>
      </c>
      <c r="P418" s="3" t="s">
        <v>80</v>
      </c>
      <c r="Q418" s="2">
        <v>137.94</v>
      </c>
      <c r="R418" s="3" t="s">
        <v>58</v>
      </c>
      <c r="S418">
        <f>COUNTIF(A:A,A418)</f>
        <v>1</v>
      </c>
      <c r="T418" t="str">
        <f>IF(OR(H418="",LOWER(TRIM(H418&amp;""))="missing",LOWER(TRIM(H418&amp;""))=""),"Missing/",IFERROR(IF(OR(VALUE(H418)&lt;0,VALUE(H418)&gt;110),"Invalid","Valid"),"Check Format"))</f>
        <v>Missing/</v>
      </c>
      <c r="U418" t="str">
        <f>IF(Raw_Data[[#This Row],[Age_Check]]="Valid",H418,"")</f>
        <v/>
      </c>
      <c r="V418" t="str">
        <f>IF(OR(K418="",UPPER(TRIM(K418&amp;""))="",LOWER(TRIM(K418&amp;""))="",LOWER(TRIM(K418&amp;""))="",LOWER(TRIM(K418&amp;""))="missing"),"Missing/",IFERROR(IF(VALUE(K418)&lt;0,"Invalid","Valid"),"Check Format"))</f>
        <v>Valid</v>
      </c>
      <c r="W418" t="str">
        <f>IF(OR(E418="",F418=""),"Missing Date/Time",IFERROR(IF(F418&gt;E418,"Arrival After Appointment","OK"),"Check Format"))</f>
        <v>OK</v>
      </c>
      <c r="X418" t="str">
        <f>IF(OR(F418="",G418=""),"Missing Date/Time",IFERROR(IF(G418&lt;F418,"Discharge Before Arrival","OK"),"Check Format"))</f>
        <v>OK</v>
      </c>
    </row>
    <row r="419" spans="1:24" x14ac:dyDescent="0.25">
      <c r="A419" s="2" t="s">
        <v>836</v>
      </c>
      <c r="B419" s="2" t="s">
        <v>695</v>
      </c>
      <c r="C419" s="3" t="s">
        <v>94</v>
      </c>
      <c r="D419" s="3" t="s">
        <v>115</v>
      </c>
      <c r="E419" s="4" t="s">
        <v>837</v>
      </c>
      <c r="F419" s="4">
        <v>45989.707638888889</v>
      </c>
      <c r="G419" s="4">
        <v>45989.829861111109</v>
      </c>
      <c r="I419" s="3" t="s">
        <v>95</v>
      </c>
      <c r="J419" s="3" t="s">
        <v>171</v>
      </c>
      <c r="K419" s="5">
        <v>148</v>
      </c>
      <c r="L419" s="5">
        <v>17</v>
      </c>
      <c r="M419" s="3" t="s">
        <v>50</v>
      </c>
      <c r="N419" t="s">
        <v>24</v>
      </c>
      <c r="O419" s="5">
        <v>5</v>
      </c>
      <c r="P419" s="3" t="s">
        <v>80</v>
      </c>
      <c r="Q419" s="2">
        <v>276.13</v>
      </c>
      <c r="R419" s="3" t="s">
        <v>58</v>
      </c>
      <c r="S419">
        <f>COUNTIF(A:A,A419)</f>
        <v>1</v>
      </c>
      <c r="T419" t="str">
        <f>IF(OR(H419="",LOWER(TRIM(H419&amp;""))="missing",LOWER(TRIM(H419&amp;""))=""),"Missing/",IFERROR(IF(OR(VALUE(H419)&lt;0,VALUE(H419)&gt;110),"Invalid","Valid"),"Check Format"))</f>
        <v>Missing/</v>
      </c>
      <c r="U419" t="str">
        <f>IF(Raw_Data[[#This Row],[Age_Check]]="Valid",H419,"")</f>
        <v/>
      </c>
      <c r="V419" t="str">
        <f>IF(OR(K419="",UPPER(TRIM(K419&amp;""))="",LOWER(TRIM(K419&amp;""))="",LOWER(TRIM(K419&amp;""))="",LOWER(TRIM(K419&amp;""))="missing"),"Missing/",IFERROR(IF(VALUE(K419)&lt;0,"Invalid","Valid"),"Check Format"))</f>
        <v>Valid</v>
      </c>
      <c r="W419" t="str">
        <f>IF(OR(E419="",F419=""),"Missing Date/Time",IFERROR(IF(F419&gt;E419,"Arrival After Appointment","OK"),"Check Format"))</f>
        <v>OK</v>
      </c>
      <c r="X419" t="str">
        <f>IF(OR(F419="",G419=""),"Missing Date/Time",IFERROR(IF(G419&lt;F419,"Discharge Before Arrival","OK"),"Check Format"))</f>
        <v>OK</v>
      </c>
    </row>
    <row r="420" spans="1:24" x14ac:dyDescent="0.25">
      <c r="A420" s="2" t="s">
        <v>838</v>
      </c>
      <c r="B420" s="2" t="s">
        <v>697</v>
      </c>
      <c r="C420" s="3" t="s">
        <v>46</v>
      </c>
      <c r="D420" s="3" t="s">
        <v>66</v>
      </c>
      <c r="E420" s="4">
        <v>45608.628472222219</v>
      </c>
      <c r="F420" s="4">
        <v>45608.622916666667</v>
      </c>
      <c r="G420" s="4">
        <v>45608.724305555559</v>
      </c>
      <c r="H420" s="5">
        <v>45</v>
      </c>
      <c r="I420" s="3" t="s">
        <v>95</v>
      </c>
      <c r="J420" s="3" t="s">
        <v>62</v>
      </c>
      <c r="K420" s="5">
        <v>116</v>
      </c>
      <c r="L420" s="5">
        <v>22</v>
      </c>
      <c r="M420" s="3" t="s">
        <v>32</v>
      </c>
      <c r="N420" t="s">
        <v>103</v>
      </c>
      <c r="O420" s="5">
        <v>0</v>
      </c>
      <c r="P420" s="3" t="s">
        <v>42</v>
      </c>
      <c r="Q420" s="2">
        <v>190.52</v>
      </c>
      <c r="R420" s="3" t="s">
        <v>58</v>
      </c>
      <c r="S420">
        <f>COUNTIF(A:A,A420)</f>
        <v>1</v>
      </c>
      <c r="T420" t="str">
        <f>IF(OR(H420="",LOWER(TRIM(H420&amp;""))="missing",LOWER(TRIM(H420&amp;""))=""),"Missing/",IFERROR(IF(OR(VALUE(H420)&lt;0,VALUE(H420)&gt;110),"Invalid","Valid"),"Check Format"))</f>
        <v>Valid</v>
      </c>
      <c r="U420">
        <f>IF(Raw_Data[[#This Row],[Age_Check]]="Valid",H420,"")</f>
        <v>45</v>
      </c>
      <c r="V420" t="str">
        <f>IF(OR(K420="",UPPER(TRIM(K420&amp;""))="",LOWER(TRIM(K420&amp;""))="",LOWER(TRIM(K420&amp;""))="",LOWER(TRIM(K420&amp;""))="missing"),"Missing/",IFERROR(IF(VALUE(K420)&lt;0,"Invalid","Valid"),"Check Format"))</f>
        <v>Valid</v>
      </c>
      <c r="W420" t="str">
        <f>IF(OR(E420="",F420=""),"Missing Date/Time",IFERROR(IF(F420&gt;E420,"Arrival After Appointment","OK"),"Check Format"))</f>
        <v>OK</v>
      </c>
      <c r="X420" t="str">
        <f>IF(OR(F420="",G420=""),"Missing Date/Time",IFERROR(IF(G420&lt;F420,"Discharge Before Arrival","OK"),"Check Format"))</f>
        <v>OK</v>
      </c>
    </row>
    <row r="421" spans="1:24" x14ac:dyDescent="0.25">
      <c r="A421" s="2" t="s">
        <v>839</v>
      </c>
      <c r="B421" s="2" t="s">
        <v>795</v>
      </c>
      <c r="C421" s="3" t="s">
        <v>29</v>
      </c>
      <c r="D421" s="3" t="s">
        <v>174</v>
      </c>
      <c r="E421" s="4" t="s">
        <v>840</v>
      </c>
      <c r="F421" s="4">
        <v>45585.54791666667</v>
      </c>
      <c r="G421" s="4">
        <v>45585.65902777778</v>
      </c>
      <c r="I421" s="3" t="s">
        <v>95</v>
      </c>
      <c r="J421" s="3" t="s">
        <v>171</v>
      </c>
      <c r="K421" s="5">
        <v>114</v>
      </c>
      <c r="L421" s="5">
        <v>25</v>
      </c>
      <c r="M421" s="3" t="s">
        <v>87</v>
      </c>
      <c r="N421" t="s">
        <v>24</v>
      </c>
      <c r="O421" s="5">
        <v>1</v>
      </c>
      <c r="Q421" s="2">
        <v>128.71</v>
      </c>
      <c r="R421" s="3" t="s">
        <v>58</v>
      </c>
      <c r="S421">
        <f>COUNTIF(A:A,A421)</f>
        <v>1</v>
      </c>
      <c r="T421" t="str">
        <f>IF(OR(H421="",LOWER(TRIM(H421&amp;""))="missing",LOWER(TRIM(H421&amp;""))=""),"Missing/",IFERROR(IF(OR(VALUE(H421)&lt;0,VALUE(H421)&gt;110),"Invalid","Valid"),"Check Format"))</f>
        <v>Missing/</v>
      </c>
      <c r="U421" t="str">
        <f>IF(Raw_Data[[#This Row],[Age_Check]]="Valid",H421,"")</f>
        <v/>
      </c>
      <c r="V421" t="str">
        <f>IF(OR(K421="",UPPER(TRIM(K421&amp;""))="",LOWER(TRIM(K421&amp;""))="",LOWER(TRIM(K421&amp;""))="",LOWER(TRIM(K421&amp;""))="missing"),"Missing/",IFERROR(IF(VALUE(K421)&lt;0,"Invalid","Valid"),"Check Format"))</f>
        <v>Valid</v>
      </c>
      <c r="W421" t="str">
        <f>IF(OR(E421="",F421=""),"Missing Date/Time",IFERROR(IF(F421&gt;E421,"Arrival After Appointment","OK"),"Check Format"))</f>
        <v>OK</v>
      </c>
      <c r="X421" t="str">
        <f>IF(OR(F421="",G421=""),"Missing Date/Time",IFERROR(IF(G421&lt;F421,"Discharge Before Arrival","OK"),"Check Format"))</f>
        <v>OK</v>
      </c>
    </row>
    <row r="422" spans="1:24" x14ac:dyDescent="0.25">
      <c r="A422" s="2" t="s">
        <v>841</v>
      </c>
      <c r="B422" s="2" t="s">
        <v>842</v>
      </c>
      <c r="D422" s="3" t="s">
        <v>30</v>
      </c>
      <c r="E422" s="4">
        <v>45689.618055555555</v>
      </c>
      <c r="F422" s="4">
        <v>45689.614583333336</v>
      </c>
      <c r="G422" s="4">
        <v>45689.652777777781</v>
      </c>
      <c r="H422" s="5">
        <v>55</v>
      </c>
      <c r="I422" s="3" t="s">
        <v>95</v>
      </c>
      <c r="J422" s="3" t="s">
        <v>62</v>
      </c>
      <c r="K422" s="5">
        <v>37</v>
      </c>
      <c r="L422" s="5">
        <v>13</v>
      </c>
      <c r="M422" s="3" t="s">
        <v>41</v>
      </c>
      <c r="N422" t="s">
        <v>100</v>
      </c>
      <c r="O422" s="5">
        <v>6</v>
      </c>
      <c r="P422" s="3" t="s">
        <v>80</v>
      </c>
      <c r="Q422" s="2">
        <v>93.06</v>
      </c>
      <c r="R422" s="3" t="s">
        <v>58</v>
      </c>
      <c r="S422">
        <f>COUNTIF(A:A,A422)</f>
        <v>1</v>
      </c>
      <c r="T422" t="str">
        <f>IF(OR(H422="",LOWER(TRIM(H422&amp;""))="missing",LOWER(TRIM(H422&amp;""))=""),"Missing/",IFERROR(IF(OR(VALUE(H422)&lt;0,VALUE(H422)&gt;110),"Invalid","Valid"),"Check Format"))</f>
        <v>Valid</v>
      </c>
      <c r="U422">
        <f>IF(Raw_Data[[#This Row],[Age_Check]]="Valid",H422,"")</f>
        <v>55</v>
      </c>
      <c r="V422" t="str">
        <f>IF(OR(K422="",UPPER(TRIM(K422&amp;""))="",LOWER(TRIM(K422&amp;""))="",LOWER(TRIM(K422&amp;""))="",LOWER(TRIM(K422&amp;""))="missing"),"Missing/",IFERROR(IF(VALUE(K422)&lt;0,"Invalid","Valid"),"Check Format"))</f>
        <v>Valid</v>
      </c>
      <c r="W422" t="str">
        <f>IF(OR(E422="",F422=""),"Missing Date/Time",IFERROR(IF(F422&gt;E422,"Arrival After Appointment","OK"),"Check Format"))</f>
        <v>OK</v>
      </c>
      <c r="X422" t="str">
        <f>IF(OR(F422="",G422=""),"Missing Date/Time",IFERROR(IF(G422&lt;F422,"Discharge Before Arrival","OK"),"Check Format"))</f>
        <v>OK</v>
      </c>
    </row>
    <row r="423" spans="1:24" x14ac:dyDescent="0.25">
      <c r="A423" s="2" t="s">
        <v>843</v>
      </c>
      <c r="B423" s="2" t="s">
        <v>844</v>
      </c>
      <c r="C423" s="3" t="s">
        <v>94</v>
      </c>
      <c r="D423" s="3" t="s">
        <v>30</v>
      </c>
      <c r="E423" s="4">
        <v>45773.409722222219</v>
      </c>
      <c r="F423" s="4">
        <v>45773.392361111109</v>
      </c>
      <c r="G423" s="4">
        <v>45773.442361111112</v>
      </c>
      <c r="H423" s="5">
        <v>60</v>
      </c>
      <c r="I423" s="3" t="s">
        <v>95</v>
      </c>
      <c r="J423" s="3" t="s">
        <v>2639</v>
      </c>
      <c r="K423" s="5">
        <v>15</v>
      </c>
      <c r="L423" s="5">
        <v>32</v>
      </c>
      <c r="M423" s="3" t="s">
        <v>50</v>
      </c>
      <c r="N423" t="s">
        <v>74</v>
      </c>
      <c r="P423" s="3" t="s">
        <v>42</v>
      </c>
      <c r="Q423" s="2">
        <v>83.4</v>
      </c>
      <c r="R423" s="3" t="s">
        <v>43</v>
      </c>
      <c r="S423">
        <f>COUNTIF(A:A,A423)</f>
        <v>1</v>
      </c>
      <c r="T423" t="str">
        <f>IF(OR(H423="",LOWER(TRIM(H423&amp;""))="missing",LOWER(TRIM(H423&amp;""))=""),"Missing/",IFERROR(IF(OR(VALUE(H423)&lt;0,VALUE(H423)&gt;110),"Invalid","Valid"),"Check Format"))</f>
        <v>Valid</v>
      </c>
      <c r="U423">
        <f>IF(Raw_Data[[#This Row],[Age_Check]]="Valid",H423,"")</f>
        <v>60</v>
      </c>
      <c r="V423" t="str">
        <f>IF(OR(K423="",UPPER(TRIM(K423&amp;""))="",LOWER(TRIM(K423&amp;""))="",LOWER(TRIM(K423&amp;""))="",LOWER(TRIM(K423&amp;""))="missing"),"Missing/",IFERROR(IF(VALUE(K423)&lt;0,"Invalid","Valid"),"Check Format"))</f>
        <v>Valid</v>
      </c>
      <c r="W423" t="str">
        <f>IF(OR(E423="",F423=""),"Missing Date/Time",IFERROR(IF(F423&gt;E423,"Arrival After Appointment","OK"),"Check Format"))</f>
        <v>OK</v>
      </c>
      <c r="X423" t="str">
        <f>IF(OR(F423="",G423=""),"Missing Date/Time",IFERROR(IF(G423&lt;F423,"Discharge Before Arrival","OK"),"Check Format"))</f>
        <v>OK</v>
      </c>
    </row>
    <row r="424" spans="1:24" x14ac:dyDescent="0.25">
      <c r="A424" s="2" t="s">
        <v>845</v>
      </c>
      <c r="B424" s="2" t="s">
        <v>846</v>
      </c>
      <c r="C424" s="3" t="s">
        <v>46</v>
      </c>
      <c r="D424" s="3" t="s">
        <v>20</v>
      </c>
      <c r="E424" s="4" t="s">
        <v>847</v>
      </c>
      <c r="F424" s="4">
        <v>46021.584722222222</v>
      </c>
      <c r="G424" s="4">
        <v>46021.65347222222</v>
      </c>
      <c r="H424" s="5">
        <v>21</v>
      </c>
      <c r="I424" s="3" t="s">
        <v>39</v>
      </c>
      <c r="K424" s="5">
        <v>66</v>
      </c>
      <c r="L424" s="5">
        <v>5</v>
      </c>
      <c r="N424" t="s">
        <v>24</v>
      </c>
      <c r="Q424" s="2">
        <v>171.47</v>
      </c>
      <c r="R424" s="3" t="s">
        <v>58</v>
      </c>
      <c r="S424">
        <f>COUNTIF(A:A,A424)</f>
        <v>1</v>
      </c>
      <c r="T424" t="str">
        <f>IF(OR(H424="",LOWER(TRIM(H424&amp;""))="missing",LOWER(TRIM(H424&amp;""))=""),"Missing/",IFERROR(IF(OR(VALUE(H424)&lt;0,VALUE(H424)&gt;110),"Invalid","Valid"),"Check Format"))</f>
        <v>Valid</v>
      </c>
      <c r="U424">
        <f>IF(Raw_Data[[#This Row],[Age_Check]]="Valid",H424,"")</f>
        <v>21</v>
      </c>
      <c r="V424" t="str">
        <f>IF(OR(K424="",UPPER(TRIM(K424&amp;""))="",LOWER(TRIM(K424&amp;""))="",LOWER(TRIM(K424&amp;""))="",LOWER(TRIM(K424&amp;""))="missing"),"Missing/",IFERROR(IF(VALUE(K424)&lt;0,"Invalid","Valid"),"Check Format"))</f>
        <v>Valid</v>
      </c>
      <c r="W424" t="str">
        <f>IF(OR(E424="",F424=""),"Missing Date/Time",IFERROR(IF(F424&gt;E424,"Arrival After Appointment","OK"),"Check Format"))</f>
        <v>OK</v>
      </c>
      <c r="X424" t="str">
        <f>IF(OR(F424="",G424=""),"Missing Date/Time",IFERROR(IF(G424&lt;F424,"Discharge Before Arrival","OK"),"Check Format"))</f>
        <v>OK</v>
      </c>
    </row>
    <row r="425" spans="1:24" x14ac:dyDescent="0.25">
      <c r="A425" s="2" t="s">
        <v>848</v>
      </c>
      <c r="B425" s="2" t="s">
        <v>801</v>
      </c>
      <c r="C425" s="3" t="s">
        <v>29</v>
      </c>
      <c r="D425" s="3" t="s">
        <v>66</v>
      </c>
      <c r="E425" s="4">
        <v>45302.65625</v>
      </c>
      <c r="G425" s="4">
        <v>45302.720138888886</v>
      </c>
      <c r="I425" s="3" t="s">
        <v>73</v>
      </c>
      <c r="J425" s="3" t="s">
        <v>2639</v>
      </c>
      <c r="K425" s="5">
        <v>87</v>
      </c>
      <c r="L425" s="5">
        <v>5</v>
      </c>
      <c r="N425" t="s">
        <v>103</v>
      </c>
      <c r="O425" s="5">
        <v>0</v>
      </c>
      <c r="Q425" s="2">
        <v>174.92</v>
      </c>
      <c r="R425" s="3" t="s">
        <v>58</v>
      </c>
      <c r="S425">
        <f>COUNTIF(A:A,A425)</f>
        <v>1</v>
      </c>
      <c r="T425" t="str">
        <f>IF(OR(H425="",LOWER(TRIM(H425&amp;""))="missing",LOWER(TRIM(H425&amp;""))=""),"Missing/",IFERROR(IF(OR(VALUE(H425)&lt;0,VALUE(H425)&gt;110),"Invalid","Valid"),"Check Format"))</f>
        <v>Missing/</v>
      </c>
      <c r="U425" t="str">
        <f>IF(Raw_Data[[#This Row],[Age_Check]]="Valid",H425,"")</f>
        <v/>
      </c>
      <c r="V425" t="str">
        <f>IF(OR(K425="",UPPER(TRIM(K425&amp;""))="",LOWER(TRIM(K425&amp;""))="",LOWER(TRIM(K425&amp;""))="",LOWER(TRIM(K425&amp;""))="missing"),"Missing/",IFERROR(IF(VALUE(K425)&lt;0,"Invalid","Valid"),"Check Format"))</f>
        <v>Valid</v>
      </c>
      <c r="W425" t="str">
        <f>IF(OR(E425="",F425=""),"Missing Date/Time",IFERROR(IF(F425&gt;E425,"Arrival After Appointment","OK"),"Check Format"))</f>
        <v>Missing Date/Time</v>
      </c>
      <c r="X425" t="str">
        <f>IF(OR(F425="",G425=""),"Missing Date/Time",IFERROR(IF(G425&lt;F425,"Discharge Before Arrival","OK"),"Check Format"))</f>
        <v>Missing Date/Time</v>
      </c>
    </row>
    <row r="426" spans="1:24" x14ac:dyDescent="0.25">
      <c r="A426" s="2" t="s">
        <v>849</v>
      </c>
      <c r="B426" s="2" t="s">
        <v>850</v>
      </c>
      <c r="C426" s="3" t="s">
        <v>37</v>
      </c>
      <c r="D426" s="3" t="s">
        <v>38</v>
      </c>
      <c r="E426" s="4">
        <v>45484.579861111109</v>
      </c>
      <c r="F426" s="4">
        <v>45484.559027777781</v>
      </c>
      <c r="G426" s="4">
        <v>45484.65625</v>
      </c>
      <c r="H426" s="5">
        <v>86</v>
      </c>
      <c r="I426" s="3" t="s">
        <v>39</v>
      </c>
      <c r="K426" s="5">
        <v>100</v>
      </c>
      <c r="L426" s="5">
        <v>10</v>
      </c>
      <c r="M426" s="3" t="s">
        <v>41</v>
      </c>
      <c r="N426" t="s">
        <v>74</v>
      </c>
      <c r="O426" s="5">
        <v>6</v>
      </c>
      <c r="Q426" s="2">
        <v>278.81</v>
      </c>
      <c r="R426" s="3" t="s">
        <v>58</v>
      </c>
      <c r="S426">
        <f>COUNTIF(A:A,A426)</f>
        <v>1</v>
      </c>
      <c r="T426" t="str">
        <f>IF(OR(H426="",LOWER(TRIM(H426&amp;""))="missing",LOWER(TRIM(H426&amp;""))=""),"Missing/",IFERROR(IF(OR(VALUE(H426)&lt;0,VALUE(H426)&gt;110),"Invalid","Valid"),"Check Format"))</f>
        <v>Valid</v>
      </c>
      <c r="U426">
        <f>IF(Raw_Data[[#This Row],[Age_Check]]="Valid",H426,"")</f>
        <v>86</v>
      </c>
      <c r="V426" t="str">
        <f>IF(OR(K426="",UPPER(TRIM(K426&amp;""))="",LOWER(TRIM(K426&amp;""))="",LOWER(TRIM(K426&amp;""))="",LOWER(TRIM(K426&amp;""))="missing"),"Missing/",IFERROR(IF(VALUE(K426)&lt;0,"Invalid","Valid"),"Check Format"))</f>
        <v>Valid</v>
      </c>
      <c r="W426" t="str">
        <f>IF(OR(E426="",F426=""),"Missing Date/Time",IFERROR(IF(F426&gt;E426,"Arrival After Appointment","OK"),"Check Format"))</f>
        <v>OK</v>
      </c>
      <c r="X426" t="str">
        <f>IF(OR(F426="",G426=""),"Missing Date/Time",IFERROR(IF(G426&lt;F426,"Discharge Before Arrival","OK"),"Check Format"))</f>
        <v>OK</v>
      </c>
    </row>
    <row r="427" spans="1:24" x14ac:dyDescent="0.25">
      <c r="A427" s="2" t="s">
        <v>851</v>
      </c>
      <c r="B427" s="2" t="s">
        <v>852</v>
      </c>
      <c r="D427" s="3" t="s">
        <v>38</v>
      </c>
      <c r="E427" s="4" t="s">
        <v>853</v>
      </c>
      <c r="F427" s="4">
        <v>45652.642361111109</v>
      </c>
      <c r="G427" s="4">
        <v>45652.709027777775</v>
      </c>
      <c r="I427" s="3" t="s">
        <v>95</v>
      </c>
      <c r="K427" s="5">
        <v>72</v>
      </c>
      <c r="L427" s="5">
        <v>19</v>
      </c>
      <c r="M427" s="3" t="s">
        <v>63</v>
      </c>
      <c r="N427" t="s">
        <v>69</v>
      </c>
      <c r="O427" s="5">
        <v>3</v>
      </c>
      <c r="P427" s="3" t="s">
        <v>25</v>
      </c>
      <c r="Q427" s="2">
        <v>140.54</v>
      </c>
      <c r="R427" s="3" t="s">
        <v>58</v>
      </c>
      <c r="S427">
        <f>COUNTIF(A:A,A427)</f>
        <v>1</v>
      </c>
      <c r="T427" t="str">
        <f>IF(OR(H427="",LOWER(TRIM(H427&amp;""))="missing",LOWER(TRIM(H427&amp;""))=""),"Missing/",IFERROR(IF(OR(VALUE(H427)&lt;0,VALUE(H427)&gt;110),"Invalid","Valid"),"Check Format"))</f>
        <v>Missing/</v>
      </c>
      <c r="U427" t="str">
        <f>IF(Raw_Data[[#This Row],[Age_Check]]="Valid",H427,"")</f>
        <v/>
      </c>
      <c r="V427" t="str">
        <f>IF(OR(K427="",UPPER(TRIM(K427&amp;""))="",LOWER(TRIM(K427&amp;""))="",LOWER(TRIM(K427&amp;""))="",LOWER(TRIM(K427&amp;""))="missing"),"Missing/",IFERROR(IF(VALUE(K427)&lt;0,"Invalid","Valid"),"Check Format"))</f>
        <v>Valid</v>
      </c>
      <c r="W427" t="str">
        <f>IF(OR(E427="",F427=""),"Missing Date/Time",IFERROR(IF(F427&gt;E427,"Arrival After Appointment","OK"),"Check Format"))</f>
        <v>OK</v>
      </c>
      <c r="X427" t="str">
        <f>IF(OR(F427="",G427=""),"Missing Date/Time",IFERROR(IF(G427&lt;F427,"Discharge Before Arrival","OK"),"Check Format"))</f>
        <v>OK</v>
      </c>
    </row>
    <row r="428" spans="1:24" x14ac:dyDescent="0.25">
      <c r="A428" s="2" t="s">
        <v>854</v>
      </c>
      <c r="B428" s="2" t="s">
        <v>855</v>
      </c>
      <c r="C428" s="3" t="s">
        <v>46</v>
      </c>
      <c r="D428" s="3" t="s">
        <v>66</v>
      </c>
      <c r="E428" s="4">
        <v>45398.621527777781</v>
      </c>
      <c r="F428" s="4">
        <v>45398.602777777778</v>
      </c>
      <c r="G428" s="4">
        <v>45398.697916666664</v>
      </c>
      <c r="H428" s="5">
        <v>145</v>
      </c>
      <c r="I428" s="3" t="s">
        <v>95</v>
      </c>
      <c r="K428" s="5">
        <v>77</v>
      </c>
      <c r="L428" s="5">
        <v>33</v>
      </c>
      <c r="M428" s="3" t="s">
        <v>23</v>
      </c>
      <c r="N428" t="s">
        <v>24</v>
      </c>
      <c r="Q428" s="2">
        <v>188.1</v>
      </c>
      <c r="R428" s="3" t="s">
        <v>58</v>
      </c>
      <c r="S428">
        <f>COUNTIF(A:A,A428)</f>
        <v>1</v>
      </c>
      <c r="T428" t="str">
        <f>IF(OR(H428="",LOWER(TRIM(H428&amp;""))="missing",LOWER(TRIM(H428&amp;""))=""),"Missing/",IFERROR(IF(OR(VALUE(H428)&lt;0,VALUE(H428)&gt;110),"Invalid","Valid"),"Check Format"))</f>
        <v>Invalid</v>
      </c>
      <c r="U428" t="str">
        <f>IF(Raw_Data[[#This Row],[Age_Check]]="Valid",H428,"")</f>
        <v/>
      </c>
      <c r="V428" t="str">
        <f>IF(OR(K428="",UPPER(TRIM(K428&amp;""))="",LOWER(TRIM(K428&amp;""))="",LOWER(TRIM(K428&amp;""))="",LOWER(TRIM(K428&amp;""))="missing"),"Missing/",IFERROR(IF(VALUE(K428)&lt;0,"Invalid","Valid"),"Check Format"))</f>
        <v>Valid</v>
      </c>
      <c r="W428" t="str">
        <f>IF(OR(E428="",F428=""),"Missing Date/Time",IFERROR(IF(F428&gt;E428,"Arrival After Appointment","OK"),"Check Format"))</f>
        <v>OK</v>
      </c>
      <c r="X428" t="str">
        <f>IF(OR(F428="",G428=""),"Missing Date/Time",IFERROR(IF(G428&lt;F428,"Discharge Before Arrival","OK"),"Check Format"))</f>
        <v>OK</v>
      </c>
    </row>
    <row r="429" spans="1:24" x14ac:dyDescent="0.25">
      <c r="A429" s="2" t="s">
        <v>856</v>
      </c>
      <c r="B429" s="2" t="s">
        <v>822</v>
      </c>
      <c r="C429" s="3" t="s">
        <v>46</v>
      </c>
      <c r="D429" s="3" t="s">
        <v>115</v>
      </c>
      <c r="E429" s="4">
        <v>45902.309027777781</v>
      </c>
      <c r="F429" s="4">
        <v>45697.289583333331</v>
      </c>
      <c r="G429" s="4">
        <v>45697.350694444445</v>
      </c>
      <c r="H429" s="5">
        <v>86</v>
      </c>
      <c r="I429" s="3" t="s">
        <v>95</v>
      </c>
      <c r="J429" s="3" t="s">
        <v>2639</v>
      </c>
      <c r="K429" s="5">
        <v>25</v>
      </c>
      <c r="L429" s="5">
        <v>35</v>
      </c>
      <c r="N429" t="s">
        <v>74</v>
      </c>
      <c r="O429" s="5">
        <v>1</v>
      </c>
      <c r="Q429" s="2">
        <v>31.9</v>
      </c>
      <c r="R429" s="3" t="s">
        <v>26</v>
      </c>
      <c r="S429">
        <f>COUNTIF(A:A,A429)</f>
        <v>1</v>
      </c>
      <c r="T429" t="str">
        <f>IF(OR(H429="",LOWER(TRIM(H429&amp;""))="missing",LOWER(TRIM(H429&amp;""))=""),"Missing/",IFERROR(IF(OR(VALUE(H429)&lt;0,VALUE(H429)&gt;110),"Invalid","Valid"),"Check Format"))</f>
        <v>Valid</v>
      </c>
      <c r="U429">
        <f>IF(Raw_Data[[#This Row],[Age_Check]]="Valid",H429,"")</f>
        <v>86</v>
      </c>
      <c r="V429" t="str">
        <f>IF(OR(K429="",UPPER(TRIM(K429&amp;""))="",LOWER(TRIM(K429&amp;""))="",LOWER(TRIM(K429&amp;""))="",LOWER(TRIM(K429&amp;""))="missing"),"Missing/",IFERROR(IF(VALUE(K429)&lt;0,"Invalid","Valid"),"Check Format"))</f>
        <v>Valid</v>
      </c>
      <c r="W429" t="str">
        <f>IF(OR(E429="",F429=""),"Missing Date/Time",IFERROR(IF(F429&gt;E429,"Arrival After Appointment","OK"),"Check Format"))</f>
        <v>OK</v>
      </c>
      <c r="X429" t="str">
        <f>IF(OR(F429="",G429=""),"Missing Date/Time",IFERROR(IF(G429&lt;F429,"Discharge Before Arrival","OK"),"Check Format"))</f>
        <v>OK</v>
      </c>
    </row>
    <row r="430" spans="1:24" x14ac:dyDescent="0.25">
      <c r="A430" s="2" t="s">
        <v>857</v>
      </c>
      <c r="B430" s="2" t="s">
        <v>858</v>
      </c>
      <c r="C430" s="3" t="s">
        <v>94</v>
      </c>
      <c r="D430" s="3" t="s">
        <v>72</v>
      </c>
      <c r="E430" s="4">
        <v>45877.552083333336</v>
      </c>
      <c r="F430" s="4">
        <v>45877.534722222219</v>
      </c>
      <c r="G430" s="4">
        <v>45877.599999999999</v>
      </c>
      <c r="I430" s="3" t="s">
        <v>95</v>
      </c>
      <c r="K430" s="5">
        <v>54</v>
      </c>
      <c r="L430" s="5">
        <v>15</v>
      </c>
      <c r="M430" s="3" t="s">
        <v>68</v>
      </c>
      <c r="N430" t="s">
        <v>69</v>
      </c>
      <c r="O430" s="5">
        <v>5</v>
      </c>
      <c r="P430" s="3" t="s">
        <v>80</v>
      </c>
      <c r="Q430" s="2">
        <v>86.16</v>
      </c>
      <c r="R430" s="3" t="s">
        <v>43</v>
      </c>
      <c r="S430">
        <f>COUNTIF(A:A,A430)</f>
        <v>1</v>
      </c>
      <c r="T430" t="str">
        <f>IF(OR(H430="",LOWER(TRIM(H430&amp;""))="missing",LOWER(TRIM(H430&amp;""))=""),"Missing/",IFERROR(IF(OR(VALUE(H430)&lt;0,VALUE(H430)&gt;110),"Invalid","Valid"),"Check Format"))</f>
        <v>Missing/</v>
      </c>
      <c r="U430" t="str">
        <f>IF(Raw_Data[[#This Row],[Age_Check]]="Valid",H430,"")</f>
        <v/>
      </c>
      <c r="V430" t="str">
        <f>IF(OR(K430="",UPPER(TRIM(K430&amp;""))="",LOWER(TRIM(K430&amp;""))="",LOWER(TRIM(K430&amp;""))="",LOWER(TRIM(K430&amp;""))="missing"),"Missing/",IFERROR(IF(VALUE(K430)&lt;0,"Invalid","Valid"),"Check Format"))</f>
        <v>Valid</v>
      </c>
      <c r="W430" t="str">
        <f>IF(OR(E430="",F430=""),"Missing Date/Time",IFERROR(IF(F430&gt;E430,"Arrival After Appointment","OK"),"Check Format"))</f>
        <v>OK</v>
      </c>
      <c r="X430" t="str">
        <f>IF(OR(F430="",G430=""),"Missing Date/Time",IFERROR(IF(G430&lt;F430,"Discharge Before Arrival","OK"),"Check Format"))</f>
        <v>OK</v>
      </c>
    </row>
    <row r="431" spans="1:24" x14ac:dyDescent="0.25">
      <c r="A431" s="2" t="s">
        <v>859</v>
      </c>
      <c r="B431" s="2" t="s">
        <v>186</v>
      </c>
      <c r="C431" s="3" t="s">
        <v>46</v>
      </c>
      <c r="D431" s="3" t="s">
        <v>30</v>
      </c>
      <c r="E431" s="4">
        <v>45934.486111111109</v>
      </c>
      <c r="F431" s="4">
        <v>45934.472222222219</v>
      </c>
      <c r="G431" s="4">
        <v>45934.591666666667</v>
      </c>
      <c r="H431" s="5">
        <v>145</v>
      </c>
      <c r="J431" s="3" t="s">
        <v>171</v>
      </c>
      <c r="K431" s="5">
        <v>101</v>
      </c>
      <c r="L431" s="5">
        <v>51</v>
      </c>
      <c r="M431" s="3" t="s">
        <v>23</v>
      </c>
      <c r="P431" s="3" t="s">
        <v>42</v>
      </c>
      <c r="Q431" s="2">
        <v>193.73</v>
      </c>
      <c r="R431" s="3" t="s">
        <v>58</v>
      </c>
      <c r="S431">
        <f>COUNTIF(A:A,A431)</f>
        <v>1</v>
      </c>
      <c r="T431" t="str">
        <f>IF(OR(H431="",LOWER(TRIM(H431&amp;""))="missing",LOWER(TRIM(H431&amp;""))=""),"Missing/",IFERROR(IF(OR(VALUE(H431)&lt;0,VALUE(H431)&gt;110),"Invalid","Valid"),"Check Format"))</f>
        <v>Invalid</v>
      </c>
      <c r="U431" t="str">
        <f>IF(Raw_Data[[#This Row],[Age_Check]]="Valid",H431,"")</f>
        <v/>
      </c>
      <c r="V431" t="str">
        <f>IF(OR(K431="",UPPER(TRIM(K431&amp;""))="",LOWER(TRIM(K431&amp;""))="",LOWER(TRIM(K431&amp;""))="",LOWER(TRIM(K431&amp;""))="missing"),"Missing/",IFERROR(IF(VALUE(K431)&lt;0,"Invalid","Valid"),"Check Format"))</f>
        <v>Valid</v>
      </c>
      <c r="W431" t="str">
        <f>IF(OR(E431="",F431=""),"Missing Date/Time",IFERROR(IF(F431&gt;E431,"Arrival After Appointment","OK"),"Check Format"))</f>
        <v>OK</v>
      </c>
      <c r="X431" t="str">
        <f>IF(OR(F431="",G431=""),"Missing Date/Time",IFERROR(IF(G431&lt;F431,"Discharge Before Arrival","OK"),"Check Format"))</f>
        <v>OK</v>
      </c>
    </row>
    <row r="432" spans="1:24" x14ac:dyDescent="0.25">
      <c r="A432" s="2" t="s">
        <v>860</v>
      </c>
      <c r="B432" s="2" t="s">
        <v>451</v>
      </c>
      <c r="C432" s="3" t="s">
        <v>94</v>
      </c>
      <c r="D432" s="3" t="s">
        <v>115</v>
      </c>
      <c r="E432" s="4">
        <v>45960.430555555555</v>
      </c>
      <c r="F432" s="4">
        <v>45960.415972222225</v>
      </c>
      <c r="I432" s="3" t="s">
        <v>95</v>
      </c>
      <c r="J432" s="3" t="s">
        <v>2639</v>
      </c>
      <c r="K432" s="5">
        <v>19</v>
      </c>
      <c r="L432" s="5">
        <v>26</v>
      </c>
      <c r="M432" s="3" t="s">
        <v>23</v>
      </c>
      <c r="N432" t="s">
        <v>100</v>
      </c>
      <c r="O432" s="5">
        <v>4</v>
      </c>
      <c r="P432" s="3" t="s">
        <v>25</v>
      </c>
      <c r="Q432" s="2">
        <v>242.05</v>
      </c>
      <c r="R432" s="3" t="s">
        <v>75</v>
      </c>
      <c r="S432">
        <f>COUNTIF(A:A,A432)</f>
        <v>1</v>
      </c>
      <c r="T432" t="str">
        <f>IF(OR(H432="",LOWER(TRIM(H432&amp;""))="missing",LOWER(TRIM(H432&amp;""))=""),"Missing/",IFERROR(IF(OR(VALUE(H432)&lt;0,VALUE(H432)&gt;110),"Invalid","Valid"),"Check Format"))</f>
        <v>Missing/</v>
      </c>
      <c r="U432" t="str">
        <f>IF(Raw_Data[[#This Row],[Age_Check]]="Valid",H432,"")</f>
        <v/>
      </c>
      <c r="V432" t="str">
        <f>IF(OR(K432="",UPPER(TRIM(K432&amp;""))="",LOWER(TRIM(K432&amp;""))="",LOWER(TRIM(K432&amp;""))="",LOWER(TRIM(K432&amp;""))="missing"),"Missing/",IFERROR(IF(VALUE(K432)&lt;0,"Invalid","Valid"),"Check Format"))</f>
        <v>Valid</v>
      </c>
      <c r="W432" t="str">
        <f>IF(OR(E432="",F432=""),"Missing Date/Time",IFERROR(IF(F432&gt;E432,"Arrival After Appointment","OK"),"Check Format"))</f>
        <v>OK</v>
      </c>
      <c r="X432" t="str">
        <f>IF(OR(F432="",G432=""),"Missing Date/Time",IFERROR(IF(G432&lt;F432,"Discharge Before Arrival","OK"),"Check Format"))</f>
        <v>Missing Date/Time</v>
      </c>
    </row>
    <row r="433" spans="1:24" x14ac:dyDescent="0.25">
      <c r="A433" s="2" t="s">
        <v>861</v>
      </c>
      <c r="B433" s="2" t="s">
        <v>289</v>
      </c>
      <c r="D433" s="3" t="s">
        <v>174</v>
      </c>
      <c r="E433" s="4">
        <v>45662.4375</v>
      </c>
      <c r="F433" s="4">
        <v>45662.436111111114</v>
      </c>
      <c r="G433" s="4">
        <v>45662.53125</v>
      </c>
      <c r="I433" s="3" t="s">
        <v>73</v>
      </c>
      <c r="J433" s="3" t="s">
        <v>62</v>
      </c>
      <c r="K433" s="5">
        <v>62</v>
      </c>
      <c r="L433" s="5">
        <v>73</v>
      </c>
      <c r="M433" s="3" t="s">
        <v>68</v>
      </c>
      <c r="N433" t="s">
        <v>69</v>
      </c>
      <c r="O433" s="5">
        <v>1</v>
      </c>
      <c r="P433" s="3" t="s">
        <v>42</v>
      </c>
      <c r="Q433" s="2">
        <v>176.47</v>
      </c>
      <c r="R433" s="3" t="s">
        <v>26</v>
      </c>
      <c r="S433">
        <f>COUNTIF(A:A,A433)</f>
        <v>1</v>
      </c>
      <c r="T433" t="str">
        <f>IF(OR(H433="",LOWER(TRIM(H433&amp;""))="missing",LOWER(TRIM(H433&amp;""))=""),"Missing/",IFERROR(IF(OR(VALUE(H433)&lt;0,VALUE(H433)&gt;110),"Invalid","Valid"),"Check Format"))</f>
        <v>Missing/</v>
      </c>
      <c r="U433" t="str">
        <f>IF(Raw_Data[[#This Row],[Age_Check]]="Valid",H433,"")</f>
        <v/>
      </c>
      <c r="V433" t="str">
        <f>IF(OR(K433="",UPPER(TRIM(K433&amp;""))="",LOWER(TRIM(K433&amp;""))="",LOWER(TRIM(K433&amp;""))="",LOWER(TRIM(K433&amp;""))="missing"),"Missing/",IFERROR(IF(VALUE(K433)&lt;0,"Invalid","Valid"),"Check Format"))</f>
        <v>Valid</v>
      </c>
      <c r="W433" t="str">
        <f>IF(OR(E433="",F433=""),"Missing Date/Time",IFERROR(IF(F433&gt;E433,"Arrival After Appointment","OK"),"Check Format"))</f>
        <v>OK</v>
      </c>
      <c r="X433" t="str">
        <f>IF(OR(F433="",G433=""),"Missing Date/Time",IFERROR(IF(G433&lt;F433,"Discharge Before Arrival","OK"),"Check Format"))</f>
        <v>OK</v>
      </c>
    </row>
    <row r="434" spans="1:24" x14ac:dyDescent="0.25">
      <c r="A434" s="2" t="s">
        <v>862</v>
      </c>
      <c r="B434" s="2" t="s">
        <v>667</v>
      </c>
      <c r="C434" s="3" t="s">
        <v>46</v>
      </c>
      <c r="D434" s="3" t="s">
        <v>23</v>
      </c>
      <c r="E434" s="4">
        <v>45647.614583333336</v>
      </c>
      <c r="F434" s="4">
        <v>45647.61041666667</v>
      </c>
      <c r="G434" s="4">
        <v>45647.677083333336</v>
      </c>
      <c r="H434" s="5">
        <v>145</v>
      </c>
      <c r="K434" s="5">
        <v>64</v>
      </c>
      <c r="L434" s="5">
        <v>26</v>
      </c>
      <c r="M434" s="3" t="s">
        <v>68</v>
      </c>
      <c r="N434" t="s">
        <v>24</v>
      </c>
      <c r="O434" s="5">
        <v>1</v>
      </c>
      <c r="P434" s="3" t="s">
        <v>25</v>
      </c>
      <c r="Q434" s="2">
        <v>155.68</v>
      </c>
      <c r="R434" s="3" t="s">
        <v>43</v>
      </c>
      <c r="S434">
        <f>COUNTIF(A:A,A434)</f>
        <v>1</v>
      </c>
      <c r="T434" t="str">
        <f>IF(OR(H434="",LOWER(TRIM(H434&amp;""))="missing",LOWER(TRIM(H434&amp;""))=""),"Missing/",IFERROR(IF(OR(VALUE(H434)&lt;0,VALUE(H434)&gt;110),"Invalid","Valid"),"Check Format"))</f>
        <v>Invalid</v>
      </c>
      <c r="U434" t="str">
        <f>IF(Raw_Data[[#This Row],[Age_Check]]="Valid",H434,"")</f>
        <v/>
      </c>
      <c r="V434" t="str">
        <f>IF(OR(K434="",UPPER(TRIM(K434&amp;""))="",LOWER(TRIM(K434&amp;""))="",LOWER(TRIM(K434&amp;""))="",LOWER(TRIM(K434&amp;""))="missing"),"Missing/",IFERROR(IF(VALUE(K434)&lt;0,"Invalid","Valid"),"Check Format"))</f>
        <v>Valid</v>
      </c>
      <c r="W434" t="str">
        <f>IF(OR(E434="",F434=""),"Missing Date/Time",IFERROR(IF(F434&gt;E434,"Arrival After Appointment","OK"),"Check Format"))</f>
        <v>OK</v>
      </c>
      <c r="X434" t="str">
        <f>IF(OR(F434="",G434=""),"Missing Date/Time",IFERROR(IF(G434&lt;F434,"Discharge Before Arrival","OK"),"Check Format"))</f>
        <v>OK</v>
      </c>
    </row>
    <row r="435" spans="1:24" x14ac:dyDescent="0.25">
      <c r="A435" s="2" t="s">
        <v>863</v>
      </c>
      <c r="B435" s="2" t="s">
        <v>620</v>
      </c>
      <c r="D435" s="3" t="s">
        <v>30</v>
      </c>
      <c r="E435" s="4">
        <v>45483.59375</v>
      </c>
      <c r="F435" s="4">
        <v>45572.572916666664</v>
      </c>
      <c r="G435" s="4">
        <v>45572.660416666666</v>
      </c>
      <c r="H435" s="5">
        <v>32</v>
      </c>
      <c r="I435" s="3" t="s">
        <v>73</v>
      </c>
      <c r="J435" s="3" t="s">
        <v>62</v>
      </c>
      <c r="K435" s="5">
        <v>52</v>
      </c>
      <c r="L435" s="5">
        <v>44</v>
      </c>
      <c r="M435" s="3" t="s">
        <v>63</v>
      </c>
      <c r="N435" t="s">
        <v>69</v>
      </c>
      <c r="O435" s="5">
        <v>6</v>
      </c>
      <c r="P435" s="3" t="s">
        <v>25</v>
      </c>
      <c r="Q435" s="2">
        <v>221.54</v>
      </c>
      <c r="R435" s="3" t="s">
        <v>43</v>
      </c>
      <c r="S435">
        <f>COUNTIF(A:A,A435)</f>
        <v>1</v>
      </c>
      <c r="T435" t="str">
        <f>IF(OR(H435="",LOWER(TRIM(H435&amp;""))="missing",LOWER(TRIM(H435&amp;""))=""),"Missing/",IFERROR(IF(OR(VALUE(H435)&lt;0,VALUE(H435)&gt;110),"Invalid","Valid"),"Check Format"))</f>
        <v>Valid</v>
      </c>
      <c r="U435">
        <f>IF(Raw_Data[[#This Row],[Age_Check]]="Valid",H435,"")</f>
        <v>32</v>
      </c>
      <c r="V435" t="str">
        <f>IF(OR(K435="",UPPER(TRIM(K435&amp;""))="",LOWER(TRIM(K435&amp;""))="",LOWER(TRIM(K435&amp;""))="",LOWER(TRIM(K435&amp;""))="missing"),"Missing/",IFERROR(IF(VALUE(K435)&lt;0,"Invalid","Valid"),"Check Format"))</f>
        <v>Valid</v>
      </c>
      <c r="W435" t="str">
        <f>IF(OR(E435="",F435=""),"Missing Date/Time",IFERROR(IF(F435&gt;E435,"Arrival After Appointment","OK"),"Check Format"))</f>
        <v>Arrival After Appointment</v>
      </c>
      <c r="X435" t="str">
        <f>IF(OR(F435="",G435=""),"Missing Date/Time",IFERROR(IF(G435&lt;F435,"Discharge Before Arrival","OK"),"Check Format"))</f>
        <v>OK</v>
      </c>
    </row>
    <row r="436" spans="1:24" x14ac:dyDescent="0.25">
      <c r="A436" s="2" t="s">
        <v>864</v>
      </c>
      <c r="B436" s="2" t="s">
        <v>130</v>
      </c>
      <c r="C436" s="3" t="s">
        <v>94</v>
      </c>
      <c r="D436" s="3" t="s">
        <v>106</v>
      </c>
      <c r="E436" s="4">
        <v>45903.704861111109</v>
      </c>
      <c r="F436" s="4">
        <v>45725.692361111112</v>
      </c>
      <c r="G436" s="4">
        <v>45725.731249999997</v>
      </c>
      <c r="I436" s="3" t="s">
        <v>95</v>
      </c>
      <c r="J436" s="3" t="s">
        <v>22</v>
      </c>
      <c r="K436" s="5">
        <v>30</v>
      </c>
      <c r="L436" s="5">
        <v>8</v>
      </c>
      <c r="M436" s="3" t="s">
        <v>87</v>
      </c>
      <c r="O436" s="5">
        <v>0</v>
      </c>
      <c r="P436" s="3" t="s">
        <v>25</v>
      </c>
      <c r="Q436" s="2">
        <v>0</v>
      </c>
      <c r="R436" s="3" t="s">
        <v>26</v>
      </c>
      <c r="S436">
        <f>COUNTIF(A:A,A436)</f>
        <v>1</v>
      </c>
      <c r="T436" t="str">
        <f>IF(OR(H436="",LOWER(TRIM(H436&amp;""))="missing",LOWER(TRIM(H436&amp;""))=""),"Missing/",IFERROR(IF(OR(VALUE(H436)&lt;0,VALUE(H436)&gt;110),"Invalid","Valid"),"Check Format"))</f>
        <v>Missing/</v>
      </c>
      <c r="U436" t="str">
        <f>IF(Raw_Data[[#This Row],[Age_Check]]="Valid",H436,"")</f>
        <v/>
      </c>
      <c r="V436" t="str">
        <f>IF(OR(K436="",UPPER(TRIM(K436&amp;""))="",LOWER(TRIM(K436&amp;""))="",LOWER(TRIM(K436&amp;""))="",LOWER(TRIM(K436&amp;""))="missing"),"Missing/",IFERROR(IF(VALUE(K436)&lt;0,"Invalid","Valid"),"Check Format"))</f>
        <v>Valid</v>
      </c>
      <c r="W436" t="str">
        <f>IF(OR(E436="",F436=""),"Missing Date/Time",IFERROR(IF(F436&gt;E436,"Arrival After Appointment","OK"),"Check Format"))</f>
        <v>OK</v>
      </c>
      <c r="X436" t="str">
        <f>IF(OR(F436="",G436=""),"Missing Date/Time",IFERROR(IF(G436&lt;F436,"Discharge Before Arrival","OK"),"Check Format"))</f>
        <v>OK</v>
      </c>
    </row>
    <row r="437" spans="1:24" x14ac:dyDescent="0.25">
      <c r="A437" s="2" t="s">
        <v>865</v>
      </c>
      <c r="B437" s="2" t="s">
        <v>866</v>
      </c>
      <c r="C437" s="3" t="s">
        <v>29</v>
      </c>
      <c r="D437" s="3" t="s">
        <v>20</v>
      </c>
      <c r="E437" s="4">
        <v>45622.548611111109</v>
      </c>
      <c r="F437" s="4">
        <v>45622.531944444447</v>
      </c>
      <c r="G437" s="4">
        <v>45622.609027777777</v>
      </c>
      <c r="I437" s="3" t="s">
        <v>95</v>
      </c>
      <c r="J437" s="3" t="s">
        <v>150</v>
      </c>
      <c r="K437" s="5">
        <v>75</v>
      </c>
      <c r="L437" s="5">
        <v>12</v>
      </c>
      <c r="M437" s="3" t="s">
        <v>41</v>
      </c>
      <c r="N437" t="s">
        <v>24</v>
      </c>
      <c r="P437" s="3" t="s">
        <v>80</v>
      </c>
      <c r="Q437" s="2">
        <v>0</v>
      </c>
      <c r="R437" s="3" t="s">
        <v>58</v>
      </c>
      <c r="S437">
        <f>COUNTIF(A:A,A437)</f>
        <v>1</v>
      </c>
      <c r="T437" t="str">
        <f>IF(OR(H437="",LOWER(TRIM(H437&amp;""))="missing",LOWER(TRIM(H437&amp;""))=""),"Missing/",IFERROR(IF(OR(VALUE(H437)&lt;0,VALUE(H437)&gt;110),"Invalid","Valid"),"Check Format"))</f>
        <v>Missing/</v>
      </c>
      <c r="U437" t="str">
        <f>IF(Raw_Data[[#This Row],[Age_Check]]="Valid",H437,"")</f>
        <v/>
      </c>
      <c r="V437" t="str">
        <f>IF(OR(K437="",UPPER(TRIM(K437&amp;""))="",LOWER(TRIM(K437&amp;""))="",LOWER(TRIM(K437&amp;""))="",LOWER(TRIM(K437&amp;""))="missing"),"Missing/",IFERROR(IF(VALUE(K437)&lt;0,"Invalid","Valid"),"Check Format"))</f>
        <v>Valid</v>
      </c>
      <c r="W437" t="str">
        <f>IF(OR(E437="",F437=""),"Missing Date/Time",IFERROR(IF(F437&gt;E437,"Arrival After Appointment","OK"),"Check Format"))</f>
        <v>OK</v>
      </c>
      <c r="X437" t="str">
        <f>IF(OR(F437="",G437=""),"Missing Date/Time",IFERROR(IF(G437&lt;F437,"Discharge Before Arrival","OK"),"Check Format"))</f>
        <v>OK</v>
      </c>
    </row>
    <row r="438" spans="1:24" x14ac:dyDescent="0.25">
      <c r="A438" s="2" t="s">
        <v>867</v>
      </c>
      <c r="B438" s="2" t="s">
        <v>154</v>
      </c>
      <c r="C438" s="3" t="s">
        <v>94</v>
      </c>
      <c r="D438" s="3" t="s">
        <v>149</v>
      </c>
      <c r="E438" s="4">
        <v>45866.496527777781</v>
      </c>
      <c r="F438" s="4">
        <v>45866.489583333336</v>
      </c>
      <c r="G438" s="4">
        <v>45866.598611111112</v>
      </c>
      <c r="I438" s="3" t="s">
        <v>95</v>
      </c>
      <c r="J438" s="3" t="s">
        <v>62</v>
      </c>
      <c r="K438" s="5">
        <v>71</v>
      </c>
      <c r="L438" s="5">
        <v>76</v>
      </c>
      <c r="M438" s="3" t="s">
        <v>63</v>
      </c>
      <c r="N438" t="s">
        <v>69</v>
      </c>
      <c r="O438" s="5">
        <v>0</v>
      </c>
      <c r="P438" s="3" t="s">
        <v>80</v>
      </c>
      <c r="Q438" s="2">
        <v>144.51</v>
      </c>
      <c r="R438" s="3" t="s">
        <v>26</v>
      </c>
      <c r="S438">
        <f>COUNTIF(A:A,A438)</f>
        <v>1</v>
      </c>
      <c r="T438" t="str">
        <f>IF(OR(H438="",LOWER(TRIM(H438&amp;""))="missing",LOWER(TRIM(H438&amp;""))=""),"Missing/",IFERROR(IF(OR(VALUE(H438)&lt;0,VALUE(H438)&gt;110),"Invalid","Valid"),"Check Format"))</f>
        <v>Missing/</v>
      </c>
      <c r="U438" t="str">
        <f>IF(Raw_Data[[#This Row],[Age_Check]]="Valid",H438,"")</f>
        <v/>
      </c>
      <c r="V438" t="str">
        <f>IF(OR(K438="",UPPER(TRIM(K438&amp;""))="",LOWER(TRIM(K438&amp;""))="",LOWER(TRIM(K438&amp;""))="",LOWER(TRIM(K438&amp;""))="missing"),"Missing/",IFERROR(IF(VALUE(K438)&lt;0,"Invalid","Valid"),"Check Format"))</f>
        <v>Valid</v>
      </c>
      <c r="W438" t="str">
        <f>IF(OR(E438="",F438=""),"Missing Date/Time",IFERROR(IF(F438&gt;E438,"Arrival After Appointment","OK"),"Check Format"))</f>
        <v>OK</v>
      </c>
      <c r="X438" t="str">
        <f>IF(OR(F438="",G438=""),"Missing Date/Time",IFERROR(IF(G438&lt;F438,"Discharge Before Arrival","OK"),"Check Format"))</f>
        <v>OK</v>
      </c>
    </row>
    <row r="439" spans="1:24" x14ac:dyDescent="0.25">
      <c r="A439" s="2" t="s">
        <v>868</v>
      </c>
      <c r="B439" s="2" t="s">
        <v>161</v>
      </c>
      <c r="C439" s="3" t="s">
        <v>46</v>
      </c>
      <c r="D439" s="3" t="s">
        <v>61</v>
      </c>
      <c r="E439" s="4">
        <v>45951.666666666664</v>
      </c>
      <c r="F439" s="4">
        <v>45951.666666666664</v>
      </c>
      <c r="I439" s="3" t="s">
        <v>90</v>
      </c>
      <c r="J439" s="3" t="s">
        <v>62</v>
      </c>
      <c r="K439" s="5">
        <v>87</v>
      </c>
      <c r="L439" s="5">
        <v>33</v>
      </c>
      <c r="M439" s="3" t="s">
        <v>63</v>
      </c>
      <c r="N439" t="s">
        <v>91</v>
      </c>
      <c r="O439" s="5">
        <v>3</v>
      </c>
      <c r="P439" s="3" t="s">
        <v>25</v>
      </c>
      <c r="Q439" s="2">
        <v>137.09</v>
      </c>
      <c r="R439" s="3" t="s">
        <v>58</v>
      </c>
      <c r="S439">
        <f>COUNTIF(A:A,A439)</f>
        <v>1</v>
      </c>
      <c r="T439" t="str">
        <f>IF(OR(H439="",LOWER(TRIM(H439&amp;""))="missing",LOWER(TRIM(H439&amp;""))=""),"Missing/",IFERROR(IF(OR(VALUE(H439)&lt;0,VALUE(H439)&gt;110),"Invalid","Valid"),"Check Format"))</f>
        <v>Missing/</v>
      </c>
      <c r="U439" t="str">
        <f>IF(Raw_Data[[#This Row],[Age_Check]]="Valid",H439,"")</f>
        <v/>
      </c>
      <c r="V439" t="str">
        <f>IF(OR(K439="",UPPER(TRIM(K439&amp;""))="",LOWER(TRIM(K439&amp;""))="",LOWER(TRIM(K439&amp;""))="",LOWER(TRIM(K439&amp;""))="missing"),"Missing/",IFERROR(IF(VALUE(K439)&lt;0,"Invalid","Valid"),"Check Format"))</f>
        <v>Valid</v>
      </c>
      <c r="W439" t="str">
        <f>IF(OR(E439="",F439=""),"Missing Date/Time",IFERROR(IF(F439&gt;E439,"Arrival After Appointment","OK"),"Check Format"))</f>
        <v>OK</v>
      </c>
      <c r="X439" t="str">
        <f>IF(OR(F439="",G439=""),"Missing Date/Time",IFERROR(IF(G439&lt;F439,"Discharge Before Arrival","OK"),"Check Format"))</f>
        <v>Missing Date/Time</v>
      </c>
    </row>
    <row r="440" spans="1:24" x14ac:dyDescent="0.25">
      <c r="A440" s="2" t="s">
        <v>869</v>
      </c>
      <c r="B440" s="2" t="s">
        <v>197</v>
      </c>
      <c r="C440" s="3" t="s">
        <v>46</v>
      </c>
      <c r="D440" s="3" t="s">
        <v>106</v>
      </c>
      <c r="E440" s="4">
        <v>45934.618055555555</v>
      </c>
      <c r="F440" s="4">
        <v>45757.599999999999</v>
      </c>
      <c r="I440" s="3" t="s">
        <v>95</v>
      </c>
      <c r="J440" s="3" t="s">
        <v>62</v>
      </c>
      <c r="K440" s="5">
        <v>90</v>
      </c>
      <c r="L440" s="5">
        <v>26</v>
      </c>
      <c r="M440" s="3" t="s">
        <v>50</v>
      </c>
      <c r="N440" t="s">
        <v>69</v>
      </c>
      <c r="Q440" s="2">
        <v>166.39</v>
      </c>
      <c r="R440" s="3" t="s">
        <v>26</v>
      </c>
      <c r="S440">
        <f>COUNTIF(A:A,A440)</f>
        <v>1</v>
      </c>
      <c r="T440" t="str">
        <f>IF(OR(H440="",LOWER(TRIM(H440&amp;""))="missing",LOWER(TRIM(H440&amp;""))=""),"Missing/",IFERROR(IF(OR(VALUE(H440)&lt;0,VALUE(H440)&gt;110),"Invalid","Valid"),"Check Format"))</f>
        <v>Missing/</v>
      </c>
      <c r="U440" t="str">
        <f>IF(Raw_Data[[#This Row],[Age_Check]]="Valid",H440,"")</f>
        <v/>
      </c>
      <c r="V440" t="str">
        <f>IF(OR(K440="",UPPER(TRIM(K440&amp;""))="",LOWER(TRIM(K440&amp;""))="",LOWER(TRIM(K440&amp;""))="",LOWER(TRIM(K440&amp;""))="missing"),"Missing/",IFERROR(IF(VALUE(K440)&lt;0,"Invalid","Valid"),"Check Format"))</f>
        <v>Valid</v>
      </c>
      <c r="W440" t="str">
        <f>IF(OR(E440="",F440=""),"Missing Date/Time",IFERROR(IF(F440&gt;E440,"Arrival After Appointment","OK"),"Check Format"))</f>
        <v>OK</v>
      </c>
      <c r="X440" t="str">
        <f>IF(OR(F440="",G440=""),"Missing Date/Time",IFERROR(IF(G440&lt;F440,"Discharge Before Arrival","OK"),"Check Format"))</f>
        <v>Missing Date/Time</v>
      </c>
    </row>
    <row r="441" spans="1:24" x14ac:dyDescent="0.25">
      <c r="A441" s="2" t="s">
        <v>870</v>
      </c>
      <c r="B441" s="2" t="s">
        <v>204</v>
      </c>
      <c r="C441" s="3" t="s">
        <v>94</v>
      </c>
      <c r="D441" s="3" t="s">
        <v>61</v>
      </c>
      <c r="E441" s="4">
        <v>45557.295138888891</v>
      </c>
      <c r="F441" s="4">
        <v>45557.291666666664</v>
      </c>
      <c r="G441" s="4">
        <v>45557.356249999997</v>
      </c>
      <c r="H441" s="5">
        <v>74</v>
      </c>
      <c r="I441" s="3" t="s">
        <v>95</v>
      </c>
      <c r="J441" s="3" t="s">
        <v>67</v>
      </c>
      <c r="K441" s="5">
        <v>69</v>
      </c>
      <c r="L441" s="5">
        <v>19</v>
      </c>
      <c r="M441" s="3" t="s">
        <v>41</v>
      </c>
      <c r="N441" t="s">
        <v>69</v>
      </c>
      <c r="P441" s="3" t="s">
        <v>80</v>
      </c>
      <c r="Q441" s="2">
        <v>224.36</v>
      </c>
      <c r="R441" s="3" t="s">
        <v>26</v>
      </c>
      <c r="S441">
        <f>COUNTIF(A:A,A441)</f>
        <v>1</v>
      </c>
      <c r="T441" t="str">
        <f>IF(OR(H441="",LOWER(TRIM(H441&amp;""))="missing",LOWER(TRIM(H441&amp;""))=""),"Missing/",IFERROR(IF(OR(VALUE(H441)&lt;0,VALUE(H441)&gt;110),"Invalid","Valid"),"Check Format"))</f>
        <v>Valid</v>
      </c>
      <c r="U441">
        <f>IF(Raw_Data[[#This Row],[Age_Check]]="Valid",H441,"")</f>
        <v>74</v>
      </c>
      <c r="V441" t="str">
        <f>IF(OR(K441="",UPPER(TRIM(K441&amp;""))="",LOWER(TRIM(K441&amp;""))="",LOWER(TRIM(K441&amp;""))="",LOWER(TRIM(K441&amp;""))="missing"),"Missing/",IFERROR(IF(VALUE(K441)&lt;0,"Invalid","Valid"),"Check Format"))</f>
        <v>Valid</v>
      </c>
      <c r="W441" t="str">
        <f>IF(OR(E441="",F441=""),"Missing Date/Time",IFERROR(IF(F441&gt;E441,"Arrival After Appointment","OK"),"Check Format"))</f>
        <v>OK</v>
      </c>
      <c r="X441" t="str">
        <f>IF(OR(F441="",G441=""),"Missing Date/Time",IFERROR(IF(G441&lt;F441,"Discharge Before Arrival","OK"),"Check Format"))</f>
        <v>OK</v>
      </c>
    </row>
    <row r="442" spans="1:24" x14ac:dyDescent="0.25">
      <c r="A442" s="2" t="s">
        <v>871</v>
      </c>
      <c r="B442" s="2" t="s">
        <v>444</v>
      </c>
      <c r="C442" s="3" t="s">
        <v>46</v>
      </c>
      <c r="D442" s="3" t="s">
        <v>20</v>
      </c>
      <c r="E442" s="4">
        <v>45579.538194444445</v>
      </c>
      <c r="F442" s="4">
        <v>45579.530555555553</v>
      </c>
      <c r="G442" s="4">
        <v>45579.586111111108</v>
      </c>
      <c r="I442" s="3" t="s">
        <v>73</v>
      </c>
      <c r="J442" s="3" t="s">
        <v>62</v>
      </c>
      <c r="K442" s="5">
        <v>51</v>
      </c>
      <c r="L442" s="5">
        <v>18</v>
      </c>
      <c r="M442" s="3" t="s">
        <v>23</v>
      </c>
      <c r="N442" t="s">
        <v>100</v>
      </c>
      <c r="O442" s="5">
        <v>1</v>
      </c>
      <c r="P442" s="3" t="s">
        <v>25</v>
      </c>
      <c r="Q442" s="2">
        <v>187.92</v>
      </c>
      <c r="R442" s="3" t="s">
        <v>58</v>
      </c>
      <c r="S442">
        <f>COUNTIF(A:A,A442)</f>
        <v>1</v>
      </c>
      <c r="T442" t="str">
        <f>IF(OR(H442="",LOWER(TRIM(H442&amp;""))="missing",LOWER(TRIM(H442&amp;""))=""),"Missing/",IFERROR(IF(OR(VALUE(H442)&lt;0,VALUE(H442)&gt;110),"Invalid","Valid"),"Check Format"))</f>
        <v>Missing/</v>
      </c>
      <c r="U442" t="str">
        <f>IF(Raw_Data[[#This Row],[Age_Check]]="Valid",H442,"")</f>
        <v/>
      </c>
      <c r="V442" t="str">
        <f>IF(OR(K442="",UPPER(TRIM(K442&amp;""))="",LOWER(TRIM(K442&amp;""))="",LOWER(TRIM(K442&amp;""))="",LOWER(TRIM(K442&amp;""))="missing"),"Missing/",IFERROR(IF(VALUE(K442)&lt;0,"Invalid","Valid"),"Check Format"))</f>
        <v>Valid</v>
      </c>
      <c r="W442" t="str">
        <f>IF(OR(E442="",F442=""),"Missing Date/Time",IFERROR(IF(F442&gt;E442,"Arrival After Appointment","OK"),"Check Format"))</f>
        <v>OK</v>
      </c>
      <c r="X442" t="str">
        <f>IF(OR(F442="",G442=""),"Missing Date/Time",IFERROR(IF(G442&lt;F442,"Discharge Before Arrival","OK"),"Check Format"))</f>
        <v>OK</v>
      </c>
    </row>
    <row r="443" spans="1:24" x14ac:dyDescent="0.25">
      <c r="A443" s="2" t="s">
        <v>872</v>
      </c>
      <c r="B443" s="2" t="s">
        <v>873</v>
      </c>
      <c r="D443" s="3" t="s">
        <v>106</v>
      </c>
      <c r="E443" s="4">
        <v>45299.694444444445</v>
      </c>
      <c r="F443" s="4">
        <v>45505.675694444442</v>
      </c>
      <c r="G443" s="4">
        <v>45505.734722222223</v>
      </c>
      <c r="I443" s="3" t="s">
        <v>95</v>
      </c>
      <c r="K443" s="5">
        <v>26</v>
      </c>
      <c r="L443" s="5">
        <v>32</v>
      </c>
      <c r="M443" s="3" t="s">
        <v>32</v>
      </c>
      <c r="O443" s="5">
        <v>0</v>
      </c>
      <c r="P443" s="3" t="s">
        <v>80</v>
      </c>
      <c r="R443" s="3" t="s">
        <v>58</v>
      </c>
      <c r="S443">
        <f>COUNTIF(A:A,A443)</f>
        <v>1</v>
      </c>
      <c r="T443" t="str">
        <f>IF(OR(H443="",LOWER(TRIM(H443&amp;""))="missing",LOWER(TRIM(H443&amp;""))=""),"Missing/",IFERROR(IF(OR(VALUE(H443)&lt;0,VALUE(H443)&gt;110),"Invalid","Valid"),"Check Format"))</f>
        <v>Missing/</v>
      </c>
      <c r="U443" t="str">
        <f>IF(Raw_Data[[#This Row],[Age_Check]]="Valid",H443,"")</f>
        <v/>
      </c>
      <c r="V443" t="str">
        <f>IF(OR(K443="",UPPER(TRIM(K443&amp;""))="",LOWER(TRIM(K443&amp;""))="",LOWER(TRIM(K443&amp;""))="",LOWER(TRIM(K443&amp;""))="missing"),"Missing/",IFERROR(IF(VALUE(K443)&lt;0,"Invalid","Valid"),"Check Format"))</f>
        <v>Valid</v>
      </c>
      <c r="W443" t="str">
        <f>IF(OR(E443="",F443=""),"Missing Date/Time",IFERROR(IF(F443&gt;E443,"Arrival After Appointment","OK"),"Check Format"))</f>
        <v>Arrival After Appointment</v>
      </c>
      <c r="X443" t="str">
        <f>IF(OR(F443="",G443=""),"Missing Date/Time",IFERROR(IF(G443&lt;F443,"Discharge Before Arrival","OK"),"Check Format"))</f>
        <v>OK</v>
      </c>
    </row>
    <row r="444" spans="1:24" x14ac:dyDescent="0.25">
      <c r="A444" s="2" t="s">
        <v>874</v>
      </c>
      <c r="B444" s="2" t="s">
        <v>180</v>
      </c>
      <c r="C444" s="3" t="s">
        <v>37</v>
      </c>
      <c r="D444" s="3" t="s">
        <v>209</v>
      </c>
      <c r="E444" s="4">
        <v>45955.340277777781</v>
      </c>
      <c r="G444" s="4">
        <v>45955.415277777778</v>
      </c>
      <c r="J444" s="3" t="s">
        <v>62</v>
      </c>
      <c r="K444" s="5">
        <v>57</v>
      </c>
      <c r="L444" s="5">
        <v>51</v>
      </c>
      <c r="M444" s="3" t="s">
        <v>32</v>
      </c>
      <c r="N444" t="s">
        <v>91</v>
      </c>
      <c r="O444" s="5">
        <v>6</v>
      </c>
      <c r="P444" s="3" t="s">
        <v>25</v>
      </c>
      <c r="Q444" s="2">
        <v>182.98</v>
      </c>
      <c r="R444" s="3" t="s">
        <v>43</v>
      </c>
      <c r="S444">
        <f>COUNTIF(A:A,A444)</f>
        <v>1</v>
      </c>
      <c r="T444" t="str">
        <f>IF(OR(H444="",LOWER(TRIM(H444&amp;""))="missing",LOWER(TRIM(H444&amp;""))=""),"Missing/",IFERROR(IF(OR(VALUE(H444)&lt;0,VALUE(H444)&gt;110),"Invalid","Valid"),"Check Format"))</f>
        <v>Missing/</v>
      </c>
      <c r="U444" t="str">
        <f>IF(Raw_Data[[#This Row],[Age_Check]]="Valid",H444,"")</f>
        <v/>
      </c>
      <c r="V444" t="str">
        <f>IF(OR(K444="",UPPER(TRIM(K444&amp;""))="",LOWER(TRIM(K444&amp;""))="",LOWER(TRIM(K444&amp;""))="",LOWER(TRIM(K444&amp;""))="missing"),"Missing/",IFERROR(IF(VALUE(K444)&lt;0,"Invalid","Valid"),"Check Format"))</f>
        <v>Valid</v>
      </c>
      <c r="W444" t="str">
        <f>IF(OR(E444="",F444=""),"Missing Date/Time",IFERROR(IF(F444&gt;E444,"Arrival After Appointment","OK"),"Check Format"))</f>
        <v>Missing Date/Time</v>
      </c>
      <c r="X444" t="str">
        <f>IF(OR(F444="",G444=""),"Missing Date/Time",IFERROR(IF(G444&lt;F444,"Discharge Before Arrival","OK"),"Check Format"))</f>
        <v>Missing Date/Time</v>
      </c>
    </row>
    <row r="445" spans="1:24" x14ac:dyDescent="0.25">
      <c r="A445" s="2" t="s">
        <v>875</v>
      </c>
      <c r="B445" s="2" t="s">
        <v>781</v>
      </c>
      <c r="C445" s="3" t="s">
        <v>94</v>
      </c>
      <c r="D445" s="3" t="s">
        <v>66</v>
      </c>
      <c r="E445" s="4">
        <v>45346.597222222219</v>
      </c>
      <c r="F445" s="4">
        <v>45346.593055555553</v>
      </c>
      <c r="G445" s="4">
        <v>45346.668749999997</v>
      </c>
      <c r="H445" s="5">
        <v>145</v>
      </c>
      <c r="J445" s="3" t="s">
        <v>150</v>
      </c>
      <c r="K445" s="5">
        <v>57</v>
      </c>
      <c r="L445" s="5">
        <v>46</v>
      </c>
      <c r="M445" s="3" t="s">
        <v>32</v>
      </c>
      <c r="P445" s="3" t="s">
        <v>25</v>
      </c>
      <c r="Q445" s="2">
        <v>256.22000000000003</v>
      </c>
      <c r="R445" s="3" t="s">
        <v>58</v>
      </c>
      <c r="S445">
        <f>COUNTIF(A:A,A445)</f>
        <v>1</v>
      </c>
      <c r="T445" t="str">
        <f>IF(OR(H445="",LOWER(TRIM(H445&amp;""))="missing",LOWER(TRIM(H445&amp;""))=""),"Missing/",IFERROR(IF(OR(VALUE(H445)&lt;0,VALUE(H445)&gt;110),"Invalid","Valid"),"Check Format"))</f>
        <v>Invalid</v>
      </c>
      <c r="U445" t="str">
        <f>IF(Raw_Data[[#This Row],[Age_Check]]="Valid",H445,"")</f>
        <v/>
      </c>
      <c r="V445" t="str">
        <f>IF(OR(K445="",UPPER(TRIM(K445&amp;""))="",LOWER(TRIM(K445&amp;""))="",LOWER(TRIM(K445&amp;""))="",LOWER(TRIM(K445&amp;""))="missing"),"Missing/",IFERROR(IF(VALUE(K445)&lt;0,"Invalid","Valid"),"Check Format"))</f>
        <v>Valid</v>
      </c>
      <c r="W445" t="str">
        <f>IF(OR(E445="",F445=""),"Missing Date/Time",IFERROR(IF(F445&gt;E445,"Arrival After Appointment","OK"),"Check Format"))</f>
        <v>OK</v>
      </c>
      <c r="X445" t="str">
        <f>IF(OR(F445="",G445=""),"Missing Date/Time",IFERROR(IF(G445&lt;F445,"Discharge Before Arrival","OK"),"Check Format"))</f>
        <v>OK</v>
      </c>
    </row>
    <row r="446" spans="1:24" x14ac:dyDescent="0.25">
      <c r="A446" s="2" t="s">
        <v>876</v>
      </c>
      <c r="B446" s="2" t="s">
        <v>657</v>
      </c>
      <c r="C446" s="3" t="s">
        <v>94</v>
      </c>
      <c r="D446" s="3" t="s">
        <v>66</v>
      </c>
      <c r="E446" s="4" t="s">
        <v>877</v>
      </c>
      <c r="F446" s="4">
        <v>45564.418055555558</v>
      </c>
      <c r="G446" s="4">
        <v>45564.495833333334</v>
      </c>
      <c r="I446" s="3" t="s">
        <v>73</v>
      </c>
      <c r="K446" s="5">
        <v>77</v>
      </c>
      <c r="L446" s="5">
        <v>32</v>
      </c>
      <c r="M446" s="3" t="s">
        <v>68</v>
      </c>
      <c r="N446" t="s">
        <v>24</v>
      </c>
      <c r="P446" s="3" t="s">
        <v>25</v>
      </c>
      <c r="Q446" s="2">
        <v>40.049999999999997</v>
      </c>
      <c r="R446" s="3" t="s">
        <v>58</v>
      </c>
      <c r="S446">
        <f>COUNTIF(A:A,A446)</f>
        <v>1</v>
      </c>
      <c r="T446" t="str">
        <f>IF(OR(H446="",LOWER(TRIM(H446&amp;""))="missing",LOWER(TRIM(H446&amp;""))=""),"Missing/",IFERROR(IF(OR(VALUE(H446)&lt;0,VALUE(H446)&gt;110),"Invalid","Valid"),"Check Format"))</f>
        <v>Missing/</v>
      </c>
      <c r="U446" t="str">
        <f>IF(Raw_Data[[#This Row],[Age_Check]]="Valid",H446,"")</f>
        <v/>
      </c>
      <c r="V446" t="str">
        <f>IF(OR(K446="",UPPER(TRIM(K446&amp;""))="",LOWER(TRIM(K446&amp;""))="",LOWER(TRIM(K446&amp;""))="",LOWER(TRIM(K446&amp;""))="missing"),"Missing/",IFERROR(IF(VALUE(K446)&lt;0,"Invalid","Valid"),"Check Format"))</f>
        <v>Valid</v>
      </c>
      <c r="W446" t="str">
        <f>IF(OR(E446="",F446=""),"Missing Date/Time",IFERROR(IF(F446&gt;E446,"Arrival After Appointment","OK"),"Check Format"))</f>
        <v>OK</v>
      </c>
      <c r="X446" t="str">
        <f>IF(OR(F446="",G446=""),"Missing Date/Time",IFERROR(IF(G446&lt;F446,"Discharge Before Arrival","OK"),"Check Format"))</f>
        <v>OK</v>
      </c>
    </row>
    <row r="447" spans="1:24" x14ac:dyDescent="0.25">
      <c r="A447" s="2" t="s">
        <v>878</v>
      </c>
      <c r="B447" s="2" t="s">
        <v>547</v>
      </c>
      <c r="C447" s="3" t="s">
        <v>94</v>
      </c>
      <c r="D447" s="3" t="s">
        <v>55</v>
      </c>
      <c r="E447" s="4">
        <v>45721.763888888891</v>
      </c>
      <c r="F447" s="4">
        <v>45780.744444444441</v>
      </c>
      <c r="G447" s="4">
        <v>45780.79583333333</v>
      </c>
      <c r="I447" s="3" t="s">
        <v>95</v>
      </c>
      <c r="J447" s="3" t="s">
        <v>2639</v>
      </c>
      <c r="K447" s="5">
        <v>20</v>
      </c>
      <c r="L447" s="5">
        <v>26</v>
      </c>
      <c r="M447" s="3" t="s">
        <v>41</v>
      </c>
      <c r="N447" t="s">
        <v>74</v>
      </c>
      <c r="O447" s="5">
        <v>2</v>
      </c>
      <c r="P447" s="3" t="s">
        <v>80</v>
      </c>
      <c r="Q447" s="2">
        <v>96.24</v>
      </c>
      <c r="R447" s="3" t="s">
        <v>58</v>
      </c>
      <c r="S447">
        <f>COUNTIF(A:A,A447)</f>
        <v>1</v>
      </c>
      <c r="T447" t="str">
        <f>IF(OR(H447="",LOWER(TRIM(H447&amp;""))="missing",LOWER(TRIM(H447&amp;""))=""),"Missing/",IFERROR(IF(OR(VALUE(H447)&lt;0,VALUE(H447)&gt;110),"Invalid","Valid"),"Check Format"))</f>
        <v>Missing/</v>
      </c>
      <c r="U447" t="str">
        <f>IF(Raw_Data[[#This Row],[Age_Check]]="Valid",H447,"")</f>
        <v/>
      </c>
      <c r="V447" t="str">
        <f>IF(OR(K447="",UPPER(TRIM(K447&amp;""))="",LOWER(TRIM(K447&amp;""))="",LOWER(TRIM(K447&amp;""))="",LOWER(TRIM(K447&amp;""))="missing"),"Missing/",IFERROR(IF(VALUE(K447)&lt;0,"Invalid","Valid"),"Check Format"))</f>
        <v>Valid</v>
      </c>
      <c r="W447" t="str">
        <f>IF(OR(E447="",F447=""),"Missing Date/Time",IFERROR(IF(F447&gt;E447,"Arrival After Appointment","OK"),"Check Format"))</f>
        <v>Arrival After Appointment</v>
      </c>
      <c r="X447" t="str">
        <f>IF(OR(F447="",G447=""),"Missing Date/Time",IFERROR(IF(G447&lt;F447,"Discharge Before Arrival","OK"),"Check Format"))</f>
        <v>OK</v>
      </c>
    </row>
    <row r="448" spans="1:24" x14ac:dyDescent="0.25">
      <c r="A448" s="2" t="s">
        <v>879</v>
      </c>
      <c r="B448" s="2" t="s">
        <v>880</v>
      </c>
      <c r="C448" s="3" t="s">
        <v>46</v>
      </c>
      <c r="D448" s="3" t="s">
        <v>23</v>
      </c>
      <c r="E448" s="4">
        <v>45792.440972222219</v>
      </c>
      <c r="F448" s="4">
        <v>45792.429861111108</v>
      </c>
      <c r="G448" s="4">
        <v>45792.499305555553</v>
      </c>
      <c r="H448" s="5">
        <v>18</v>
      </c>
      <c r="I448" s="3" t="s">
        <v>90</v>
      </c>
      <c r="J448" s="3" t="s">
        <v>62</v>
      </c>
      <c r="K448" s="5">
        <v>51</v>
      </c>
      <c r="L448" s="5">
        <v>33</v>
      </c>
      <c r="M448" s="3" t="s">
        <v>41</v>
      </c>
      <c r="N448" t="s">
        <v>24</v>
      </c>
      <c r="O448" s="5">
        <v>6</v>
      </c>
      <c r="P448" s="3" t="s">
        <v>25</v>
      </c>
      <c r="Q448" s="2">
        <v>187.38</v>
      </c>
      <c r="R448" s="3" t="s">
        <v>75</v>
      </c>
      <c r="S448">
        <f>COUNTIF(A:A,A448)</f>
        <v>1</v>
      </c>
      <c r="T448" t="str">
        <f>IF(OR(H448="",LOWER(TRIM(H448&amp;""))="missing",LOWER(TRIM(H448&amp;""))=""),"Missing/",IFERROR(IF(OR(VALUE(H448)&lt;0,VALUE(H448)&gt;110),"Invalid","Valid"),"Check Format"))</f>
        <v>Valid</v>
      </c>
      <c r="U448">
        <f>IF(Raw_Data[[#This Row],[Age_Check]]="Valid",H448,"")</f>
        <v>18</v>
      </c>
      <c r="V448" t="str">
        <f>IF(OR(K448="",UPPER(TRIM(K448&amp;""))="",LOWER(TRIM(K448&amp;""))="",LOWER(TRIM(K448&amp;""))="",LOWER(TRIM(K448&amp;""))="missing"),"Missing/",IFERROR(IF(VALUE(K448)&lt;0,"Invalid","Valid"),"Check Format"))</f>
        <v>Valid</v>
      </c>
      <c r="W448" t="str">
        <f>IF(OR(E448="",F448=""),"Missing Date/Time",IFERROR(IF(F448&gt;E448,"Arrival After Appointment","OK"),"Check Format"))</f>
        <v>OK</v>
      </c>
      <c r="X448" t="str">
        <f>IF(OR(F448="",G448=""),"Missing Date/Time",IFERROR(IF(G448&lt;F448,"Discharge Before Arrival","OK"),"Check Format"))</f>
        <v>OK</v>
      </c>
    </row>
    <row r="449" spans="1:24" x14ac:dyDescent="0.25">
      <c r="A449" s="2" t="s">
        <v>881</v>
      </c>
      <c r="B449" s="2" t="s">
        <v>712</v>
      </c>
      <c r="C449" s="3" t="s">
        <v>46</v>
      </c>
      <c r="D449" s="3" t="s">
        <v>66</v>
      </c>
      <c r="E449" s="4" t="s">
        <v>882</v>
      </c>
      <c r="F449" s="4">
        <v>46019.518750000003</v>
      </c>
      <c r="G449" s="4">
        <v>46019.59375</v>
      </c>
      <c r="I449" s="3" t="s">
        <v>73</v>
      </c>
      <c r="J449" s="3" t="s">
        <v>62</v>
      </c>
      <c r="K449" s="5">
        <v>55</v>
      </c>
      <c r="L449" s="5">
        <v>40</v>
      </c>
      <c r="M449" s="3" t="s">
        <v>87</v>
      </c>
      <c r="N449" t="s">
        <v>24</v>
      </c>
      <c r="P449" s="3" t="s">
        <v>80</v>
      </c>
      <c r="Q449" s="2">
        <v>150.16</v>
      </c>
      <c r="R449" s="3" t="s">
        <v>43</v>
      </c>
      <c r="S449">
        <f>COUNTIF(A:A,A449)</f>
        <v>1</v>
      </c>
      <c r="T449" t="str">
        <f>IF(OR(H449="",LOWER(TRIM(H449&amp;""))="missing",LOWER(TRIM(H449&amp;""))=""),"Missing/",IFERROR(IF(OR(VALUE(H449)&lt;0,VALUE(H449)&gt;110),"Invalid","Valid"),"Check Format"))</f>
        <v>Missing/</v>
      </c>
      <c r="U449" t="str">
        <f>IF(Raw_Data[[#This Row],[Age_Check]]="Valid",H449,"")</f>
        <v/>
      </c>
      <c r="V449" t="str">
        <f>IF(OR(K449="",UPPER(TRIM(K449&amp;""))="",LOWER(TRIM(K449&amp;""))="",LOWER(TRIM(K449&amp;""))="",LOWER(TRIM(K449&amp;""))="missing"),"Missing/",IFERROR(IF(VALUE(K449)&lt;0,"Invalid","Valid"),"Check Format"))</f>
        <v>Valid</v>
      </c>
      <c r="W449" t="str">
        <f>IF(OR(E449="",F449=""),"Missing Date/Time",IFERROR(IF(F449&gt;E449,"Arrival After Appointment","OK"),"Check Format"))</f>
        <v>OK</v>
      </c>
      <c r="X449" t="str">
        <f>IF(OR(F449="",G449=""),"Missing Date/Time",IFERROR(IF(G449&lt;F449,"Discharge Before Arrival","OK"),"Check Format"))</f>
        <v>OK</v>
      </c>
    </row>
    <row r="450" spans="1:24" x14ac:dyDescent="0.25">
      <c r="A450" s="2" t="s">
        <v>883</v>
      </c>
      <c r="B450" s="2" t="s">
        <v>165</v>
      </c>
      <c r="C450" s="3" t="s">
        <v>46</v>
      </c>
      <c r="D450" s="3" t="s">
        <v>209</v>
      </c>
      <c r="E450" s="4">
        <v>45572.743055555555</v>
      </c>
      <c r="F450" s="4">
        <v>45572.73541666667</v>
      </c>
      <c r="G450" s="4">
        <v>45572.753472222219</v>
      </c>
      <c r="I450" s="3" t="s">
        <v>90</v>
      </c>
      <c r="K450" s="5">
        <v>0</v>
      </c>
      <c r="L450" s="5">
        <v>15</v>
      </c>
      <c r="M450" s="3" t="s">
        <v>63</v>
      </c>
      <c r="N450" t="s">
        <v>24</v>
      </c>
      <c r="O450" s="5">
        <v>6</v>
      </c>
      <c r="P450" s="3" t="s">
        <v>42</v>
      </c>
      <c r="Q450" s="2">
        <v>133.47</v>
      </c>
      <c r="R450" s="3" t="s">
        <v>26</v>
      </c>
      <c r="S450">
        <f>COUNTIF(A:A,A450)</f>
        <v>1</v>
      </c>
      <c r="T450" t="str">
        <f>IF(OR(H450="",LOWER(TRIM(H450&amp;""))="missing",LOWER(TRIM(H450&amp;""))=""),"Missing/",IFERROR(IF(OR(VALUE(H450)&lt;0,VALUE(H450)&gt;110),"Invalid","Valid"),"Check Format"))</f>
        <v>Missing/</v>
      </c>
      <c r="U450" t="str">
        <f>IF(Raw_Data[[#This Row],[Age_Check]]="Valid",H450,"")</f>
        <v/>
      </c>
      <c r="V450" t="str">
        <f>IF(OR(K450="",UPPER(TRIM(K450&amp;""))="",LOWER(TRIM(K450&amp;""))="",LOWER(TRIM(K450&amp;""))="",LOWER(TRIM(K450&amp;""))="missing"),"Missing/",IFERROR(IF(VALUE(K450)&lt;0,"Invalid","Valid"),"Check Format"))</f>
        <v>Valid</v>
      </c>
      <c r="W450" t="str">
        <f>IF(OR(E450="",F450=""),"Missing Date/Time",IFERROR(IF(F450&gt;E450,"Arrival After Appointment","OK"),"Check Format"))</f>
        <v>OK</v>
      </c>
      <c r="X450" t="str">
        <f>IF(OR(F450="",G450=""),"Missing Date/Time",IFERROR(IF(G450&lt;F450,"Discharge Before Arrival","OK"),"Check Format"))</f>
        <v>OK</v>
      </c>
    </row>
    <row r="451" spans="1:24" x14ac:dyDescent="0.25">
      <c r="A451" s="2" t="s">
        <v>884</v>
      </c>
      <c r="B451" s="2" t="s">
        <v>880</v>
      </c>
      <c r="C451" s="3" t="s">
        <v>94</v>
      </c>
      <c r="D451" s="3" t="s">
        <v>174</v>
      </c>
      <c r="F451" s="4">
        <v>45647.455555555556</v>
      </c>
      <c r="G451" s="4">
        <v>45647.501388888886</v>
      </c>
      <c r="I451" s="3" t="s">
        <v>73</v>
      </c>
      <c r="J451" s="3" t="s">
        <v>67</v>
      </c>
      <c r="K451" s="5">
        <v>15</v>
      </c>
      <c r="L451" s="5">
        <v>42</v>
      </c>
      <c r="M451" s="3" t="s">
        <v>63</v>
      </c>
      <c r="N451" t="s">
        <v>100</v>
      </c>
      <c r="O451" s="5">
        <v>0</v>
      </c>
      <c r="P451" s="3" t="s">
        <v>25</v>
      </c>
      <c r="Q451" s="2">
        <v>267.45999999999998</v>
      </c>
      <c r="R451" s="3" t="s">
        <v>26</v>
      </c>
      <c r="S451">
        <f>COUNTIF(A:A,A451)</f>
        <v>1</v>
      </c>
      <c r="T451" t="str">
        <f>IF(OR(H451="",LOWER(TRIM(H451&amp;""))="missing",LOWER(TRIM(H451&amp;""))=""),"Missing/",IFERROR(IF(OR(VALUE(H451)&lt;0,VALUE(H451)&gt;110),"Invalid","Valid"),"Check Format"))</f>
        <v>Missing/</v>
      </c>
      <c r="U451" t="str">
        <f>IF(Raw_Data[[#This Row],[Age_Check]]="Valid",H451,"")</f>
        <v/>
      </c>
      <c r="V451" t="str">
        <f>IF(OR(K451="",UPPER(TRIM(K451&amp;""))="",LOWER(TRIM(K451&amp;""))="",LOWER(TRIM(K451&amp;""))="",LOWER(TRIM(K451&amp;""))="missing"),"Missing/",IFERROR(IF(VALUE(K451)&lt;0,"Invalid","Valid"),"Check Format"))</f>
        <v>Valid</v>
      </c>
      <c r="W451" t="str">
        <f>IF(OR(E451="",F451=""),"Missing Date/Time",IFERROR(IF(F451&gt;E451,"Arrival After Appointment","OK"),"Check Format"))</f>
        <v>Missing Date/Time</v>
      </c>
      <c r="X451" t="str">
        <f>IF(OR(F451="",G451=""),"Missing Date/Time",IFERROR(IF(G451&lt;F451,"Discharge Before Arrival","OK"),"Check Format"))</f>
        <v>OK</v>
      </c>
    </row>
    <row r="452" spans="1:24" x14ac:dyDescent="0.25">
      <c r="A452" s="2" t="s">
        <v>885</v>
      </c>
      <c r="B452" s="2" t="s">
        <v>533</v>
      </c>
      <c r="C452" s="3" t="s">
        <v>46</v>
      </c>
      <c r="D452" s="3" t="s">
        <v>61</v>
      </c>
      <c r="E452" s="4">
        <v>45652.708333333336</v>
      </c>
      <c r="F452" s="4">
        <v>45652.697222222225</v>
      </c>
      <c r="G452" s="4">
        <v>45652.797222222223</v>
      </c>
      <c r="H452" s="5">
        <v>71</v>
      </c>
      <c r="I452" s="3" t="s">
        <v>90</v>
      </c>
      <c r="J452" s="3" t="s">
        <v>67</v>
      </c>
      <c r="K452" s="5">
        <v>100</v>
      </c>
      <c r="L452" s="5">
        <v>28</v>
      </c>
      <c r="M452" s="3" t="s">
        <v>68</v>
      </c>
      <c r="N452" t="s">
        <v>24</v>
      </c>
      <c r="O452" s="5">
        <v>4</v>
      </c>
      <c r="P452" s="3" t="s">
        <v>25</v>
      </c>
      <c r="Q452" s="2">
        <v>264.26</v>
      </c>
      <c r="R452" s="3" t="s">
        <v>58</v>
      </c>
      <c r="S452">
        <f>COUNTIF(A:A,A452)</f>
        <v>1</v>
      </c>
      <c r="T452" t="str">
        <f>IF(OR(H452="",LOWER(TRIM(H452&amp;""))="missing",LOWER(TRIM(H452&amp;""))=""),"Missing/",IFERROR(IF(OR(VALUE(H452)&lt;0,VALUE(H452)&gt;110),"Invalid","Valid"),"Check Format"))</f>
        <v>Valid</v>
      </c>
      <c r="U452">
        <f>IF(Raw_Data[[#This Row],[Age_Check]]="Valid",H452,"")</f>
        <v>71</v>
      </c>
      <c r="V452" t="str">
        <f>IF(OR(K452="",UPPER(TRIM(K452&amp;""))="",LOWER(TRIM(K452&amp;""))="",LOWER(TRIM(K452&amp;""))="",LOWER(TRIM(K452&amp;""))="missing"),"Missing/",IFERROR(IF(VALUE(K452)&lt;0,"Invalid","Valid"),"Check Format"))</f>
        <v>Valid</v>
      </c>
      <c r="W452" t="str">
        <f>IF(OR(E452="",F452=""),"Missing Date/Time",IFERROR(IF(F452&gt;E452,"Arrival After Appointment","OK"),"Check Format"))</f>
        <v>OK</v>
      </c>
      <c r="X452" t="str">
        <f>IF(OR(F452="",G452=""),"Missing Date/Time",IFERROR(IF(G452&lt;F452,"Discharge Before Arrival","OK"),"Check Format"))</f>
        <v>OK</v>
      </c>
    </row>
    <row r="453" spans="1:24" x14ac:dyDescent="0.25">
      <c r="A453" s="2" t="s">
        <v>886</v>
      </c>
      <c r="B453" s="2" t="s">
        <v>472</v>
      </c>
      <c r="C453" s="3" t="s">
        <v>46</v>
      </c>
      <c r="D453" s="3" t="s">
        <v>209</v>
      </c>
      <c r="E453" s="4" t="s">
        <v>887</v>
      </c>
      <c r="F453" s="4">
        <v>45687.553472222222</v>
      </c>
      <c r="G453" s="4">
        <v>45687.623611111114</v>
      </c>
      <c r="H453" s="5">
        <v>74</v>
      </c>
      <c r="I453" s="3" t="s">
        <v>73</v>
      </c>
      <c r="J453" s="3" t="s">
        <v>62</v>
      </c>
      <c r="K453" s="5">
        <v>63</v>
      </c>
      <c r="L453" s="5">
        <v>25</v>
      </c>
      <c r="M453" s="3" t="s">
        <v>63</v>
      </c>
      <c r="N453" t="s">
        <v>69</v>
      </c>
      <c r="O453" s="5">
        <v>5</v>
      </c>
      <c r="P453" s="3" t="s">
        <v>25</v>
      </c>
      <c r="Q453" s="2">
        <v>95.93</v>
      </c>
      <c r="R453" s="3" t="s">
        <v>75</v>
      </c>
      <c r="S453">
        <f>COUNTIF(A:A,A453)</f>
        <v>1</v>
      </c>
      <c r="T453" t="str">
        <f>IF(OR(H453="",LOWER(TRIM(H453&amp;""))="missing",LOWER(TRIM(H453&amp;""))=""),"Missing/",IFERROR(IF(OR(VALUE(H453)&lt;0,VALUE(H453)&gt;110),"Invalid","Valid"),"Check Format"))</f>
        <v>Valid</v>
      </c>
      <c r="U453">
        <f>IF(Raw_Data[[#This Row],[Age_Check]]="Valid",H453,"")</f>
        <v>74</v>
      </c>
      <c r="V453" t="str">
        <f>IF(OR(K453="",UPPER(TRIM(K453&amp;""))="",LOWER(TRIM(K453&amp;""))="",LOWER(TRIM(K453&amp;""))="",LOWER(TRIM(K453&amp;""))="missing"),"Missing/",IFERROR(IF(VALUE(K453)&lt;0,"Invalid","Valid"),"Check Format"))</f>
        <v>Valid</v>
      </c>
      <c r="W453" t="str">
        <f>IF(OR(E453="",F453=""),"Missing Date/Time",IFERROR(IF(F453&gt;E453,"Arrival After Appointment","OK"),"Check Format"))</f>
        <v>OK</v>
      </c>
      <c r="X453" t="str">
        <f>IF(OR(F453="",G453=""),"Missing Date/Time",IFERROR(IF(G453&lt;F453,"Discharge Before Arrival","OK"),"Check Format"))</f>
        <v>OK</v>
      </c>
    </row>
    <row r="454" spans="1:24" x14ac:dyDescent="0.25">
      <c r="A454" s="2" t="s">
        <v>888</v>
      </c>
      <c r="B454" s="2" t="s">
        <v>889</v>
      </c>
      <c r="C454" s="3" t="s">
        <v>29</v>
      </c>
      <c r="D454" s="3" t="s">
        <v>115</v>
      </c>
      <c r="E454" s="4">
        <v>45676.545138888891</v>
      </c>
      <c r="F454" s="4">
        <v>45676.536111111112</v>
      </c>
      <c r="G454" s="4">
        <v>45676.595138888886</v>
      </c>
      <c r="H454" s="5">
        <v>52</v>
      </c>
      <c r="J454" s="3" t="s">
        <v>171</v>
      </c>
      <c r="K454" s="5">
        <v>47</v>
      </c>
      <c r="L454" s="5">
        <v>25</v>
      </c>
      <c r="M454" s="3" t="s">
        <v>87</v>
      </c>
      <c r="N454" t="s">
        <v>69</v>
      </c>
      <c r="O454" s="5">
        <v>6</v>
      </c>
      <c r="P454" s="3" t="s">
        <v>25</v>
      </c>
      <c r="Q454" s="2">
        <v>158.63</v>
      </c>
      <c r="R454" s="3" t="s">
        <v>26</v>
      </c>
      <c r="S454">
        <f>COUNTIF(A:A,A454)</f>
        <v>1</v>
      </c>
      <c r="T454" t="str">
        <f>IF(OR(H454="",LOWER(TRIM(H454&amp;""))="missing",LOWER(TRIM(H454&amp;""))=""),"Missing/",IFERROR(IF(OR(VALUE(H454)&lt;0,VALUE(H454)&gt;110),"Invalid","Valid"),"Check Format"))</f>
        <v>Valid</v>
      </c>
      <c r="U454">
        <f>IF(Raw_Data[[#This Row],[Age_Check]]="Valid",H454,"")</f>
        <v>52</v>
      </c>
      <c r="V454" t="str">
        <f>IF(OR(K454="",UPPER(TRIM(K454&amp;""))="",LOWER(TRIM(K454&amp;""))="",LOWER(TRIM(K454&amp;""))="",LOWER(TRIM(K454&amp;""))="missing"),"Missing/",IFERROR(IF(VALUE(K454)&lt;0,"Invalid","Valid"),"Check Format"))</f>
        <v>Valid</v>
      </c>
      <c r="W454" t="str">
        <f>IF(OR(E454="",F454=""),"Missing Date/Time",IFERROR(IF(F454&gt;E454,"Arrival After Appointment","OK"),"Check Format"))</f>
        <v>OK</v>
      </c>
      <c r="X454" t="str">
        <f>IF(OR(F454="",G454=""),"Missing Date/Time",IFERROR(IF(G454&lt;F454,"Discharge Before Arrival","OK"),"Check Format"))</f>
        <v>OK</v>
      </c>
    </row>
    <row r="455" spans="1:24" x14ac:dyDescent="0.25">
      <c r="A455" s="2" t="s">
        <v>890</v>
      </c>
      <c r="B455" s="2" t="s">
        <v>283</v>
      </c>
      <c r="D455" s="3" t="s">
        <v>55</v>
      </c>
      <c r="E455" s="4">
        <v>45871.458333333336</v>
      </c>
      <c r="F455" s="4">
        <v>45871.439583333333</v>
      </c>
      <c r="G455" s="4">
        <v>45871.524305555555</v>
      </c>
      <c r="H455" s="5">
        <v>6</v>
      </c>
      <c r="I455" s="3" t="s">
        <v>90</v>
      </c>
      <c r="J455" s="3" t="s">
        <v>67</v>
      </c>
      <c r="K455" s="5">
        <v>63</v>
      </c>
      <c r="L455" s="5">
        <v>32</v>
      </c>
      <c r="M455" s="3" t="s">
        <v>23</v>
      </c>
      <c r="N455" t="s">
        <v>91</v>
      </c>
      <c r="P455" s="3" t="s">
        <v>25</v>
      </c>
      <c r="Q455" s="2">
        <v>179.96</v>
      </c>
      <c r="R455" s="3" t="s">
        <v>75</v>
      </c>
      <c r="S455">
        <f>COUNTIF(A:A,A455)</f>
        <v>1</v>
      </c>
      <c r="T455" t="str">
        <f>IF(OR(H455="",LOWER(TRIM(H455&amp;""))="missing",LOWER(TRIM(H455&amp;""))=""),"Missing/",IFERROR(IF(OR(VALUE(H455)&lt;0,VALUE(H455)&gt;110),"Invalid","Valid"),"Check Format"))</f>
        <v>Valid</v>
      </c>
      <c r="U455">
        <f>IF(Raw_Data[[#This Row],[Age_Check]]="Valid",H455,"")</f>
        <v>6</v>
      </c>
      <c r="V455" t="str">
        <f>IF(OR(K455="",UPPER(TRIM(K455&amp;""))="",LOWER(TRIM(K455&amp;""))="",LOWER(TRIM(K455&amp;""))="",LOWER(TRIM(K455&amp;""))="missing"),"Missing/",IFERROR(IF(VALUE(K455)&lt;0,"Invalid","Valid"),"Check Format"))</f>
        <v>Valid</v>
      </c>
      <c r="W455" t="str">
        <f>IF(OR(E455="",F455=""),"Missing Date/Time",IFERROR(IF(F455&gt;E455,"Arrival After Appointment","OK"),"Check Format"))</f>
        <v>OK</v>
      </c>
      <c r="X455" t="str">
        <f>IF(OR(F455="",G455=""),"Missing Date/Time",IFERROR(IF(G455&lt;F455,"Discharge Before Arrival","OK"),"Check Format"))</f>
        <v>OK</v>
      </c>
    </row>
    <row r="456" spans="1:24" x14ac:dyDescent="0.25">
      <c r="A456" s="2" t="s">
        <v>891</v>
      </c>
      <c r="B456" s="2" t="s">
        <v>218</v>
      </c>
      <c r="D456" s="3" t="s">
        <v>99</v>
      </c>
      <c r="E456" s="4">
        <v>45815.788194444445</v>
      </c>
      <c r="F456" s="4">
        <v>45815.768750000003</v>
      </c>
      <c r="G456" s="4">
        <v>45815.890972222223</v>
      </c>
      <c r="I456" s="3" t="s">
        <v>90</v>
      </c>
      <c r="J456" s="3" t="s">
        <v>67</v>
      </c>
      <c r="K456" s="5">
        <v>99</v>
      </c>
      <c r="L456" s="5">
        <v>49</v>
      </c>
      <c r="M456" s="3" t="s">
        <v>87</v>
      </c>
      <c r="N456" t="s">
        <v>24</v>
      </c>
      <c r="O456" s="5">
        <v>5</v>
      </c>
      <c r="P456" s="3" t="s">
        <v>25</v>
      </c>
      <c r="R456" s="3" t="s">
        <v>26</v>
      </c>
      <c r="S456">
        <f>COUNTIF(A:A,A456)</f>
        <v>1</v>
      </c>
      <c r="T456" t="str">
        <f>IF(OR(H456="",LOWER(TRIM(H456&amp;""))="missing",LOWER(TRIM(H456&amp;""))=""),"Missing/",IFERROR(IF(OR(VALUE(H456)&lt;0,VALUE(H456)&gt;110),"Invalid","Valid"),"Check Format"))</f>
        <v>Missing/</v>
      </c>
      <c r="U456" t="str">
        <f>IF(Raw_Data[[#This Row],[Age_Check]]="Valid",H456,"")</f>
        <v/>
      </c>
      <c r="V456" t="str">
        <f>IF(OR(K456="",UPPER(TRIM(K456&amp;""))="",LOWER(TRIM(K456&amp;""))="",LOWER(TRIM(K456&amp;""))="",LOWER(TRIM(K456&amp;""))="missing"),"Missing/",IFERROR(IF(VALUE(K456)&lt;0,"Invalid","Valid"),"Check Format"))</f>
        <v>Valid</v>
      </c>
      <c r="W456" t="str">
        <f>IF(OR(E456="",F456=""),"Missing Date/Time",IFERROR(IF(F456&gt;E456,"Arrival After Appointment","OK"),"Check Format"))</f>
        <v>OK</v>
      </c>
      <c r="X456" t="str">
        <f>IF(OR(F456="",G456=""),"Missing Date/Time",IFERROR(IF(G456&lt;F456,"Discharge Before Arrival","OK"),"Check Format"))</f>
        <v>OK</v>
      </c>
    </row>
    <row r="457" spans="1:24" x14ac:dyDescent="0.25">
      <c r="A457" s="2" t="s">
        <v>892</v>
      </c>
      <c r="B457" s="2" t="s">
        <v>253</v>
      </c>
      <c r="C457" s="3" t="s">
        <v>46</v>
      </c>
      <c r="D457" s="3" t="s">
        <v>174</v>
      </c>
      <c r="E457" s="4">
        <v>45398.583333333336</v>
      </c>
      <c r="F457" s="4">
        <v>45398.579861111109</v>
      </c>
      <c r="G457" s="4">
        <v>45398.59097222222</v>
      </c>
      <c r="H457" s="5">
        <v>145</v>
      </c>
      <c r="I457" s="3" t="s">
        <v>73</v>
      </c>
      <c r="K457" s="5">
        <v>6</v>
      </c>
      <c r="L457" s="5">
        <v>5</v>
      </c>
      <c r="M457" s="3" t="s">
        <v>23</v>
      </c>
      <c r="N457" t="s">
        <v>69</v>
      </c>
      <c r="O457" s="5">
        <v>1</v>
      </c>
      <c r="P457" s="3" t="s">
        <v>80</v>
      </c>
      <c r="Q457" s="2">
        <v>219.75</v>
      </c>
      <c r="R457" s="3" t="s">
        <v>43</v>
      </c>
      <c r="S457">
        <f>COUNTIF(A:A,A457)</f>
        <v>1</v>
      </c>
      <c r="T457" t="str">
        <f>IF(OR(H457="",LOWER(TRIM(H457&amp;""))="missing",LOWER(TRIM(H457&amp;""))=""),"Missing/",IFERROR(IF(OR(VALUE(H457)&lt;0,VALUE(H457)&gt;110),"Invalid","Valid"),"Check Format"))</f>
        <v>Invalid</v>
      </c>
      <c r="U457" t="str">
        <f>IF(Raw_Data[[#This Row],[Age_Check]]="Valid",H457,"")</f>
        <v/>
      </c>
      <c r="V457" t="str">
        <f>IF(OR(K457="",UPPER(TRIM(K457&amp;""))="",LOWER(TRIM(K457&amp;""))="",LOWER(TRIM(K457&amp;""))="",LOWER(TRIM(K457&amp;""))="missing"),"Missing/",IFERROR(IF(VALUE(K457)&lt;0,"Invalid","Valid"),"Check Format"))</f>
        <v>Valid</v>
      </c>
      <c r="W457" t="str">
        <f>IF(OR(E457="",F457=""),"Missing Date/Time",IFERROR(IF(F457&gt;E457,"Arrival After Appointment","OK"),"Check Format"))</f>
        <v>OK</v>
      </c>
      <c r="X457" t="str">
        <f>IF(OR(F457="",G457=""),"Missing Date/Time",IFERROR(IF(G457&lt;F457,"Discharge Before Arrival","OK"),"Check Format"))</f>
        <v>OK</v>
      </c>
    </row>
    <row r="458" spans="1:24" x14ac:dyDescent="0.25">
      <c r="A458" s="2" t="s">
        <v>893</v>
      </c>
      <c r="B458" s="2" t="s">
        <v>708</v>
      </c>
      <c r="C458" s="3" t="s">
        <v>29</v>
      </c>
      <c r="D458" s="3" t="s">
        <v>47</v>
      </c>
      <c r="E458" s="4">
        <v>45779.597222222219</v>
      </c>
      <c r="F458" s="4">
        <v>45779.588888888888</v>
      </c>
      <c r="G458" s="4">
        <v>45779.622916666667</v>
      </c>
      <c r="I458" s="3" t="s">
        <v>95</v>
      </c>
      <c r="J458" s="3" t="s">
        <v>22</v>
      </c>
      <c r="K458" s="5">
        <v>10</v>
      </c>
      <c r="L458" s="5">
        <v>27</v>
      </c>
      <c r="M458" s="3" t="s">
        <v>68</v>
      </c>
      <c r="N458" t="s">
        <v>74</v>
      </c>
      <c r="O458" s="5">
        <v>3</v>
      </c>
      <c r="P458" s="3" t="s">
        <v>25</v>
      </c>
      <c r="Q458" s="2">
        <v>51.39</v>
      </c>
      <c r="R458" s="3" t="s">
        <v>26</v>
      </c>
      <c r="S458">
        <f>COUNTIF(A:A,A458)</f>
        <v>1</v>
      </c>
      <c r="T458" t="str">
        <f>IF(OR(H458="",LOWER(TRIM(H458&amp;""))="missing",LOWER(TRIM(H458&amp;""))=""),"Missing/",IFERROR(IF(OR(VALUE(H458)&lt;0,VALUE(H458)&gt;110),"Invalid","Valid"),"Check Format"))</f>
        <v>Missing/</v>
      </c>
      <c r="U458" t="str">
        <f>IF(Raw_Data[[#This Row],[Age_Check]]="Valid",H458,"")</f>
        <v/>
      </c>
      <c r="V458" t="str">
        <f>IF(OR(K458="",UPPER(TRIM(K458&amp;""))="",LOWER(TRIM(K458&amp;""))="",LOWER(TRIM(K458&amp;""))="",LOWER(TRIM(K458&amp;""))="missing"),"Missing/",IFERROR(IF(VALUE(K458)&lt;0,"Invalid","Valid"),"Check Format"))</f>
        <v>Valid</v>
      </c>
      <c r="W458" t="str">
        <f>IF(OR(E458="",F458=""),"Missing Date/Time",IFERROR(IF(F458&gt;E458,"Arrival After Appointment","OK"),"Check Format"))</f>
        <v>OK</v>
      </c>
      <c r="X458" t="str">
        <f>IF(OR(F458="",G458=""),"Missing Date/Time",IFERROR(IF(G458&lt;F458,"Discharge Before Arrival","OK"),"Check Format"))</f>
        <v>OK</v>
      </c>
    </row>
    <row r="459" spans="1:24" x14ac:dyDescent="0.25">
      <c r="A459" s="2" t="s">
        <v>894</v>
      </c>
      <c r="B459" s="2" t="s">
        <v>506</v>
      </c>
      <c r="C459" s="3" t="s">
        <v>46</v>
      </c>
      <c r="D459" s="3" t="s">
        <v>55</v>
      </c>
      <c r="E459" s="4">
        <v>45926.583333333336</v>
      </c>
      <c r="G459" s="4">
        <v>45926.611805555556</v>
      </c>
      <c r="H459" s="5">
        <v>64</v>
      </c>
      <c r="I459" s="3" t="s">
        <v>39</v>
      </c>
      <c r="J459" s="3" t="s">
        <v>150</v>
      </c>
      <c r="K459" s="5">
        <v>0</v>
      </c>
      <c r="L459" s="5">
        <v>41</v>
      </c>
      <c r="P459" s="3" t="s">
        <v>80</v>
      </c>
      <c r="Q459" s="2">
        <v>205.73</v>
      </c>
      <c r="R459" s="3" t="s">
        <v>26</v>
      </c>
      <c r="S459">
        <f>COUNTIF(A:A,A459)</f>
        <v>1</v>
      </c>
      <c r="T459" t="str">
        <f>IF(OR(H459="",LOWER(TRIM(H459&amp;""))="missing",LOWER(TRIM(H459&amp;""))=""),"Missing/",IFERROR(IF(OR(VALUE(H459)&lt;0,VALUE(H459)&gt;110),"Invalid","Valid"),"Check Format"))</f>
        <v>Valid</v>
      </c>
      <c r="U459">
        <f>IF(Raw_Data[[#This Row],[Age_Check]]="Valid",H459,"")</f>
        <v>64</v>
      </c>
      <c r="V459" t="str">
        <f>IF(OR(K459="",UPPER(TRIM(K459&amp;""))="",LOWER(TRIM(K459&amp;""))="",LOWER(TRIM(K459&amp;""))="",LOWER(TRIM(K459&amp;""))="missing"),"Missing/",IFERROR(IF(VALUE(K459)&lt;0,"Invalid","Valid"),"Check Format"))</f>
        <v>Valid</v>
      </c>
      <c r="W459" t="str">
        <f>IF(OR(E459="",F459=""),"Missing Date/Time",IFERROR(IF(F459&gt;E459,"Arrival After Appointment","OK"),"Check Format"))</f>
        <v>Missing Date/Time</v>
      </c>
      <c r="X459" t="str">
        <f>IF(OR(F459="",G459=""),"Missing Date/Time",IFERROR(IF(G459&lt;F459,"Discharge Before Arrival","OK"),"Check Format"))</f>
        <v>Missing Date/Time</v>
      </c>
    </row>
    <row r="460" spans="1:24" x14ac:dyDescent="0.25">
      <c r="A460" s="2" t="s">
        <v>895</v>
      </c>
      <c r="B460" s="2" t="s">
        <v>896</v>
      </c>
      <c r="C460" s="3" t="s">
        <v>94</v>
      </c>
      <c r="D460" s="3" t="s">
        <v>66</v>
      </c>
      <c r="E460" s="4">
        <v>45577.722222222219</v>
      </c>
      <c r="F460" s="4">
        <v>45577.70208333333</v>
      </c>
      <c r="G460" s="4">
        <v>45577.751388888886</v>
      </c>
      <c r="I460" s="3" t="s">
        <v>95</v>
      </c>
      <c r="J460" s="3" t="s">
        <v>67</v>
      </c>
      <c r="K460" s="5">
        <v>37</v>
      </c>
      <c r="L460" s="5">
        <v>5</v>
      </c>
      <c r="M460" s="3" t="s">
        <v>41</v>
      </c>
      <c r="O460" s="5">
        <v>6</v>
      </c>
      <c r="P460" s="3" t="s">
        <v>25</v>
      </c>
      <c r="Q460" s="2">
        <v>101.3</v>
      </c>
      <c r="R460" s="3" t="s">
        <v>58</v>
      </c>
      <c r="S460">
        <f>COUNTIF(A:A,A460)</f>
        <v>1</v>
      </c>
      <c r="T460" t="str">
        <f>IF(OR(H460="",LOWER(TRIM(H460&amp;""))="missing",LOWER(TRIM(H460&amp;""))=""),"Missing/",IFERROR(IF(OR(VALUE(H460)&lt;0,VALUE(H460)&gt;110),"Invalid","Valid"),"Check Format"))</f>
        <v>Missing/</v>
      </c>
      <c r="U460" t="str">
        <f>IF(Raw_Data[[#This Row],[Age_Check]]="Valid",H460,"")</f>
        <v/>
      </c>
      <c r="V460" t="str">
        <f>IF(OR(K460="",UPPER(TRIM(K460&amp;""))="",LOWER(TRIM(K460&amp;""))="",LOWER(TRIM(K460&amp;""))="",LOWER(TRIM(K460&amp;""))="missing"),"Missing/",IFERROR(IF(VALUE(K460)&lt;0,"Invalid","Valid"),"Check Format"))</f>
        <v>Valid</v>
      </c>
      <c r="W460" t="str">
        <f>IF(OR(E460="",F460=""),"Missing Date/Time",IFERROR(IF(F460&gt;E460,"Arrival After Appointment","OK"),"Check Format"))</f>
        <v>OK</v>
      </c>
      <c r="X460" t="str">
        <f>IF(OR(F460="",G460=""),"Missing Date/Time",IFERROR(IF(G460&lt;F460,"Discharge Before Arrival","OK"),"Check Format"))</f>
        <v>OK</v>
      </c>
    </row>
    <row r="461" spans="1:24" x14ac:dyDescent="0.25">
      <c r="A461" s="2" t="s">
        <v>897</v>
      </c>
      <c r="B461" s="2" t="s">
        <v>898</v>
      </c>
      <c r="C461" s="3" t="s">
        <v>37</v>
      </c>
      <c r="D461" s="3" t="s">
        <v>209</v>
      </c>
      <c r="E461" s="4">
        <v>45390.711805555555</v>
      </c>
      <c r="F461" s="4">
        <v>45390.694444444445</v>
      </c>
      <c r="G461" s="4">
        <v>45390.76458333333</v>
      </c>
      <c r="H461" s="5">
        <v>13</v>
      </c>
      <c r="I461" s="3" t="s">
        <v>95</v>
      </c>
      <c r="J461" s="3" t="s">
        <v>62</v>
      </c>
      <c r="K461" s="5">
        <v>71</v>
      </c>
      <c r="L461" s="5">
        <v>5</v>
      </c>
      <c r="N461" t="s">
        <v>100</v>
      </c>
      <c r="P461" s="3" t="s">
        <v>25</v>
      </c>
      <c r="R461" s="3" t="s">
        <v>58</v>
      </c>
      <c r="S461">
        <f>COUNTIF(A:A,A461)</f>
        <v>1</v>
      </c>
      <c r="T461" t="str">
        <f>IF(OR(H461="",LOWER(TRIM(H461&amp;""))="missing",LOWER(TRIM(H461&amp;""))=""),"Missing/",IFERROR(IF(OR(VALUE(H461)&lt;0,VALUE(H461)&gt;110),"Invalid","Valid"),"Check Format"))</f>
        <v>Valid</v>
      </c>
      <c r="U461">
        <f>IF(Raw_Data[[#This Row],[Age_Check]]="Valid",H461,"")</f>
        <v>13</v>
      </c>
      <c r="V461" t="str">
        <f>IF(OR(K461="",UPPER(TRIM(K461&amp;""))="",LOWER(TRIM(K461&amp;""))="",LOWER(TRIM(K461&amp;""))="",LOWER(TRIM(K461&amp;""))="missing"),"Missing/",IFERROR(IF(VALUE(K461)&lt;0,"Invalid","Valid"),"Check Format"))</f>
        <v>Valid</v>
      </c>
      <c r="W461" t="str">
        <f>IF(OR(E461="",F461=""),"Missing Date/Time",IFERROR(IF(F461&gt;E461,"Arrival After Appointment","OK"),"Check Format"))</f>
        <v>OK</v>
      </c>
      <c r="X461" t="str">
        <f>IF(OR(F461="",G461=""),"Missing Date/Time",IFERROR(IF(G461&lt;F461,"Discharge Before Arrival","OK"),"Check Format"))</f>
        <v>OK</v>
      </c>
    </row>
    <row r="462" spans="1:24" x14ac:dyDescent="0.25">
      <c r="A462" s="2" t="s">
        <v>899</v>
      </c>
      <c r="B462" s="2" t="s">
        <v>900</v>
      </c>
      <c r="C462" s="3" t="s">
        <v>37</v>
      </c>
      <c r="D462" s="3" t="s">
        <v>99</v>
      </c>
      <c r="E462" s="4">
        <v>45322.392361111109</v>
      </c>
      <c r="F462" s="4">
        <v>45322.381944444445</v>
      </c>
      <c r="G462" s="4">
        <v>45322.458333333336</v>
      </c>
      <c r="H462" s="5">
        <v>28</v>
      </c>
      <c r="I462" s="3" t="s">
        <v>95</v>
      </c>
      <c r="J462" s="3" t="s">
        <v>62</v>
      </c>
      <c r="K462" s="5">
        <v>64</v>
      </c>
      <c r="L462" s="5">
        <v>31</v>
      </c>
      <c r="O462" s="5">
        <v>6</v>
      </c>
      <c r="P462" s="3" t="s">
        <v>25</v>
      </c>
      <c r="Q462" s="2">
        <v>191.34</v>
      </c>
      <c r="R462" s="3" t="s">
        <v>58</v>
      </c>
      <c r="S462">
        <f>COUNTIF(A:A,A462)</f>
        <v>1</v>
      </c>
      <c r="T462" t="str">
        <f>IF(OR(H462="",LOWER(TRIM(H462&amp;""))="missing",LOWER(TRIM(H462&amp;""))=""),"Missing/",IFERROR(IF(OR(VALUE(H462)&lt;0,VALUE(H462)&gt;110),"Invalid","Valid"),"Check Format"))</f>
        <v>Valid</v>
      </c>
      <c r="U462">
        <f>IF(Raw_Data[[#This Row],[Age_Check]]="Valid",H462,"")</f>
        <v>28</v>
      </c>
      <c r="V462" t="str">
        <f>IF(OR(K462="",UPPER(TRIM(K462&amp;""))="",LOWER(TRIM(K462&amp;""))="",LOWER(TRIM(K462&amp;""))="",LOWER(TRIM(K462&amp;""))="missing"),"Missing/",IFERROR(IF(VALUE(K462)&lt;0,"Invalid","Valid"),"Check Format"))</f>
        <v>Valid</v>
      </c>
      <c r="W462" t="str">
        <f>IF(OR(E462="",F462=""),"Missing Date/Time",IFERROR(IF(F462&gt;E462,"Arrival After Appointment","OK"),"Check Format"))</f>
        <v>OK</v>
      </c>
      <c r="X462" t="str">
        <f>IF(OR(F462="",G462=""),"Missing Date/Time",IFERROR(IF(G462&lt;F462,"Discharge Before Arrival","OK"),"Check Format"))</f>
        <v>OK</v>
      </c>
    </row>
    <row r="463" spans="1:24" x14ac:dyDescent="0.25">
      <c r="A463" s="2" t="s">
        <v>901</v>
      </c>
      <c r="B463" s="2" t="s">
        <v>818</v>
      </c>
      <c r="D463" s="3" t="s">
        <v>106</v>
      </c>
      <c r="E463" s="4">
        <v>45660.572916666664</v>
      </c>
      <c r="F463" s="4">
        <v>45660.568749999999</v>
      </c>
      <c r="G463" s="4">
        <v>45660.625694444447</v>
      </c>
      <c r="I463" s="3" t="s">
        <v>39</v>
      </c>
      <c r="K463" s="5">
        <v>62</v>
      </c>
      <c r="L463" s="5">
        <v>14</v>
      </c>
      <c r="M463" s="3" t="s">
        <v>68</v>
      </c>
      <c r="N463" t="s">
        <v>100</v>
      </c>
      <c r="P463" s="3" t="s">
        <v>80</v>
      </c>
      <c r="Q463" s="2">
        <v>240.73</v>
      </c>
      <c r="R463" s="3" t="s">
        <v>26</v>
      </c>
      <c r="S463">
        <f>COUNTIF(A:A,A463)</f>
        <v>1</v>
      </c>
      <c r="T463" t="str">
        <f>IF(OR(H463="",LOWER(TRIM(H463&amp;""))="missing",LOWER(TRIM(H463&amp;""))=""),"Missing/",IFERROR(IF(OR(VALUE(H463)&lt;0,VALUE(H463)&gt;110),"Invalid","Valid"),"Check Format"))</f>
        <v>Missing/</v>
      </c>
      <c r="U463" t="str">
        <f>IF(Raw_Data[[#This Row],[Age_Check]]="Valid",H463,"")</f>
        <v/>
      </c>
      <c r="V463" t="str">
        <f>IF(OR(K463="",UPPER(TRIM(K463&amp;""))="",LOWER(TRIM(K463&amp;""))="",LOWER(TRIM(K463&amp;""))="",LOWER(TRIM(K463&amp;""))="missing"),"Missing/",IFERROR(IF(VALUE(K463)&lt;0,"Invalid","Valid"),"Check Format"))</f>
        <v>Valid</v>
      </c>
      <c r="W463" t="str">
        <f>IF(OR(E463="",F463=""),"Missing Date/Time",IFERROR(IF(F463&gt;E463,"Arrival After Appointment","OK"),"Check Format"))</f>
        <v>OK</v>
      </c>
      <c r="X463" t="str">
        <f>IF(OR(F463="",G463=""),"Missing Date/Time",IFERROR(IF(G463&lt;F463,"Discharge Before Arrival","OK"),"Check Format"))</f>
        <v>OK</v>
      </c>
    </row>
    <row r="464" spans="1:24" x14ac:dyDescent="0.25">
      <c r="A464" s="2" t="s">
        <v>902</v>
      </c>
      <c r="B464" s="2" t="s">
        <v>903</v>
      </c>
      <c r="C464" s="3" t="s">
        <v>46</v>
      </c>
      <c r="D464" s="3" t="s">
        <v>149</v>
      </c>
      <c r="E464" s="4" t="s">
        <v>904</v>
      </c>
      <c r="F464" s="4">
        <v>45412.588194444441</v>
      </c>
      <c r="G464" s="4">
        <v>45412.651388888888</v>
      </c>
      <c r="H464" s="5">
        <v>8</v>
      </c>
      <c r="I464" s="3" t="s">
        <v>90</v>
      </c>
      <c r="J464" s="3" t="s">
        <v>67</v>
      </c>
      <c r="K464" s="5">
        <v>52</v>
      </c>
      <c r="L464" s="5">
        <v>31</v>
      </c>
      <c r="M464" s="3" t="s">
        <v>23</v>
      </c>
      <c r="O464" s="5">
        <v>6</v>
      </c>
      <c r="P464" s="3" t="s">
        <v>25</v>
      </c>
      <c r="Q464" s="2">
        <v>70.34</v>
      </c>
      <c r="R464" s="3" t="s">
        <v>58</v>
      </c>
      <c r="S464">
        <f>COUNTIF(A:A,A464)</f>
        <v>1</v>
      </c>
      <c r="T464" t="str">
        <f>IF(OR(H464="",LOWER(TRIM(H464&amp;""))="missing",LOWER(TRIM(H464&amp;""))=""),"Missing/",IFERROR(IF(OR(VALUE(H464)&lt;0,VALUE(H464)&gt;110),"Invalid","Valid"),"Check Format"))</f>
        <v>Valid</v>
      </c>
      <c r="U464">
        <f>IF(Raw_Data[[#This Row],[Age_Check]]="Valid",H464,"")</f>
        <v>8</v>
      </c>
      <c r="V464" t="str">
        <f>IF(OR(K464="",UPPER(TRIM(K464&amp;""))="",LOWER(TRIM(K464&amp;""))="",LOWER(TRIM(K464&amp;""))="",LOWER(TRIM(K464&amp;""))="missing"),"Missing/",IFERROR(IF(VALUE(K464)&lt;0,"Invalid","Valid"),"Check Format"))</f>
        <v>Valid</v>
      </c>
      <c r="W464" t="str">
        <f>IF(OR(E464="",F464=""),"Missing Date/Time",IFERROR(IF(F464&gt;E464,"Arrival After Appointment","OK"),"Check Format"))</f>
        <v>OK</v>
      </c>
      <c r="X464" t="str">
        <f>IF(OR(F464="",G464=""),"Missing Date/Time",IFERROR(IF(G464&lt;F464,"Discharge Before Arrival","OK"),"Check Format"))</f>
        <v>OK</v>
      </c>
    </row>
    <row r="465" spans="1:24" x14ac:dyDescent="0.25">
      <c r="A465" s="2" t="s">
        <v>905</v>
      </c>
      <c r="B465" s="2" t="s">
        <v>906</v>
      </c>
      <c r="C465" s="3" t="s">
        <v>37</v>
      </c>
      <c r="D465" s="3" t="s">
        <v>23</v>
      </c>
      <c r="E465" s="4" t="s">
        <v>907</v>
      </c>
      <c r="F465" s="4">
        <v>45888.580555555556</v>
      </c>
      <c r="I465" s="3" t="s">
        <v>39</v>
      </c>
      <c r="J465" s="3" t="s">
        <v>67</v>
      </c>
      <c r="K465" s="5">
        <v>42</v>
      </c>
      <c r="L465" s="5">
        <v>16</v>
      </c>
      <c r="M465" s="3" t="s">
        <v>87</v>
      </c>
      <c r="N465" t="s">
        <v>24</v>
      </c>
      <c r="O465" s="5">
        <v>6</v>
      </c>
      <c r="P465" s="3" t="s">
        <v>25</v>
      </c>
      <c r="Q465" s="2">
        <v>131.16</v>
      </c>
      <c r="R465" s="3" t="s">
        <v>58</v>
      </c>
      <c r="S465">
        <f>COUNTIF(A:A,A465)</f>
        <v>1</v>
      </c>
      <c r="T465" t="str">
        <f>IF(OR(H465="",LOWER(TRIM(H465&amp;""))="missing",LOWER(TRIM(H465&amp;""))=""),"Missing/",IFERROR(IF(OR(VALUE(H465)&lt;0,VALUE(H465)&gt;110),"Invalid","Valid"),"Check Format"))</f>
        <v>Missing/</v>
      </c>
      <c r="U465" t="str">
        <f>IF(Raw_Data[[#This Row],[Age_Check]]="Valid",H465,"")</f>
        <v/>
      </c>
      <c r="V465" t="str">
        <f>IF(OR(K465="",UPPER(TRIM(K465&amp;""))="",LOWER(TRIM(K465&amp;""))="",LOWER(TRIM(K465&amp;""))="",LOWER(TRIM(K465&amp;""))="missing"),"Missing/",IFERROR(IF(VALUE(K465)&lt;0,"Invalid","Valid"),"Check Format"))</f>
        <v>Valid</v>
      </c>
      <c r="W465" t="str">
        <f>IF(OR(E465="",F465=""),"Missing Date/Time",IFERROR(IF(F465&gt;E465,"Arrival After Appointment","OK"),"Check Format"))</f>
        <v>OK</v>
      </c>
      <c r="X465" t="str">
        <f>IF(OR(F465="",G465=""),"Missing Date/Time",IFERROR(IF(G465&lt;F465,"Discharge Before Arrival","OK"),"Check Format"))</f>
        <v>Missing Date/Time</v>
      </c>
    </row>
    <row r="466" spans="1:24" x14ac:dyDescent="0.25">
      <c r="A466" s="2" t="s">
        <v>908</v>
      </c>
      <c r="B466" s="2" t="s">
        <v>909</v>
      </c>
      <c r="C466" s="3" t="s">
        <v>19</v>
      </c>
      <c r="D466" s="3" t="s">
        <v>55</v>
      </c>
      <c r="E466" s="4" t="s">
        <v>910</v>
      </c>
      <c r="G466" s="4">
        <v>45919.447222222225</v>
      </c>
      <c r="I466" s="3" t="s">
        <v>73</v>
      </c>
      <c r="J466" s="3" t="s">
        <v>62</v>
      </c>
      <c r="K466" s="5">
        <v>117</v>
      </c>
      <c r="L466" s="5">
        <v>7</v>
      </c>
      <c r="M466" s="3" t="s">
        <v>63</v>
      </c>
      <c r="N466" t="s">
        <v>24</v>
      </c>
      <c r="O466" s="5">
        <v>1</v>
      </c>
      <c r="Q466" s="2">
        <v>15.92</v>
      </c>
      <c r="R466" s="3" t="s">
        <v>43</v>
      </c>
      <c r="S466">
        <f>COUNTIF(A:A,A466)</f>
        <v>1</v>
      </c>
      <c r="T466" t="str">
        <f>IF(OR(H466="",LOWER(TRIM(H466&amp;""))="missing",LOWER(TRIM(H466&amp;""))=""),"Missing/",IFERROR(IF(OR(VALUE(H466)&lt;0,VALUE(H466)&gt;110),"Invalid","Valid"),"Check Format"))</f>
        <v>Missing/</v>
      </c>
      <c r="U466" t="str">
        <f>IF(Raw_Data[[#This Row],[Age_Check]]="Valid",H466,"")</f>
        <v/>
      </c>
      <c r="V466" t="str">
        <f>IF(OR(K466="",UPPER(TRIM(K466&amp;""))="",LOWER(TRIM(K466&amp;""))="",LOWER(TRIM(K466&amp;""))="",LOWER(TRIM(K466&amp;""))="missing"),"Missing/",IFERROR(IF(VALUE(K466)&lt;0,"Invalid","Valid"),"Check Format"))</f>
        <v>Valid</v>
      </c>
      <c r="W466" t="str">
        <f>IF(OR(E466="",F466=""),"Missing Date/Time",IFERROR(IF(F466&gt;E466,"Arrival After Appointment","OK"),"Check Format"))</f>
        <v>Missing Date/Time</v>
      </c>
      <c r="X466" t="str">
        <f>IF(OR(F466="",G466=""),"Missing Date/Time",IFERROR(IF(G466&lt;F466,"Discharge Before Arrival","OK"),"Check Format"))</f>
        <v>Missing Date/Time</v>
      </c>
    </row>
    <row r="467" spans="1:24" x14ac:dyDescent="0.25">
      <c r="A467" s="2" t="s">
        <v>911</v>
      </c>
      <c r="B467" s="2" t="s">
        <v>793</v>
      </c>
      <c r="C467" s="3" t="s">
        <v>94</v>
      </c>
      <c r="D467" s="3" t="s">
        <v>72</v>
      </c>
      <c r="E467" s="4">
        <v>45310.649305555555</v>
      </c>
      <c r="F467" s="4">
        <v>45310.637499999997</v>
      </c>
      <c r="G467" s="4">
        <v>45310.744444444441</v>
      </c>
      <c r="H467" s="5">
        <v>145</v>
      </c>
      <c r="I467" s="3" t="s">
        <v>39</v>
      </c>
      <c r="J467" s="3" t="s">
        <v>67</v>
      </c>
      <c r="L467" s="5">
        <v>28</v>
      </c>
      <c r="M467" s="3" t="s">
        <v>41</v>
      </c>
      <c r="N467" t="s">
        <v>24</v>
      </c>
      <c r="O467" s="5">
        <v>3</v>
      </c>
      <c r="P467" s="3" t="s">
        <v>80</v>
      </c>
      <c r="Q467" s="2">
        <v>91.47</v>
      </c>
      <c r="R467" s="3" t="s">
        <v>26</v>
      </c>
      <c r="S467">
        <f>COUNTIF(A:A,A467)</f>
        <v>1</v>
      </c>
      <c r="T467" t="str">
        <f>IF(OR(H467="",LOWER(TRIM(H467&amp;""))="missing",LOWER(TRIM(H467&amp;""))=""),"Missing/",IFERROR(IF(OR(VALUE(H467)&lt;0,VALUE(H467)&gt;110),"Invalid","Valid"),"Check Format"))</f>
        <v>Invalid</v>
      </c>
      <c r="U467" t="str">
        <f>IF(Raw_Data[[#This Row],[Age_Check]]="Valid",H467,"")</f>
        <v/>
      </c>
      <c r="V467" t="str">
        <f>IF(OR(K467="",UPPER(TRIM(K467&amp;""))="",LOWER(TRIM(K467&amp;""))="",LOWER(TRIM(K467&amp;""))="",LOWER(TRIM(K467&amp;""))="missing"),"Missing/",IFERROR(IF(VALUE(K467)&lt;0,"Invalid","Valid"),"Check Format"))</f>
        <v>Missing/</v>
      </c>
      <c r="W467" t="str">
        <f>IF(OR(E467="",F467=""),"Missing Date/Time",IFERROR(IF(F467&gt;E467,"Arrival After Appointment","OK"),"Check Format"))</f>
        <v>OK</v>
      </c>
      <c r="X467" t="str">
        <f>IF(OR(F467="",G467=""),"Missing Date/Time",IFERROR(IF(G467&lt;F467,"Discharge Before Arrival","OK"),"Check Format"))</f>
        <v>OK</v>
      </c>
    </row>
    <row r="468" spans="1:24" x14ac:dyDescent="0.25">
      <c r="A468" s="2" t="s">
        <v>912</v>
      </c>
      <c r="B468" s="2" t="s">
        <v>913</v>
      </c>
      <c r="C468" s="3" t="s">
        <v>46</v>
      </c>
      <c r="D468" s="3" t="s">
        <v>106</v>
      </c>
      <c r="E468" s="4">
        <v>45841.666666666664</v>
      </c>
      <c r="F468" s="4">
        <v>45841.663194444445</v>
      </c>
      <c r="G468" s="4">
        <v>45841.746527777781</v>
      </c>
      <c r="H468" s="5">
        <v>145</v>
      </c>
      <c r="I468" s="3" t="s">
        <v>73</v>
      </c>
      <c r="J468" s="3" t="s">
        <v>67</v>
      </c>
      <c r="K468" s="5">
        <v>94</v>
      </c>
      <c r="L468" s="5">
        <v>21</v>
      </c>
      <c r="M468" s="3" t="s">
        <v>63</v>
      </c>
      <c r="N468" t="s">
        <v>69</v>
      </c>
      <c r="O468" s="5">
        <v>0</v>
      </c>
      <c r="P468" s="3" t="s">
        <v>42</v>
      </c>
      <c r="Q468" s="2">
        <v>291.08</v>
      </c>
      <c r="R468" s="3" t="s">
        <v>58</v>
      </c>
      <c r="S468">
        <f>COUNTIF(A:A,A468)</f>
        <v>1</v>
      </c>
      <c r="T468" t="str">
        <f>IF(OR(H468="",LOWER(TRIM(H468&amp;""))="missing",LOWER(TRIM(H468&amp;""))=""),"Missing/",IFERROR(IF(OR(VALUE(H468)&lt;0,VALUE(H468)&gt;110),"Invalid","Valid"),"Check Format"))</f>
        <v>Invalid</v>
      </c>
      <c r="U468" t="str">
        <f>IF(Raw_Data[[#This Row],[Age_Check]]="Valid",H468,"")</f>
        <v/>
      </c>
      <c r="V468" t="str">
        <f>IF(OR(K468="",UPPER(TRIM(K468&amp;""))="",LOWER(TRIM(K468&amp;""))="",LOWER(TRIM(K468&amp;""))="",LOWER(TRIM(K468&amp;""))="missing"),"Missing/",IFERROR(IF(VALUE(K468)&lt;0,"Invalid","Valid"),"Check Format"))</f>
        <v>Valid</v>
      </c>
      <c r="W468" t="str">
        <f>IF(OR(E468="",F468=""),"Missing Date/Time",IFERROR(IF(F468&gt;E468,"Arrival After Appointment","OK"),"Check Format"))</f>
        <v>OK</v>
      </c>
      <c r="X468" t="str">
        <f>IF(OR(F468="",G468=""),"Missing Date/Time",IFERROR(IF(G468&lt;F468,"Discharge Before Arrival","OK"),"Check Format"))</f>
        <v>OK</v>
      </c>
    </row>
    <row r="469" spans="1:24" x14ac:dyDescent="0.25">
      <c r="A469" s="2" t="s">
        <v>914</v>
      </c>
      <c r="B469" s="2" t="s">
        <v>451</v>
      </c>
      <c r="C469" s="3" t="s">
        <v>46</v>
      </c>
      <c r="D469" s="3" t="s">
        <v>174</v>
      </c>
      <c r="E469" s="4" t="s">
        <v>915</v>
      </c>
      <c r="F469" s="4">
        <v>46014.762499999997</v>
      </c>
      <c r="G469" s="4">
        <v>46014.839583333334</v>
      </c>
      <c r="J469" s="3" t="s">
        <v>2639</v>
      </c>
      <c r="K469" s="5">
        <v>81</v>
      </c>
      <c r="L469" s="5">
        <v>23</v>
      </c>
      <c r="M469" s="3" t="s">
        <v>23</v>
      </c>
      <c r="N469" t="s">
        <v>74</v>
      </c>
      <c r="P469" s="3" t="s">
        <v>25</v>
      </c>
      <c r="Q469" s="2">
        <v>317.58</v>
      </c>
      <c r="R469" s="3" t="s">
        <v>58</v>
      </c>
      <c r="S469">
        <f>COUNTIF(A:A,A469)</f>
        <v>1</v>
      </c>
      <c r="T469" t="str">
        <f>IF(OR(H469="",LOWER(TRIM(H469&amp;""))="missing",LOWER(TRIM(H469&amp;""))=""),"Missing/",IFERROR(IF(OR(VALUE(H469)&lt;0,VALUE(H469)&gt;110),"Invalid","Valid"),"Check Format"))</f>
        <v>Missing/</v>
      </c>
      <c r="U469" t="str">
        <f>IF(Raw_Data[[#This Row],[Age_Check]]="Valid",H469,"")</f>
        <v/>
      </c>
      <c r="V469" t="str">
        <f>IF(OR(K469="",UPPER(TRIM(K469&amp;""))="",LOWER(TRIM(K469&amp;""))="",LOWER(TRIM(K469&amp;""))="",LOWER(TRIM(K469&amp;""))="missing"),"Missing/",IFERROR(IF(VALUE(K469)&lt;0,"Invalid","Valid"),"Check Format"))</f>
        <v>Valid</v>
      </c>
      <c r="W469" t="str">
        <f>IF(OR(E469="",F469=""),"Missing Date/Time",IFERROR(IF(F469&gt;E469,"Arrival After Appointment","OK"),"Check Format"))</f>
        <v>OK</v>
      </c>
      <c r="X469" t="str">
        <f>IF(OR(F469="",G469=""),"Missing Date/Time",IFERROR(IF(G469&lt;F469,"Discharge Before Arrival","OK"),"Check Format"))</f>
        <v>OK</v>
      </c>
    </row>
    <row r="470" spans="1:24" x14ac:dyDescent="0.25">
      <c r="A470" s="2" t="s">
        <v>916</v>
      </c>
      <c r="B470" s="2" t="s">
        <v>685</v>
      </c>
      <c r="C470" s="3" t="s">
        <v>94</v>
      </c>
      <c r="D470" s="3" t="s">
        <v>20</v>
      </c>
      <c r="E470" s="4">
        <v>45528.496527777781</v>
      </c>
      <c r="G470" s="4">
        <v>45528.552777777775</v>
      </c>
      <c r="I470" s="3" t="s">
        <v>73</v>
      </c>
      <c r="K470" s="5">
        <v>36</v>
      </c>
      <c r="L470" s="5">
        <v>45</v>
      </c>
      <c r="M470" s="3" t="s">
        <v>87</v>
      </c>
      <c r="N470" t="s">
        <v>24</v>
      </c>
      <c r="P470" s="3" t="s">
        <v>25</v>
      </c>
      <c r="Q470" s="2">
        <v>168.94</v>
      </c>
      <c r="R470" s="3" t="s">
        <v>58</v>
      </c>
      <c r="S470">
        <f>COUNTIF(A:A,A470)</f>
        <v>1</v>
      </c>
      <c r="T470" t="str">
        <f>IF(OR(H470="",LOWER(TRIM(H470&amp;""))="missing",LOWER(TRIM(H470&amp;""))=""),"Missing/",IFERROR(IF(OR(VALUE(H470)&lt;0,VALUE(H470)&gt;110),"Invalid","Valid"),"Check Format"))</f>
        <v>Missing/</v>
      </c>
      <c r="U470" t="str">
        <f>IF(Raw_Data[[#This Row],[Age_Check]]="Valid",H470,"")</f>
        <v/>
      </c>
      <c r="V470" t="str">
        <f>IF(OR(K470="",UPPER(TRIM(K470&amp;""))="",LOWER(TRIM(K470&amp;""))="",LOWER(TRIM(K470&amp;""))="",LOWER(TRIM(K470&amp;""))="missing"),"Missing/",IFERROR(IF(VALUE(K470)&lt;0,"Invalid","Valid"),"Check Format"))</f>
        <v>Valid</v>
      </c>
      <c r="W470" t="str">
        <f>IF(OR(E470="",F470=""),"Missing Date/Time",IFERROR(IF(F470&gt;E470,"Arrival After Appointment","OK"),"Check Format"))</f>
        <v>Missing Date/Time</v>
      </c>
      <c r="X470" t="str">
        <f>IF(OR(F470="",G470=""),"Missing Date/Time",IFERROR(IF(G470&lt;F470,"Discharge Before Arrival","OK"),"Check Format"))</f>
        <v>Missing Date/Time</v>
      </c>
    </row>
    <row r="471" spans="1:24" x14ac:dyDescent="0.25">
      <c r="A471" s="2" t="s">
        <v>917</v>
      </c>
      <c r="B471" s="2" t="s">
        <v>123</v>
      </c>
      <c r="C471" s="3" t="s">
        <v>94</v>
      </c>
      <c r="D471" s="3" t="s">
        <v>23</v>
      </c>
      <c r="E471" s="4">
        <v>45311.5625</v>
      </c>
      <c r="F471" s="4">
        <v>45311.550694444442</v>
      </c>
      <c r="H471" s="5">
        <v>145</v>
      </c>
      <c r="I471" s="3" t="s">
        <v>39</v>
      </c>
      <c r="J471" s="3" t="s">
        <v>62</v>
      </c>
      <c r="K471" s="5">
        <v>103</v>
      </c>
      <c r="L471" s="5">
        <v>60</v>
      </c>
      <c r="M471" s="3" t="s">
        <v>87</v>
      </c>
      <c r="O471" s="5">
        <v>6</v>
      </c>
      <c r="P471" s="3" t="s">
        <v>80</v>
      </c>
      <c r="Q471" s="2">
        <v>147.56</v>
      </c>
      <c r="R471" s="3" t="s">
        <v>75</v>
      </c>
      <c r="S471">
        <f>COUNTIF(A:A,A471)</f>
        <v>1</v>
      </c>
      <c r="T471" t="str">
        <f>IF(OR(H471="",LOWER(TRIM(H471&amp;""))="missing",LOWER(TRIM(H471&amp;""))=""),"Missing/",IFERROR(IF(OR(VALUE(H471)&lt;0,VALUE(H471)&gt;110),"Invalid","Valid"),"Check Format"))</f>
        <v>Invalid</v>
      </c>
      <c r="U471" t="str">
        <f>IF(Raw_Data[[#This Row],[Age_Check]]="Valid",H471,"")</f>
        <v/>
      </c>
      <c r="V471" t="str">
        <f>IF(OR(K471="",UPPER(TRIM(K471&amp;""))="",LOWER(TRIM(K471&amp;""))="",LOWER(TRIM(K471&amp;""))="",LOWER(TRIM(K471&amp;""))="missing"),"Missing/",IFERROR(IF(VALUE(K471)&lt;0,"Invalid","Valid"),"Check Format"))</f>
        <v>Valid</v>
      </c>
      <c r="W471" t="str">
        <f>IF(OR(E471="",F471=""),"Missing Date/Time",IFERROR(IF(F471&gt;E471,"Arrival After Appointment","OK"),"Check Format"))</f>
        <v>OK</v>
      </c>
      <c r="X471" t="str">
        <f>IF(OR(F471="",G471=""),"Missing Date/Time",IFERROR(IF(G471&lt;F471,"Discharge Before Arrival","OK"),"Check Format"))</f>
        <v>Missing Date/Time</v>
      </c>
    </row>
    <row r="472" spans="1:24" x14ac:dyDescent="0.25">
      <c r="A472" s="2" t="s">
        <v>918</v>
      </c>
      <c r="B472" s="2" t="s">
        <v>596</v>
      </c>
      <c r="C472" s="3" t="s">
        <v>94</v>
      </c>
      <c r="D472" s="3" t="s">
        <v>99</v>
      </c>
      <c r="E472" s="4" t="s">
        <v>159</v>
      </c>
      <c r="F472" s="4">
        <v>45350.348611111112</v>
      </c>
      <c r="G472" s="4">
        <v>45350.410416666666</v>
      </c>
      <c r="I472" s="3" t="s">
        <v>73</v>
      </c>
      <c r="J472" s="3" t="s">
        <v>67</v>
      </c>
      <c r="K472" s="5">
        <v>31</v>
      </c>
      <c r="L472" s="5">
        <v>40</v>
      </c>
      <c r="M472" s="3" t="s">
        <v>50</v>
      </c>
      <c r="N472" t="s">
        <v>69</v>
      </c>
      <c r="P472" s="3" t="s">
        <v>25</v>
      </c>
      <c r="Q472" s="2">
        <v>90.78</v>
      </c>
      <c r="R472" s="3" t="s">
        <v>43</v>
      </c>
      <c r="S472">
        <f>COUNTIF(A:A,A472)</f>
        <v>1</v>
      </c>
      <c r="T472" t="str">
        <f>IF(OR(H472="",LOWER(TRIM(H472&amp;""))="missing",LOWER(TRIM(H472&amp;""))=""),"Missing/",IFERROR(IF(OR(VALUE(H472)&lt;0,VALUE(H472)&gt;110),"Invalid","Valid"),"Check Format"))</f>
        <v>Missing/</v>
      </c>
      <c r="U472" t="str">
        <f>IF(Raw_Data[[#This Row],[Age_Check]]="Valid",H472,"")</f>
        <v/>
      </c>
      <c r="V472" t="str">
        <f>IF(OR(K472="",UPPER(TRIM(K472&amp;""))="",LOWER(TRIM(K472&amp;""))="",LOWER(TRIM(K472&amp;""))="",LOWER(TRIM(K472&amp;""))="missing"),"Missing/",IFERROR(IF(VALUE(K472)&lt;0,"Invalid","Valid"),"Check Format"))</f>
        <v>Valid</v>
      </c>
      <c r="W472" t="str">
        <f>IF(OR(E472="",F472=""),"Missing Date/Time",IFERROR(IF(F472&gt;E472,"Arrival After Appointment","OK"),"Check Format"))</f>
        <v>OK</v>
      </c>
      <c r="X472" t="str">
        <f>IF(OR(F472="",G472=""),"Missing Date/Time",IFERROR(IF(G472&lt;F472,"Discharge Before Arrival","OK"),"Check Format"))</f>
        <v>OK</v>
      </c>
    </row>
    <row r="473" spans="1:24" x14ac:dyDescent="0.25">
      <c r="A473" s="2" t="s">
        <v>919</v>
      </c>
      <c r="B473" s="2" t="s">
        <v>733</v>
      </c>
      <c r="C473" s="3" t="s">
        <v>46</v>
      </c>
      <c r="D473" s="3" t="s">
        <v>61</v>
      </c>
      <c r="E473" s="4">
        <v>45537.680555555555</v>
      </c>
      <c r="F473" s="4">
        <v>45331.668055555558</v>
      </c>
      <c r="G473" s="4">
        <v>45331.793055555558</v>
      </c>
      <c r="I473" s="3" t="s">
        <v>73</v>
      </c>
      <c r="J473" s="3" t="s">
        <v>150</v>
      </c>
      <c r="K473" s="5">
        <v>128</v>
      </c>
      <c r="L473" s="5">
        <v>34</v>
      </c>
      <c r="M473" s="3" t="s">
        <v>87</v>
      </c>
      <c r="N473" t="s">
        <v>24</v>
      </c>
      <c r="O473" s="5">
        <v>1</v>
      </c>
      <c r="P473" s="3" t="s">
        <v>25</v>
      </c>
      <c r="Q473" s="2">
        <v>115.77</v>
      </c>
      <c r="R473" s="3" t="s">
        <v>26</v>
      </c>
      <c r="S473">
        <f>COUNTIF(A:A,A473)</f>
        <v>1</v>
      </c>
      <c r="T473" t="str">
        <f>IF(OR(H473="",LOWER(TRIM(H473&amp;""))="missing",LOWER(TRIM(H473&amp;""))=""),"Missing/",IFERROR(IF(OR(VALUE(H473)&lt;0,VALUE(H473)&gt;110),"Invalid","Valid"),"Check Format"))</f>
        <v>Missing/</v>
      </c>
      <c r="U473" t="str">
        <f>IF(Raw_Data[[#This Row],[Age_Check]]="Valid",H473,"")</f>
        <v/>
      </c>
      <c r="V473" t="str">
        <f>IF(OR(K473="",UPPER(TRIM(K473&amp;""))="",LOWER(TRIM(K473&amp;""))="",LOWER(TRIM(K473&amp;""))="",LOWER(TRIM(K473&amp;""))="missing"),"Missing/",IFERROR(IF(VALUE(K473)&lt;0,"Invalid","Valid"),"Check Format"))</f>
        <v>Valid</v>
      </c>
      <c r="W473" t="str">
        <f>IF(OR(E473="",F473=""),"Missing Date/Time",IFERROR(IF(F473&gt;E473,"Arrival After Appointment","OK"),"Check Format"))</f>
        <v>OK</v>
      </c>
      <c r="X473" t="str">
        <f>IF(OR(F473="",G473=""),"Missing Date/Time",IFERROR(IF(G473&lt;F473,"Discharge Before Arrival","OK"),"Check Format"))</f>
        <v>OK</v>
      </c>
    </row>
    <row r="474" spans="1:24" x14ac:dyDescent="0.25">
      <c r="A474" s="2" t="s">
        <v>920</v>
      </c>
      <c r="B474" s="2" t="s">
        <v>921</v>
      </c>
      <c r="C474" s="3" t="s">
        <v>46</v>
      </c>
      <c r="D474" s="3" t="s">
        <v>66</v>
      </c>
      <c r="E474" s="4">
        <v>45575.694444444445</v>
      </c>
      <c r="F474" s="4">
        <v>45575.684027777781</v>
      </c>
      <c r="H474" s="5">
        <v>22</v>
      </c>
      <c r="J474" s="3" t="s">
        <v>150</v>
      </c>
      <c r="K474" s="5">
        <v>64</v>
      </c>
      <c r="L474" s="5">
        <v>7</v>
      </c>
      <c r="M474" s="3" t="s">
        <v>87</v>
      </c>
      <c r="N474" t="s">
        <v>24</v>
      </c>
      <c r="O474" s="5">
        <v>1</v>
      </c>
      <c r="P474" s="3" t="s">
        <v>42</v>
      </c>
      <c r="Q474" s="2">
        <v>67.27</v>
      </c>
      <c r="R474" s="3" t="s">
        <v>58</v>
      </c>
      <c r="S474">
        <f>COUNTIF(A:A,A474)</f>
        <v>1</v>
      </c>
      <c r="T474" t="str">
        <f>IF(OR(H474="",LOWER(TRIM(H474&amp;""))="missing",LOWER(TRIM(H474&amp;""))=""),"Missing/",IFERROR(IF(OR(VALUE(H474)&lt;0,VALUE(H474)&gt;110),"Invalid","Valid"),"Check Format"))</f>
        <v>Valid</v>
      </c>
      <c r="U474">
        <f>IF(Raw_Data[[#This Row],[Age_Check]]="Valid",H474,"")</f>
        <v>22</v>
      </c>
      <c r="V474" t="str">
        <f>IF(OR(K474="",UPPER(TRIM(K474&amp;""))="",LOWER(TRIM(K474&amp;""))="",LOWER(TRIM(K474&amp;""))="",LOWER(TRIM(K474&amp;""))="missing"),"Missing/",IFERROR(IF(VALUE(K474)&lt;0,"Invalid","Valid"),"Check Format"))</f>
        <v>Valid</v>
      </c>
      <c r="W474" t="str">
        <f>IF(OR(E474="",F474=""),"Missing Date/Time",IFERROR(IF(F474&gt;E474,"Arrival After Appointment","OK"),"Check Format"))</f>
        <v>OK</v>
      </c>
      <c r="X474" t="str">
        <f>IF(OR(F474="",G474=""),"Missing Date/Time",IFERROR(IF(G474&lt;F474,"Discharge Before Arrival","OK"),"Check Format"))</f>
        <v>Missing Date/Time</v>
      </c>
    </row>
    <row r="475" spans="1:24" x14ac:dyDescent="0.25">
      <c r="A475" s="2" t="s">
        <v>922</v>
      </c>
      <c r="B475" s="2" t="s">
        <v>232</v>
      </c>
      <c r="C475" s="3" t="s">
        <v>46</v>
      </c>
      <c r="D475" s="3" t="s">
        <v>23</v>
      </c>
      <c r="E475" s="4">
        <v>45354.763888888891</v>
      </c>
      <c r="F475" s="4">
        <v>45354.756249999999</v>
      </c>
      <c r="H475" s="5">
        <v>64</v>
      </c>
      <c r="J475" s="3" t="s">
        <v>22</v>
      </c>
      <c r="K475" s="5">
        <v>100</v>
      </c>
      <c r="L475" s="5">
        <v>20</v>
      </c>
      <c r="M475" s="3" t="s">
        <v>23</v>
      </c>
      <c r="N475" t="s">
        <v>24</v>
      </c>
      <c r="O475" s="5">
        <v>6</v>
      </c>
      <c r="P475" s="3" t="s">
        <v>25</v>
      </c>
      <c r="Q475" s="2">
        <v>61.25</v>
      </c>
      <c r="R475" s="3" t="s">
        <v>58</v>
      </c>
      <c r="S475">
        <f>COUNTIF(A:A,A475)</f>
        <v>1</v>
      </c>
      <c r="T475" t="str">
        <f>IF(OR(H475="",LOWER(TRIM(H475&amp;""))="missing",LOWER(TRIM(H475&amp;""))=""),"Missing/",IFERROR(IF(OR(VALUE(H475)&lt;0,VALUE(H475)&gt;110),"Invalid","Valid"),"Check Format"))</f>
        <v>Valid</v>
      </c>
      <c r="U475">
        <f>IF(Raw_Data[[#This Row],[Age_Check]]="Valid",H475,"")</f>
        <v>64</v>
      </c>
      <c r="V475" t="str">
        <f>IF(OR(K475="",UPPER(TRIM(K475&amp;""))="",LOWER(TRIM(K475&amp;""))="",LOWER(TRIM(K475&amp;""))="",LOWER(TRIM(K475&amp;""))="missing"),"Missing/",IFERROR(IF(VALUE(K475)&lt;0,"Invalid","Valid"),"Check Format"))</f>
        <v>Valid</v>
      </c>
      <c r="W475" t="str">
        <f>IF(OR(E475="",F475=""),"Missing Date/Time",IFERROR(IF(F475&gt;E475,"Arrival After Appointment","OK"),"Check Format"))</f>
        <v>OK</v>
      </c>
      <c r="X475" t="str">
        <f>IF(OR(F475="",G475=""),"Missing Date/Time",IFERROR(IF(G475&lt;F475,"Discharge Before Arrival","OK"),"Check Format"))</f>
        <v>Missing Date/Time</v>
      </c>
    </row>
    <row r="476" spans="1:24" x14ac:dyDescent="0.25">
      <c r="A476" s="2" t="s">
        <v>923</v>
      </c>
      <c r="B476" s="2" t="s">
        <v>245</v>
      </c>
      <c r="D476" s="3" t="s">
        <v>30</v>
      </c>
      <c r="E476" s="4">
        <v>45317.53125</v>
      </c>
      <c r="F476" s="4">
        <v>45317.525000000001</v>
      </c>
      <c r="G476" s="4">
        <v>45317.620833333334</v>
      </c>
      <c r="H476" s="5">
        <v>20</v>
      </c>
      <c r="I476" s="3" t="s">
        <v>90</v>
      </c>
      <c r="J476" s="3" t="s">
        <v>150</v>
      </c>
      <c r="K476" s="5">
        <v>76</v>
      </c>
      <c r="L476" s="5">
        <v>53</v>
      </c>
      <c r="M476" s="3" t="s">
        <v>68</v>
      </c>
      <c r="O476" s="5">
        <v>6</v>
      </c>
      <c r="P476" s="3" t="s">
        <v>80</v>
      </c>
      <c r="Q476" s="2">
        <v>202.52</v>
      </c>
      <c r="R476" s="3" t="s">
        <v>26</v>
      </c>
      <c r="S476">
        <f>COUNTIF(A:A,A476)</f>
        <v>1</v>
      </c>
      <c r="T476" t="str">
        <f>IF(OR(H476="",LOWER(TRIM(H476&amp;""))="missing",LOWER(TRIM(H476&amp;""))=""),"Missing/",IFERROR(IF(OR(VALUE(H476)&lt;0,VALUE(H476)&gt;110),"Invalid","Valid"),"Check Format"))</f>
        <v>Valid</v>
      </c>
      <c r="U476">
        <f>IF(Raw_Data[[#This Row],[Age_Check]]="Valid",H476,"")</f>
        <v>20</v>
      </c>
      <c r="V476" t="str">
        <f>IF(OR(K476="",UPPER(TRIM(K476&amp;""))="",LOWER(TRIM(K476&amp;""))="",LOWER(TRIM(K476&amp;""))="",LOWER(TRIM(K476&amp;""))="missing"),"Missing/",IFERROR(IF(VALUE(K476)&lt;0,"Invalid","Valid"),"Check Format"))</f>
        <v>Valid</v>
      </c>
      <c r="W476" t="str">
        <f>IF(OR(E476="",F476=""),"Missing Date/Time",IFERROR(IF(F476&gt;E476,"Arrival After Appointment","OK"),"Check Format"))</f>
        <v>OK</v>
      </c>
      <c r="X476" t="str">
        <f>IF(OR(F476="",G476=""),"Missing Date/Time",IFERROR(IF(G476&lt;F476,"Discharge Before Arrival","OK"),"Check Format"))</f>
        <v>OK</v>
      </c>
    </row>
    <row r="477" spans="1:24" x14ac:dyDescent="0.25">
      <c r="A477" s="2" t="s">
        <v>924</v>
      </c>
      <c r="B477" s="2" t="s">
        <v>685</v>
      </c>
      <c r="C477" s="3" t="s">
        <v>94</v>
      </c>
      <c r="D477" s="3" t="s">
        <v>106</v>
      </c>
      <c r="E477" s="4">
        <v>46021.510416666664</v>
      </c>
      <c r="F477" s="4">
        <v>46021.496527777781</v>
      </c>
      <c r="H477" s="5">
        <v>145</v>
      </c>
      <c r="J477" s="3" t="s">
        <v>67</v>
      </c>
      <c r="K477" s="5">
        <v>92</v>
      </c>
      <c r="L477" s="5">
        <v>18</v>
      </c>
      <c r="O477" s="5">
        <v>1</v>
      </c>
      <c r="P477" s="3" t="s">
        <v>25</v>
      </c>
      <c r="Q477" s="2">
        <v>31.26</v>
      </c>
      <c r="R477" s="3" t="s">
        <v>26</v>
      </c>
      <c r="S477">
        <f>COUNTIF(A:A,A477)</f>
        <v>1</v>
      </c>
      <c r="T477" t="str">
        <f>IF(OR(H477="",LOWER(TRIM(H477&amp;""))="missing",LOWER(TRIM(H477&amp;""))=""),"Missing/",IFERROR(IF(OR(VALUE(H477)&lt;0,VALUE(H477)&gt;110),"Invalid","Valid"),"Check Format"))</f>
        <v>Invalid</v>
      </c>
      <c r="U477" t="str">
        <f>IF(Raw_Data[[#This Row],[Age_Check]]="Valid",H477,"")</f>
        <v/>
      </c>
      <c r="V477" t="str">
        <f>IF(OR(K477="",UPPER(TRIM(K477&amp;""))="",LOWER(TRIM(K477&amp;""))="",LOWER(TRIM(K477&amp;""))="",LOWER(TRIM(K477&amp;""))="missing"),"Missing/",IFERROR(IF(VALUE(K477)&lt;0,"Invalid","Valid"),"Check Format"))</f>
        <v>Valid</v>
      </c>
      <c r="W477" t="str">
        <f>IF(OR(E477="",F477=""),"Missing Date/Time",IFERROR(IF(F477&gt;E477,"Arrival After Appointment","OK"),"Check Format"))</f>
        <v>OK</v>
      </c>
      <c r="X477" t="str">
        <f>IF(OR(F477="",G477=""),"Missing Date/Time",IFERROR(IF(G477&lt;F477,"Discharge Before Arrival","OK"),"Check Format"))</f>
        <v>Missing Date/Time</v>
      </c>
    </row>
    <row r="478" spans="1:24" x14ac:dyDescent="0.25">
      <c r="A478" s="2" t="s">
        <v>925</v>
      </c>
      <c r="B478" s="2" t="s">
        <v>926</v>
      </c>
      <c r="C478" s="3" t="s">
        <v>29</v>
      </c>
      <c r="D478" s="3" t="s">
        <v>20</v>
      </c>
      <c r="E478" s="4">
        <v>45999.46875</v>
      </c>
      <c r="F478" s="4">
        <v>45881.466666666667</v>
      </c>
      <c r="G478" s="4">
        <v>45881.563194444447</v>
      </c>
      <c r="I478" s="3" t="s">
        <v>39</v>
      </c>
      <c r="J478" s="3" t="s">
        <v>150</v>
      </c>
      <c r="K478" s="5">
        <v>110</v>
      </c>
      <c r="L478" s="5">
        <v>26</v>
      </c>
      <c r="M478" s="3" t="s">
        <v>23</v>
      </c>
      <c r="N478" t="s">
        <v>91</v>
      </c>
      <c r="O478" s="5">
        <v>5</v>
      </c>
      <c r="P478" s="3" t="s">
        <v>25</v>
      </c>
      <c r="Q478" s="2">
        <v>124.93</v>
      </c>
      <c r="R478" s="3" t="s">
        <v>26</v>
      </c>
      <c r="S478">
        <f>COUNTIF(A:A,A478)</f>
        <v>1</v>
      </c>
      <c r="T478" t="str">
        <f>IF(OR(H478="",LOWER(TRIM(H478&amp;""))="missing",LOWER(TRIM(H478&amp;""))=""),"Missing/",IFERROR(IF(OR(VALUE(H478)&lt;0,VALUE(H478)&gt;110),"Invalid","Valid"),"Check Format"))</f>
        <v>Missing/</v>
      </c>
      <c r="U478" t="str">
        <f>IF(Raw_Data[[#This Row],[Age_Check]]="Valid",H478,"")</f>
        <v/>
      </c>
      <c r="V478" t="str">
        <f>IF(OR(K478="",UPPER(TRIM(K478&amp;""))="",LOWER(TRIM(K478&amp;""))="",LOWER(TRIM(K478&amp;""))="",LOWER(TRIM(K478&amp;""))="missing"),"Missing/",IFERROR(IF(VALUE(K478)&lt;0,"Invalid","Valid"),"Check Format"))</f>
        <v>Valid</v>
      </c>
      <c r="W478" t="str">
        <f>IF(OR(E478="",F478=""),"Missing Date/Time",IFERROR(IF(F478&gt;E478,"Arrival After Appointment","OK"),"Check Format"))</f>
        <v>OK</v>
      </c>
      <c r="X478" t="str">
        <f>IF(OR(F478="",G478=""),"Missing Date/Time",IFERROR(IF(G478&lt;F478,"Discharge Before Arrival","OK"),"Check Format"))</f>
        <v>OK</v>
      </c>
    </row>
    <row r="479" spans="1:24" x14ac:dyDescent="0.25">
      <c r="A479" s="2" t="s">
        <v>927</v>
      </c>
      <c r="B479" s="2" t="s">
        <v>906</v>
      </c>
      <c r="C479" s="3" t="s">
        <v>46</v>
      </c>
      <c r="D479" s="3" t="s">
        <v>47</v>
      </c>
      <c r="E479" s="4">
        <v>45420.635416666664</v>
      </c>
      <c r="F479" s="4">
        <v>45420.633333333331</v>
      </c>
      <c r="H479" s="5">
        <v>64</v>
      </c>
      <c r="J479" s="3" t="s">
        <v>67</v>
      </c>
      <c r="K479" s="5">
        <v>104</v>
      </c>
      <c r="L479" s="5">
        <v>42</v>
      </c>
      <c r="M479" s="3" t="s">
        <v>32</v>
      </c>
      <c r="N479" t="s">
        <v>24</v>
      </c>
      <c r="O479" s="5">
        <v>2</v>
      </c>
      <c r="P479" s="3" t="s">
        <v>80</v>
      </c>
      <c r="Q479" s="2">
        <v>181.47</v>
      </c>
      <c r="R479" s="3" t="s">
        <v>75</v>
      </c>
      <c r="S479">
        <f>COUNTIF(A:A,A479)</f>
        <v>1</v>
      </c>
      <c r="T479" t="str">
        <f>IF(OR(H479="",LOWER(TRIM(H479&amp;""))="missing",LOWER(TRIM(H479&amp;""))=""),"Missing/",IFERROR(IF(OR(VALUE(H479)&lt;0,VALUE(H479)&gt;110),"Invalid","Valid"),"Check Format"))</f>
        <v>Valid</v>
      </c>
      <c r="U479">
        <f>IF(Raw_Data[[#This Row],[Age_Check]]="Valid",H479,"")</f>
        <v>64</v>
      </c>
      <c r="V479" t="str">
        <f>IF(OR(K479="",UPPER(TRIM(K479&amp;""))="",LOWER(TRIM(K479&amp;""))="",LOWER(TRIM(K479&amp;""))="",LOWER(TRIM(K479&amp;""))="missing"),"Missing/",IFERROR(IF(VALUE(K479)&lt;0,"Invalid","Valid"),"Check Format"))</f>
        <v>Valid</v>
      </c>
      <c r="W479" t="str">
        <f>IF(OR(E479="",F479=""),"Missing Date/Time",IFERROR(IF(F479&gt;E479,"Arrival After Appointment","OK"),"Check Format"))</f>
        <v>OK</v>
      </c>
      <c r="X479" t="str">
        <f>IF(OR(F479="",G479=""),"Missing Date/Time",IFERROR(IF(G479&lt;F479,"Discharge Before Arrival","OK"),"Check Format"))</f>
        <v>Missing Date/Time</v>
      </c>
    </row>
    <row r="480" spans="1:24" x14ac:dyDescent="0.25">
      <c r="A480" s="2" t="s">
        <v>928</v>
      </c>
      <c r="B480" s="2" t="s">
        <v>929</v>
      </c>
      <c r="C480" s="3" t="s">
        <v>94</v>
      </c>
      <c r="D480" s="3" t="s">
        <v>23</v>
      </c>
      <c r="E480" s="4">
        <v>45395.375</v>
      </c>
      <c r="F480" s="4">
        <v>45395.367361111108</v>
      </c>
      <c r="H480" s="5">
        <v>71</v>
      </c>
      <c r="I480" s="3" t="s">
        <v>90</v>
      </c>
      <c r="J480" s="3" t="s">
        <v>67</v>
      </c>
      <c r="K480" s="5">
        <v>133</v>
      </c>
      <c r="L480" s="5">
        <v>20</v>
      </c>
      <c r="M480" s="3" t="s">
        <v>23</v>
      </c>
      <c r="N480" t="s">
        <v>91</v>
      </c>
      <c r="O480" s="5">
        <v>6</v>
      </c>
      <c r="P480" s="3" t="s">
        <v>25</v>
      </c>
      <c r="Q480" s="2">
        <v>219.23</v>
      </c>
      <c r="R480" s="3" t="s">
        <v>58</v>
      </c>
      <c r="S480">
        <f>COUNTIF(A:A,A480)</f>
        <v>1</v>
      </c>
      <c r="T480" t="str">
        <f>IF(OR(H480="",LOWER(TRIM(H480&amp;""))="missing",LOWER(TRIM(H480&amp;""))=""),"Missing/",IFERROR(IF(OR(VALUE(H480)&lt;0,VALUE(H480)&gt;110),"Invalid","Valid"),"Check Format"))</f>
        <v>Valid</v>
      </c>
      <c r="U480">
        <f>IF(Raw_Data[[#This Row],[Age_Check]]="Valid",H480,"")</f>
        <v>71</v>
      </c>
      <c r="V480" t="str">
        <f>IF(OR(K480="",UPPER(TRIM(K480&amp;""))="",LOWER(TRIM(K480&amp;""))="",LOWER(TRIM(K480&amp;""))="",LOWER(TRIM(K480&amp;""))="missing"),"Missing/",IFERROR(IF(VALUE(K480)&lt;0,"Invalid","Valid"),"Check Format"))</f>
        <v>Valid</v>
      </c>
      <c r="W480" t="str">
        <f>IF(OR(E480="",F480=""),"Missing Date/Time",IFERROR(IF(F480&gt;E480,"Arrival After Appointment","OK"),"Check Format"))</f>
        <v>OK</v>
      </c>
      <c r="X480" t="str">
        <f>IF(OR(F480="",G480=""),"Missing Date/Time",IFERROR(IF(G480&lt;F480,"Discharge Before Arrival","OK"),"Check Format"))</f>
        <v>Missing Date/Time</v>
      </c>
    </row>
    <row r="481" spans="1:24" x14ac:dyDescent="0.25">
      <c r="A481" s="2" t="s">
        <v>930</v>
      </c>
      <c r="B481" s="2" t="s">
        <v>900</v>
      </c>
      <c r="C481" s="3" t="s">
        <v>94</v>
      </c>
      <c r="D481" s="3" t="s">
        <v>61</v>
      </c>
      <c r="E481" s="4">
        <v>45710.732638888891</v>
      </c>
      <c r="F481" s="4">
        <v>45710.720138888886</v>
      </c>
      <c r="G481" s="4">
        <v>45710.798611111109</v>
      </c>
      <c r="H481" s="5">
        <v>10</v>
      </c>
      <c r="I481" s="3" t="s">
        <v>95</v>
      </c>
      <c r="J481" s="3" t="s">
        <v>67</v>
      </c>
      <c r="K481" s="5">
        <v>59</v>
      </c>
      <c r="L481" s="5">
        <v>36</v>
      </c>
      <c r="M481" s="3" t="s">
        <v>41</v>
      </c>
      <c r="N481" t="s">
        <v>24</v>
      </c>
      <c r="O481" s="5">
        <v>0</v>
      </c>
      <c r="P481" s="3" t="s">
        <v>80</v>
      </c>
      <c r="Q481" s="2">
        <v>267.27999999999997</v>
      </c>
      <c r="R481" s="3" t="s">
        <v>26</v>
      </c>
      <c r="S481">
        <f>COUNTIF(A:A,A481)</f>
        <v>1</v>
      </c>
      <c r="T481" t="str">
        <f>IF(OR(H481="",LOWER(TRIM(H481&amp;""))="missing",LOWER(TRIM(H481&amp;""))=""),"Missing/",IFERROR(IF(OR(VALUE(H481)&lt;0,VALUE(H481)&gt;110),"Invalid","Valid"),"Check Format"))</f>
        <v>Valid</v>
      </c>
      <c r="U481">
        <f>IF(Raw_Data[[#This Row],[Age_Check]]="Valid",H481,"")</f>
        <v>10</v>
      </c>
      <c r="V481" t="str">
        <f>IF(OR(K481="",UPPER(TRIM(K481&amp;""))="",LOWER(TRIM(K481&amp;""))="",LOWER(TRIM(K481&amp;""))="",LOWER(TRIM(K481&amp;""))="missing"),"Missing/",IFERROR(IF(VALUE(K481)&lt;0,"Invalid","Valid"),"Check Format"))</f>
        <v>Valid</v>
      </c>
      <c r="W481" t="str">
        <f>IF(OR(E481="",F481=""),"Missing Date/Time",IFERROR(IF(F481&gt;E481,"Arrival After Appointment","OK"),"Check Format"))</f>
        <v>OK</v>
      </c>
      <c r="X481" t="str">
        <f>IF(OR(F481="",G481=""),"Missing Date/Time",IFERROR(IF(G481&lt;F481,"Discharge Before Arrival","OK"),"Check Format"))</f>
        <v>OK</v>
      </c>
    </row>
    <row r="482" spans="1:24" x14ac:dyDescent="0.25">
      <c r="A482" s="2" t="s">
        <v>931</v>
      </c>
      <c r="B482" s="2" t="s">
        <v>749</v>
      </c>
      <c r="C482" s="3" t="s">
        <v>94</v>
      </c>
      <c r="D482" s="3" t="s">
        <v>209</v>
      </c>
      <c r="E482" s="4">
        <v>45797.5</v>
      </c>
      <c r="F482" s="4">
        <v>45797.496527777781</v>
      </c>
      <c r="G482" s="4">
        <v>45797.580555555556</v>
      </c>
      <c r="I482" s="3" t="s">
        <v>73</v>
      </c>
      <c r="K482" s="5">
        <v>75</v>
      </c>
      <c r="L482" s="5">
        <v>41</v>
      </c>
      <c r="O482" s="5">
        <v>6</v>
      </c>
      <c r="P482" s="3" t="s">
        <v>25</v>
      </c>
      <c r="Q482" s="2">
        <v>230.8</v>
      </c>
      <c r="R482" s="3" t="s">
        <v>75</v>
      </c>
      <c r="S482">
        <f>COUNTIF(A:A,A482)</f>
        <v>1</v>
      </c>
      <c r="T482" t="str">
        <f>IF(OR(H482="",LOWER(TRIM(H482&amp;""))="missing",LOWER(TRIM(H482&amp;""))=""),"Missing/",IFERROR(IF(OR(VALUE(H482)&lt;0,VALUE(H482)&gt;110),"Invalid","Valid"),"Check Format"))</f>
        <v>Missing/</v>
      </c>
      <c r="U482" t="str">
        <f>IF(Raw_Data[[#This Row],[Age_Check]]="Valid",H482,"")</f>
        <v/>
      </c>
      <c r="V482" t="str">
        <f>IF(OR(K482="",UPPER(TRIM(K482&amp;""))="",LOWER(TRIM(K482&amp;""))="",LOWER(TRIM(K482&amp;""))="",LOWER(TRIM(K482&amp;""))="missing"),"Missing/",IFERROR(IF(VALUE(K482)&lt;0,"Invalid","Valid"),"Check Format"))</f>
        <v>Valid</v>
      </c>
      <c r="W482" t="str">
        <f>IF(OR(E482="",F482=""),"Missing Date/Time",IFERROR(IF(F482&gt;E482,"Arrival After Appointment","OK"),"Check Format"))</f>
        <v>OK</v>
      </c>
      <c r="X482" t="str">
        <f>IF(OR(F482="",G482=""),"Missing Date/Time",IFERROR(IF(G482&lt;F482,"Discharge Before Arrival","OK"),"Check Format"))</f>
        <v>OK</v>
      </c>
    </row>
    <row r="483" spans="1:24" x14ac:dyDescent="0.25">
      <c r="A483" s="2" t="s">
        <v>932</v>
      </c>
      <c r="B483" s="2" t="s">
        <v>933</v>
      </c>
      <c r="C483" s="3" t="s">
        <v>46</v>
      </c>
      <c r="D483" s="3" t="s">
        <v>149</v>
      </c>
      <c r="E483" s="4">
        <v>45521.388888888891</v>
      </c>
      <c r="F483" s="4">
        <v>45521.384722222225</v>
      </c>
      <c r="G483" s="4">
        <v>45521.431250000001</v>
      </c>
      <c r="H483" s="5">
        <v>65</v>
      </c>
      <c r="J483" s="3" t="s">
        <v>22</v>
      </c>
      <c r="K483" s="5">
        <v>45</v>
      </c>
      <c r="L483" s="5">
        <v>16</v>
      </c>
      <c r="M483" s="3" t="s">
        <v>87</v>
      </c>
      <c r="O483" s="5">
        <v>5</v>
      </c>
      <c r="P483" s="3" t="s">
        <v>80</v>
      </c>
      <c r="Q483" s="2">
        <v>61.42</v>
      </c>
      <c r="R483" s="3" t="s">
        <v>58</v>
      </c>
      <c r="S483">
        <f>COUNTIF(A:A,A483)</f>
        <v>1</v>
      </c>
      <c r="T483" t="str">
        <f>IF(OR(H483="",LOWER(TRIM(H483&amp;""))="missing",LOWER(TRIM(H483&amp;""))=""),"Missing/",IFERROR(IF(OR(VALUE(H483)&lt;0,VALUE(H483)&gt;110),"Invalid","Valid"),"Check Format"))</f>
        <v>Valid</v>
      </c>
      <c r="U483">
        <f>IF(Raw_Data[[#This Row],[Age_Check]]="Valid",H483,"")</f>
        <v>65</v>
      </c>
      <c r="V483" t="str">
        <f>IF(OR(K483="",UPPER(TRIM(K483&amp;""))="",LOWER(TRIM(K483&amp;""))="",LOWER(TRIM(K483&amp;""))="",LOWER(TRIM(K483&amp;""))="missing"),"Missing/",IFERROR(IF(VALUE(K483)&lt;0,"Invalid","Valid"),"Check Format"))</f>
        <v>Valid</v>
      </c>
      <c r="W483" t="str">
        <f>IF(OR(E483="",F483=""),"Missing Date/Time",IFERROR(IF(F483&gt;E483,"Arrival After Appointment","OK"),"Check Format"))</f>
        <v>OK</v>
      </c>
      <c r="X483" t="str">
        <f>IF(OR(F483="",G483=""),"Missing Date/Time",IFERROR(IF(G483&lt;F483,"Discharge Before Arrival","OK"),"Check Format"))</f>
        <v>OK</v>
      </c>
    </row>
    <row r="484" spans="1:24" x14ac:dyDescent="0.25">
      <c r="A484" s="2" t="s">
        <v>934</v>
      </c>
      <c r="B484" s="2" t="s">
        <v>180</v>
      </c>
      <c r="C484" s="3" t="s">
        <v>19</v>
      </c>
      <c r="D484" s="3" t="s">
        <v>55</v>
      </c>
      <c r="E484" s="4">
        <v>45728.774305555555</v>
      </c>
      <c r="F484" s="4">
        <v>45728.765277777777</v>
      </c>
      <c r="G484" s="4">
        <v>45728.822222222225</v>
      </c>
      <c r="I484" s="3" t="s">
        <v>73</v>
      </c>
      <c r="K484" s="5">
        <v>0</v>
      </c>
      <c r="L484" s="5">
        <v>69</v>
      </c>
      <c r="M484" s="3" t="s">
        <v>41</v>
      </c>
      <c r="N484" t="s">
        <v>100</v>
      </c>
      <c r="P484" s="3" t="s">
        <v>80</v>
      </c>
      <c r="Q484" s="2">
        <v>56.74</v>
      </c>
      <c r="R484" s="3" t="s">
        <v>75</v>
      </c>
      <c r="S484">
        <f>COUNTIF(A:A,A484)</f>
        <v>1</v>
      </c>
      <c r="T484" t="str">
        <f>IF(OR(H484="",LOWER(TRIM(H484&amp;""))="missing",LOWER(TRIM(H484&amp;""))=""),"Missing/",IFERROR(IF(OR(VALUE(H484)&lt;0,VALUE(H484)&gt;110),"Invalid","Valid"),"Check Format"))</f>
        <v>Missing/</v>
      </c>
      <c r="U484" t="str">
        <f>IF(Raw_Data[[#This Row],[Age_Check]]="Valid",H484,"")</f>
        <v/>
      </c>
      <c r="V484" t="str">
        <f>IF(OR(K484="",UPPER(TRIM(K484&amp;""))="",LOWER(TRIM(K484&amp;""))="",LOWER(TRIM(K484&amp;""))="",LOWER(TRIM(K484&amp;""))="missing"),"Missing/",IFERROR(IF(VALUE(K484)&lt;0,"Invalid","Valid"),"Check Format"))</f>
        <v>Valid</v>
      </c>
      <c r="W484" t="str">
        <f>IF(OR(E484="",F484=""),"Missing Date/Time",IFERROR(IF(F484&gt;E484,"Arrival After Appointment","OK"),"Check Format"))</f>
        <v>OK</v>
      </c>
      <c r="X484" t="str">
        <f>IF(OR(F484="",G484=""),"Missing Date/Time",IFERROR(IF(G484&lt;F484,"Discharge Before Arrival","OK"),"Check Format"))</f>
        <v>OK</v>
      </c>
    </row>
    <row r="485" spans="1:24" x14ac:dyDescent="0.25">
      <c r="A485" s="2" t="s">
        <v>935</v>
      </c>
      <c r="B485" s="2" t="s">
        <v>357</v>
      </c>
      <c r="C485" s="3" t="s">
        <v>29</v>
      </c>
      <c r="D485" s="3" t="s">
        <v>209</v>
      </c>
      <c r="E485" s="4">
        <v>45367.788194444445</v>
      </c>
      <c r="F485" s="4">
        <v>45367.776388888888</v>
      </c>
      <c r="G485" s="4">
        <v>45367.841666666667</v>
      </c>
      <c r="I485" s="3" t="s">
        <v>95</v>
      </c>
      <c r="J485" s="3" t="s">
        <v>150</v>
      </c>
      <c r="K485" s="5">
        <v>50</v>
      </c>
      <c r="L485" s="5">
        <v>27</v>
      </c>
      <c r="M485" s="3" t="s">
        <v>50</v>
      </c>
      <c r="N485" t="s">
        <v>69</v>
      </c>
      <c r="O485" s="5">
        <v>4</v>
      </c>
      <c r="P485" s="3" t="s">
        <v>42</v>
      </c>
      <c r="Q485" s="2">
        <v>169.59</v>
      </c>
      <c r="R485" s="3" t="s">
        <v>58</v>
      </c>
      <c r="S485">
        <f>COUNTIF(A:A,A485)</f>
        <v>1</v>
      </c>
      <c r="T485" t="str">
        <f>IF(OR(H485="",LOWER(TRIM(H485&amp;""))="missing",LOWER(TRIM(H485&amp;""))=""),"Missing/",IFERROR(IF(OR(VALUE(H485)&lt;0,VALUE(H485)&gt;110),"Invalid","Valid"),"Check Format"))</f>
        <v>Missing/</v>
      </c>
      <c r="U485" t="str">
        <f>IF(Raw_Data[[#This Row],[Age_Check]]="Valid",H485,"")</f>
        <v/>
      </c>
      <c r="V485" t="str">
        <f>IF(OR(K485="",UPPER(TRIM(K485&amp;""))="",LOWER(TRIM(K485&amp;""))="",LOWER(TRIM(K485&amp;""))="",LOWER(TRIM(K485&amp;""))="missing"),"Missing/",IFERROR(IF(VALUE(K485)&lt;0,"Invalid","Valid"),"Check Format"))</f>
        <v>Valid</v>
      </c>
      <c r="W485" t="str">
        <f>IF(OR(E485="",F485=""),"Missing Date/Time",IFERROR(IF(F485&gt;E485,"Arrival After Appointment","OK"),"Check Format"))</f>
        <v>OK</v>
      </c>
      <c r="X485" t="str">
        <f>IF(OR(F485="",G485=""),"Missing Date/Time",IFERROR(IF(G485&lt;F485,"Discharge Before Arrival","OK"),"Check Format"))</f>
        <v>OK</v>
      </c>
    </row>
    <row r="486" spans="1:24" x14ac:dyDescent="0.25">
      <c r="A486" s="2" t="s">
        <v>936</v>
      </c>
      <c r="B486" s="2" t="s">
        <v>937</v>
      </c>
      <c r="C486" s="3" t="s">
        <v>19</v>
      </c>
      <c r="D486" s="3" t="s">
        <v>115</v>
      </c>
      <c r="E486" s="4">
        <v>45581.385416666664</v>
      </c>
      <c r="F486" s="4">
        <v>45581.37222222222</v>
      </c>
      <c r="G486" s="4">
        <v>45581.477777777778</v>
      </c>
      <c r="I486" s="3" t="s">
        <v>90</v>
      </c>
      <c r="J486" s="3" t="s">
        <v>62</v>
      </c>
      <c r="K486" s="5">
        <v>86</v>
      </c>
      <c r="L486" s="5">
        <v>47</v>
      </c>
      <c r="O486" s="5">
        <v>0</v>
      </c>
      <c r="P486" s="3" t="s">
        <v>25</v>
      </c>
      <c r="Q486" s="2">
        <v>98.35</v>
      </c>
      <c r="R486" s="3" t="s">
        <v>43</v>
      </c>
      <c r="S486">
        <f>COUNTIF(A:A,A486)</f>
        <v>1</v>
      </c>
      <c r="T486" t="str">
        <f>IF(OR(H486="",LOWER(TRIM(H486&amp;""))="missing",LOWER(TRIM(H486&amp;""))=""),"Missing/",IFERROR(IF(OR(VALUE(H486)&lt;0,VALUE(H486)&gt;110),"Invalid","Valid"),"Check Format"))</f>
        <v>Missing/</v>
      </c>
      <c r="U486" t="str">
        <f>IF(Raw_Data[[#This Row],[Age_Check]]="Valid",H486,"")</f>
        <v/>
      </c>
      <c r="V486" t="str">
        <f>IF(OR(K486="",UPPER(TRIM(K486&amp;""))="",LOWER(TRIM(K486&amp;""))="",LOWER(TRIM(K486&amp;""))="",LOWER(TRIM(K486&amp;""))="missing"),"Missing/",IFERROR(IF(VALUE(K486)&lt;0,"Invalid","Valid"),"Check Format"))</f>
        <v>Valid</v>
      </c>
      <c r="W486" t="str">
        <f>IF(OR(E486="",F486=""),"Missing Date/Time",IFERROR(IF(F486&gt;E486,"Arrival After Appointment","OK"),"Check Format"))</f>
        <v>OK</v>
      </c>
      <c r="X486" t="str">
        <f>IF(OR(F486="",G486=""),"Missing Date/Time",IFERROR(IF(G486&lt;F486,"Discharge Before Arrival","OK"),"Check Format"))</f>
        <v>OK</v>
      </c>
    </row>
    <row r="487" spans="1:24" x14ac:dyDescent="0.25">
      <c r="A487" s="2" t="s">
        <v>938</v>
      </c>
      <c r="B487" s="2" t="s">
        <v>442</v>
      </c>
      <c r="C487" s="3" t="s">
        <v>46</v>
      </c>
      <c r="D487" s="3" t="s">
        <v>149</v>
      </c>
      <c r="E487" s="4" t="s">
        <v>939</v>
      </c>
      <c r="F487" s="4">
        <v>45976.605555555558</v>
      </c>
      <c r="G487" s="4">
        <v>45976.669444444444</v>
      </c>
      <c r="I487" s="3" t="s">
        <v>39</v>
      </c>
      <c r="J487" s="3" t="s">
        <v>67</v>
      </c>
      <c r="K487" s="5">
        <v>52</v>
      </c>
      <c r="L487" s="5">
        <v>37</v>
      </c>
      <c r="M487" s="3" t="s">
        <v>50</v>
      </c>
      <c r="N487" t="s">
        <v>69</v>
      </c>
      <c r="O487" s="5">
        <v>0</v>
      </c>
      <c r="P487" s="3" t="s">
        <v>25</v>
      </c>
      <c r="Q487" s="2">
        <v>125.1</v>
      </c>
      <c r="R487" s="3" t="s">
        <v>75</v>
      </c>
      <c r="S487">
        <f>COUNTIF(A:A,A487)</f>
        <v>1</v>
      </c>
      <c r="T487" t="str">
        <f>IF(OR(H487="",LOWER(TRIM(H487&amp;""))="missing",LOWER(TRIM(H487&amp;""))=""),"Missing/",IFERROR(IF(OR(VALUE(H487)&lt;0,VALUE(H487)&gt;110),"Invalid","Valid"),"Check Format"))</f>
        <v>Missing/</v>
      </c>
      <c r="U487" t="str">
        <f>IF(Raw_Data[[#This Row],[Age_Check]]="Valid",H487,"")</f>
        <v/>
      </c>
      <c r="V487" t="str">
        <f>IF(OR(K487="",UPPER(TRIM(K487&amp;""))="",LOWER(TRIM(K487&amp;""))="",LOWER(TRIM(K487&amp;""))="",LOWER(TRIM(K487&amp;""))="missing"),"Missing/",IFERROR(IF(VALUE(K487)&lt;0,"Invalid","Valid"),"Check Format"))</f>
        <v>Valid</v>
      </c>
      <c r="W487" t="str">
        <f>IF(OR(E487="",F487=""),"Missing Date/Time",IFERROR(IF(F487&gt;E487,"Arrival After Appointment","OK"),"Check Format"))</f>
        <v>OK</v>
      </c>
      <c r="X487" t="str">
        <f>IF(OR(F487="",G487=""),"Missing Date/Time",IFERROR(IF(G487&lt;F487,"Discharge Before Arrival","OK"),"Check Format"))</f>
        <v>OK</v>
      </c>
    </row>
    <row r="488" spans="1:24" x14ac:dyDescent="0.25">
      <c r="A488" s="2" t="s">
        <v>940</v>
      </c>
      <c r="B488" s="2" t="s">
        <v>941</v>
      </c>
      <c r="C488" s="3" t="s">
        <v>46</v>
      </c>
      <c r="D488" s="3" t="s">
        <v>47</v>
      </c>
      <c r="E488" s="4">
        <v>45787.614583333336</v>
      </c>
      <c r="F488" s="4">
        <v>45787.595138888886</v>
      </c>
      <c r="G488" s="4">
        <v>45787.72152777778</v>
      </c>
      <c r="H488" s="5">
        <v>145</v>
      </c>
      <c r="I488" s="3" t="s">
        <v>39</v>
      </c>
      <c r="J488" s="3" t="s">
        <v>67</v>
      </c>
      <c r="K488" s="5">
        <v>114</v>
      </c>
      <c r="L488" s="5">
        <v>40</v>
      </c>
      <c r="M488" s="3" t="s">
        <v>63</v>
      </c>
      <c r="N488" t="s">
        <v>91</v>
      </c>
      <c r="O488" s="5">
        <v>0</v>
      </c>
      <c r="P488" s="3" t="s">
        <v>80</v>
      </c>
      <c r="Q488" s="2">
        <v>203.79</v>
      </c>
      <c r="R488" s="3" t="s">
        <v>58</v>
      </c>
      <c r="S488">
        <f>COUNTIF(A:A,A488)</f>
        <v>1</v>
      </c>
      <c r="T488" t="str">
        <f>IF(OR(H488="",LOWER(TRIM(H488&amp;""))="missing",LOWER(TRIM(H488&amp;""))=""),"Missing/",IFERROR(IF(OR(VALUE(H488)&lt;0,VALUE(H488)&gt;110),"Invalid","Valid"),"Check Format"))</f>
        <v>Invalid</v>
      </c>
      <c r="U488" t="str">
        <f>IF(Raw_Data[[#This Row],[Age_Check]]="Valid",H488,"")</f>
        <v/>
      </c>
      <c r="V488" t="str">
        <f>IF(OR(K488="",UPPER(TRIM(K488&amp;""))="",LOWER(TRIM(K488&amp;""))="",LOWER(TRIM(K488&amp;""))="",LOWER(TRIM(K488&amp;""))="missing"),"Missing/",IFERROR(IF(VALUE(K488)&lt;0,"Invalid","Valid"),"Check Format"))</f>
        <v>Valid</v>
      </c>
      <c r="W488" t="str">
        <f>IF(OR(E488="",F488=""),"Missing Date/Time",IFERROR(IF(F488&gt;E488,"Arrival After Appointment","OK"),"Check Format"))</f>
        <v>OK</v>
      </c>
      <c r="X488" t="str">
        <f>IF(OR(F488="",G488=""),"Missing Date/Time",IFERROR(IF(G488&lt;F488,"Discharge Before Arrival","OK"),"Check Format"))</f>
        <v>OK</v>
      </c>
    </row>
    <row r="489" spans="1:24" x14ac:dyDescent="0.25">
      <c r="A489" s="2" t="s">
        <v>942</v>
      </c>
      <c r="B489" s="2" t="s">
        <v>369</v>
      </c>
      <c r="C489" s="3" t="s">
        <v>19</v>
      </c>
      <c r="D489" s="3" t="s">
        <v>20</v>
      </c>
      <c r="E489" s="4">
        <v>45338.482638888891</v>
      </c>
      <c r="F489" s="4">
        <v>45338.469444444447</v>
      </c>
      <c r="G489" s="4">
        <v>45338.575694444444</v>
      </c>
      <c r="H489" s="5">
        <v>145</v>
      </c>
      <c r="I489" s="3" t="s">
        <v>95</v>
      </c>
      <c r="J489" s="3" t="s">
        <v>67</v>
      </c>
      <c r="K489" s="5">
        <v>81</v>
      </c>
      <c r="L489" s="5">
        <v>53</v>
      </c>
      <c r="M489" s="3" t="s">
        <v>87</v>
      </c>
      <c r="N489" t="s">
        <v>69</v>
      </c>
      <c r="Q489" s="2">
        <v>159.47999999999999</v>
      </c>
      <c r="R489" s="3" t="s">
        <v>58</v>
      </c>
      <c r="S489">
        <f>COUNTIF(A:A,A489)</f>
        <v>1</v>
      </c>
      <c r="T489" t="str">
        <f>IF(OR(H489="",LOWER(TRIM(H489&amp;""))="missing",LOWER(TRIM(H489&amp;""))=""),"Missing/",IFERROR(IF(OR(VALUE(H489)&lt;0,VALUE(H489)&gt;110),"Invalid","Valid"),"Check Format"))</f>
        <v>Invalid</v>
      </c>
      <c r="U489" t="str">
        <f>IF(Raw_Data[[#This Row],[Age_Check]]="Valid",H489,"")</f>
        <v/>
      </c>
      <c r="V489" t="str">
        <f>IF(OR(K489="",UPPER(TRIM(K489&amp;""))="",LOWER(TRIM(K489&amp;""))="",LOWER(TRIM(K489&amp;""))="",LOWER(TRIM(K489&amp;""))="missing"),"Missing/",IFERROR(IF(VALUE(K489)&lt;0,"Invalid","Valid"),"Check Format"))</f>
        <v>Valid</v>
      </c>
      <c r="W489" t="str">
        <f>IF(OR(E489="",F489=""),"Missing Date/Time",IFERROR(IF(F489&gt;E489,"Arrival After Appointment","OK"),"Check Format"))</f>
        <v>OK</v>
      </c>
      <c r="X489" t="str">
        <f>IF(OR(F489="",G489=""),"Missing Date/Time",IFERROR(IF(G489&lt;F489,"Discharge Before Arrival","OK"),"Check Format"))</f>
        <v>OK</v>
      </c>
    </row>
    <row r="490" spans="1:24" x14ac:dyDescent="0.25">
      <c r="A490" s="2" t="s">
        <v>943</v>
      </c>
      <c r="B490" s="2" t="s">
        <v>196</v>
      </c>
      <c r="C490" s="3" t="s">
        <v>94</v>
      </c>
      <c r="D490" s="3" t="s">
        <v>106</v>
      </c>
      <c r="E490" s="4">
        <v>45495.402777777781</v>
      </c>
      <c r="F490" s="4">
        <v>45495.395833333336</v>
      </c>
      <c r="G490" s="4">
        <v>45495.438194444447</v>
      </c>
      <c r="H490" s="5">
        <v>93</v>
      </c>
      <c r="I490" s="3" t="s">
        <v>95</v>
      </c>
      <c r="J490" s="3" t="s">
        <v>67</v>
      </c>
      <c r="K490" s="5">
        <v>12</v>
      </c>
      <c r="L490" s="5">
        <v>39</v>
      </c>
      <c r="M490" s="3" t="s">
        <v>87</v>
      </c>
      <c r="N490" t="s">
        <v>74</v>
      </c>
      <c r="O490" s="5">
        <v>6</v>
      </c>
      <c r="P490" s="3" t="s">
        <v>80</v>
      </c>
      <c r="Q490" s="2">
        <v>92.89</v>
      </c>
      <c r="R490" s="3" t="s">
        <v>58</v>
      </c>
      <c r="S490">
        <f>COUNTIF(A:A,A490)</f>
        <v>1</v>
      </c>
      <c r="T490" t="str">
        <f>IF(OR(H490="",LOWER(TRIM(H490&amp;""))="missing",LOWER(TRIM(H490&amp;""))=""),"Missing/",IFERROR(IF(OR(VALUE(H490)&lt;0,VALUE(H490)&gt;110),"Invalid","Valid"),"Check Format"))</f>
        <v>Valid</v>
      </c>
      <c r="U490">
        <f>IF(Raw_Data[[#This Row],[Age_Check]]="Valid",H490,"")</f>
        <v>93</v>
      </c>
      <c r="V490" t="str">
        <f>IF(OR(K490="",UPPER(TRIM(K490&amp;""))="",LOWER(TRIM(K490&amp;""))="",LOWER(TRIM(K490&amp;""))="",LOWER(TRIM(K490&amp;""))="missing"),"Missing/",IFERROR(IF(VALUE(K490)&lt;0,"Invalid","Valid"),"Check Format"))</f>
        <v>Valid</v>
      </c>
      <c r="W490" t="str">
        <f>IF(OR(E490="",F490=""),"Missing Date/Time",IFERROR(IF(F490&gt;E490,"Arrival After Appointment","OK"),"Check Format"))</f>
        <v>OK</v>
      </c>
      <c r="X490" t="str">
        <f>IF(OR(F490="",G490=""),"Missing Date/Time",IFERROR(IF(G490&lt;F490,"Discharge Before Arrival","OK"),"Check Format"))</f>
        <v>OK</v>
      </c>
    </row>
    <row r="491" spans="1:24" x14ac:dyDescent="0.25">
      <c r="A491" s="2" t="s">
        <v>944</v>
      </c>
      <c r="B491" s="2" t="s">
        <v>176</v>
      </c>
      <c r="C491" s="3" t="s">
        <v>94</v>
      </c>
      <c r="D491" s="3" t="s">
        <v>99</v>
      </c>
      <c r="E491" s="4">
        <v>45996.416666666664</v>
      </c>
      <c r="F491" s="4">
        <v>45996.400694444441</v>
      </c>
      <c r="G491" s="4">
        <v>45996.472916666666</v>
      </c>
      <c r="H491" s="5">
        <v>10</v>
      </c>
      <c r="J491" s="3" t="s">
        <v>22</v>
      </c>
      <c r="K491" s="5">
        <v>39</v>
      </c>
      <c r="L491" s="5">
        <v>42</v>
      </c>
      <c r="N491" t="s">
        <v>74</v>
      </c>
      <c r="O491" s="5">
        <v>6</v>
      </c>
      <c r="P491" s="3" t="s">
        <v>80</v>
      </c>
      <c r="Q491" s="2">
        <v>244.06</v>
      </c>
      <c r="R491" s="3" t="s">
        <v>26</v>
      </c>
      <c r="S491">
        <f>COUNTIF(A:A,A491)</f>
        <v>1</v>
      </c>
      <c r="T491" t="str">
        <f>IF(OR(H491="",LOWER(TRIM(H491&amp;""))="missing",LOWER(TRIM(H491&amp;""))=""),"Missing/",IFERROR(IF(OR(VALUE(H491)&lt;0,VALUE(H491)&gt;110),"Invalid","Valid"),"Check Format"))</f>
        <v>Valid</v>
      </c>
      <c r="U491">
        <f>IF(Raw_Data[[#This Row],[Age_Check]]="Valid",H491,"")</f>
        <v>10</v>
      </c>
      <c r="V491" t="str">
        <f>IF(OR(K491="",UPPER(TRIM(K491&amp;""))="",LOWER(TRIM(K491&amp;""))="",LOWER(TRIM(K491&amp;""))="",LOWER(TRIM(K491&amp;""))="missing"),"Missing/",IFERROR(IF(VALUE(K491)&lt;0,"Invalid","Valid"),"Check Format"))</f>
        <v>Valid</v>
      </c>
      <c r="W491" t="str">
        <f>IF(OR(E491="",F491=""),"Missing Date/Time",IFERROR(IF(F491&gt;E491,"Arrival After Appointment","OK"),"Check Format"))</f>
        <v>OK</v>
      </c>
      <c r="X491" t="str">
        <f>IF(OR(F491="",G491=""),"Missing Date/Time",IFERROR(IF(G491&lt;F491,"Discharge Before Arrival","OK"),"Check Format"))</f>
        <v>OK</v>
      </c>
    </row>
    <row r="492" spans="1:24" x14ac:dyDescent="0.25">
      <c r="A492" s="2" t="s">
        <v>945</v>
      </c>
      <c r="B492" s="2" t="s">
        <v>946</v>
      </c>
      <c r="D492" s="3" t="s">
        <v>99</v>
      </c>
      <c r="E492" s="4">
        <v>45611.520833333336</v>
      </c>
      <c r="F492" s="4">
        <v>45611.515277777777</v>
      </c>
      <c r="G492" s="4">
        <v>45611.586805555555</v>
      </c>
      <c r="I492" s="3" t="s">
        <v>90</v>
      </c>
      <c r="K492" s="5">
        <v>58</v>
      </c>
      <c r="L492" s="5">
        <v>37</v>
      </c>
      <c r="N492" t="s">
        <v>100</v>
      </c>
      <c r="O492" s="5">
        <v>6</v>
      </c>
      <c r="P492" s="3" t="s">
        <v>25</v>
      </c>
      <c r="Q492" s="2">
        <v>281.18</v>
      </c>
      <c r="R492" s="3" t="s">
        <v>26</v>
      </c>
      <c r="S492">
        <f>COUNTIF(A:A,A492)</f>
        <v>1</v>
      </c>
      <c r="T492" t="str">
        <f>IF(OR(H492="",LOWER(TRIM(H492&amp;""))="missing",LOWER(TRIM(H492&amp;""))=""),"Missing/",IFERROR(IF(OR(VALUE(H492)&lt;0,VALUE(H492)&gt;110),"Invalid","Valid"),"Check Format"))</f>
        <v>Missing/</v>
      </c>
      <c r="U492" t="str">
        <f>IF(Raw_Data[[#This Row],[Age_Check]]="Valid",H492,"")</f>
        <v/>
      </c>
      <c r="V492" t="str">
        <f>IF(OR(K492="",UPPER(TRIM(K492&amp;""))="",LOWER(TRIM(K492&amp;""))="",LOWER(TRIM(K492&amp;""))="",LOWER(TRIM(K492&amp;""))="missing"),"Missing/",IFERROR(IF(VALUE(K492)&lt;0,"Invalid","Valid"),"Check Format"))</f>
        <v>Valid</v>
      </c>
      <c r="W492" t="str">
        <f>IF(OR(E492="",F492=""),"Missing Date/Time",IFERROR(IF(F492&gt;E492,"Arrival After Appointment","OK"),"Check Format"))</f>
        <v>OK</v>
      </c>
      <c r="X492" t="str">
        <f>IF(OR(F492="",G492=""),"Missing Date/Time",IFERROR(IF(G492&lt;F492,"Discharge Before Arrival","OK"),"Check Format"))</f>
        <v>OK</v>
      </c>
    </row>
    <row r="493" spans="1:24" x14ac:dyDescent="0.25">
      <c r="A493" s="2" t="s">
        <v>947</v>
      </c>
      <c r="B493" s="2" t="s">
        <v>609</v>
      </c>
      <c r="C493" s="3" t="s">
        <v>94</v>
      </c>
      <c r="D493" s="3" t="s">
        <v>174</v>
      </c>
      <c r="E493" s="4">
        <v>45695.527777777781</v>
      </c>
      <c r="F493" s="4">
        <v>45695.518055555556</v>
      </c>
      <c r="G493" s="4">
        <v>45695.62777777778</v>
      </c>
      <c r="I493" s="3" t="s">
        <v>90</v>
      </c>
      <c r="J493" s="3" t="s">
        <v>62</v>
      </c>
      <c r="K493" s="5">
        <v>66</v>
      </c>
      <c r="L493" s="5">
        <v>78</v>
      </c>
      <c r="M493" s="3" t="s">
        <v>41</v>
      </c>
      <c r="N493" t="s">
        <v>69</v>
      </c>
      <c r="O493" s="5">
        <v>6</v>
      </c>
      <c r="P493" s="3" t="s">
        <v>80</v>
      </c>
      <c r="Q493" s="2">
        <v>190.24</v>
      </c>
      <c r="R493" s="3" t="s">
        <v>58</v>
      </c>
      <c r="S493">
        <f>COUNTIF(A:A,A493)</f>
        <v>1</v>
      </c>
      <c r="T493" t="str">
        <f>IF(OR(H493="",LOWER(TRIM(H493&amp;""))="missing",LOWER(TRIM(H493&amp;""))=""),"Missing/",IFERROR(IF(OR(VALUE(H493)&lt;0,VALUE(H493)&gt;110),"Invalid","Valid"),"Check Format"))</f>
        <v>Missing/</v>
      </c>
      <c r="U493" t="str">
        <f>IF(Raw_Data[[#This Row],[Age_Check]]="Valid",H493,"")</f>
        <v/>
      </c>
      <c r="V493" t="str">
        <f>IF(OR(K493="",UPPER(TRIM(K493&amp;""))="",LOWER(TRIM(K493&amp;""))="",LOWER(TRIM(K493&amp;""))="",LOWER(TRIM(K493&amp;""))="missing"),"Missing/",IFERROR(IF(VALUE(K493)&lt;0,"Invalid","Valid"),"Check Format"))</f>
        <v>Valid</v>
      </c>
      <c r="W493" t="str">
        <f>IF(OR(E493="",F493=""),"Missing Date/Time",IFERROR(IF(F493&gt;E493,"Arrival After Appointment","OK"),"Check Format"))</f>
        <v>OK</v>
      </c>
      <c r="X493" t="str">
        <f>IF(OR(F493="",G493=""),"Missing Date/Time",IFERROR(IF(G493&lt;F493,"Discharge Before Arrival","OK"),"Check Format"))</f>
        <v>OK</v>
      </c>
    </row>
    <row r="494" spans="1:24" x14ac:dyDescent="0.25">
      <c r="A494" s="2" t="s">
        <v>948</v>
      </c>
      <c r="B494" s="2" t="s">
        <v>949</v>
      </c>
      <c r="C494" s="3" t="s">
        <v>46</v>
      </c>
      <c r="D494" s="3" t="s">
        <v>23</v>
      </c>
      <c r="E494" s="4">
        <v>45776.663194444445</v>
      </c>
      <c r="F494" s="4">
        <v>45776.645138888889</v>
      </c>
      <c r="G494" s="4">
        <v>45776.694444444445</v>
      </c>
      <c r="H494" s="5">
        <v>145</v>
      </c>
      <c r="J494" s="3" t="s">
        <v>2639</v>
      </c>
      <c r="K494" s="5">
        <v>0</v>
      </c>
      <c r="L494" s="5">
        <v>45</v>
      </c>
      <c r="N494" t="s">
        <v>74</v>
      </c>
      <c r="O494" s="5">
        <v>6</v>
      </c>
      <c r="Q494" s="2">
        <v>175.49</v>
      </c>
      <c r="R494" s="3" t="s">
        <v>58</v>
      </c>
      <c r="S494">
        <f>COUNTIF(A:A,A494)</f>
        <v>1</v>
      </c>
      <c r="T494" t="str">
        <f>IF(OR(H494="",LOWER(TRIM(H494&amp;""))="missing",LOWER(TRIM(H494&amp;""))=""),"Missing/",IFERROR(IF(OR(VALUE(H494)&lt;0,VALUE(H494)&gt;110),"Invalid","Valid"),"Check Format"))</f>
        <v>Invalid</v>
      </c>
      <c r="U494" t="str">
        <f>IF(Raw_Data[[#This Row],[Age_Check]]="Valid",H494,"")</f>
        <v/>
      </c>
      <c r="V494" t="str">
        <f>IF(OR(K494="",UPPER(TRIM(K494&amp;""))="",LOWER(TRIM(K494&amp;""))="",LOWER(TRIM(K494&amp;""))="",LOWER(TRIM(K494&amp;""))="missing"),"Missing/",IFERROR(IF(VALUE(K494)&lt;0,"Invalid","Valid"),"Check Format"))</f>
        <v>Valid</v>
      </c>
      <c r="W494" t="str">
        <f>IF(OR(E494="",F494=""),"Missing Date/Time",IFERROR(IF(F494&gt;E494,"Arrival After Appointment","OK"),"Check Format"))</f>
        <v>OK</v>
      </c>
      <c r="X494" t="str">
        <f>IF(OR(F494="",G494=""),"Missing Date/Time",IFERROR(IF(G494&lt;F494,"Discharge Before Arrival","OK"),"Check Format"))</f>
        <v>OK</v>
      </c>
    </row>
    <row r="495" spans="1:24" x14ac:dyDescent="0.25">
      <c r="A495" s="2" t="s">
        <v>950</v>
      </c>
      <c r="B495" s="2" t="s">
        <v>626</v>
      </c>
      <c r="C495" s="3" t="s">
        <v>19</v>
      </c>
      <c r="D495" s="3" t="s">
        <v>106</v>
      </c>
      <c r="E495" s="4">
        <v>46017.611111111109</v>
      </c>
      <c r="F495" s="4">
        <v>46017.594444444447</v>
      </c>
      <c r="H495" s="5">
        <v>66</v>
      </c>
      <c r="I495" s="3" t="s">
        <v>95</v>
      </c>
      <c r="K495" s="5">
        <v>103</v>
      </c>
      <c r="L495" s="5">
        <v>44</v>
      </c>
      <c r="M495" s="3" t="s">
        <v>50</v>
      </c>
      <c r="N495" t="s">
        <v>24</v>
      </c>
      <c r="O495" s="5">
        <v>0</v>
      </c>
      <c r="P495" s="3" t="s">
        <v>80</v>
      </c>
      <c r="Q495" s="2">
        <v>133.91999999999999</v>
      </c>
      <c r="R495" s="3" t="s">
        <v>26</v>
      </c>
      <c r="S495">
        <f>COUNTIF(A:A,A495)</f>
        <v>1</v>
      </c>
      <c r="T495" t="str">
        <f>IF(OR(H495="",LOWER(TRIM(H495&amp;""))="missing",LOWER(TRIM(H495&amp;""))=""),"Missing/",IFERROR(IF(OR(VALUE(H495)&lt;0,VALUE(H495)&gt;110),"Invalid","Valid"),"Check Format"))</f>
        <v>Valid</v>
      </c>
      <c r="U495">
        <f>IF(Raw_Data[[#This Row],[Age_Check]]="Valid",H495,"")</f>
        <v>66</v>
      </c>
      <c r="V495" t="str">
        <f>IF(OR(K495="",UPPER(TRIM(K495&amp;""))="",LOWER(TRIM(K495&amp;""))="",LOWER(TRIM(K495&amp;""))="",LOWER(TRIM(K495&amp;""))="missing"),"Missing/",IFERROR(IF(VALUE(K495)&lt;0,"Invalid","Valid"),"Check Format"))</f>
        <v>Valid</v>
      </c>
      <c r="W495" t="str">
        <f>IF(OR(E495="",F495=""),"Missing Date/Time",IFERROR(IF(F495&gt;E495,"Arrival After Appointment","OK"),"Check Format"))</f>
        <v>OK</v>
      </c>
      <c r="X495" t="str">
        <f>IF(OR(F495="",G495=""),"Missing Date/Time",IFERROR(IF(G495&lt;F495,"Discharge Before Arrival","OK"),"Check Format"))</f>
        <v>Missing Date/Time</v>
      </c>
    </row>
    <row r="496" spans="1:24" x14ac:dyDescent="0.25">
      <c r="A496" s="2" t="s">
        <v>951</v>
      </c>
      <c r="B496" s="2" t="s">
        <v>822</v>
      </c>
      <c r="C496" s="3" t="s">
        <v>46</v>
      </c>
      <c r="D496" s="3" t="s">
        <v>72</v>
      </c>
      <c r="E496" s="4">
        <v>45993.305555555555</v>
      </c>
      <c r="F496" s="4">
        <v>45700.292361111111</v>
      </c>
      <c r="G496" s="4">
        <v>45700.335416666669</v>
      </c>
      <c r="H496" s="5">
        <v>83</v>
      </c>
      <c r="I496" s="3" t="s">
        <v>95</v>
      </c>
      <c r="J496" s="3" t="s">
        <v>62</v>
      </c>
      <c r="K496" s="5">
        <v>15</v>
      </c>
      <c r="L496" s="5">
        <v>28</v>
      </c>
      <c r="M496" s="3" t="s">
        <v>63</v>
      </c>
      <c r="P496" s="3" t="s">
        <v>25</v>
      </c>
      <c r="Q496" s="2">
        <v>76.959999999999994</v>
      </c>
      <c r="R496" s="3" t="s">
        <v>75</v>
      </c>
      <c r="S496">
        <f>COUNTIF(A:A,A496)</f>
        <v>1</v>
      </c>
      <c r="T496" t="str">
        <f>IF(OR(H496="",LOWER(TRIM(H496&amp;""))="missing",LOWER(TRIM(H496&amp;""))=""),"Missing/",IFERROR(IF(OR(VALUE(H496)&lt;0,VALUE(H496)&gt;110),"Invalid","Valid"),"Check Format"))</f>
        <v>Valid</v>
      </c>
      <c r="U496">
        <f>IF(Raw_Data[[#This Row],[Age_Check]]="Valid",H496,"")</f>
        <v>83</v>
      </c>
      <c r="V496" t="str">
        <f>IF(OR(K496="",UPPER(TRIM(K496&amp;""))="",LOWER(TRIM(K496&amp;""))="",LOWER(TRIM(K496&amp;""))="",LOWER(TRIM(K496&amp;""))="missing"),"Missing/",IFERROR(IF(VALUE(K496)&lt;0,"Invalid","Valid"),"Check Format"))</f>
        <v>Valid</v>
      </c>
      <c r="W496" t="str">
        <f>IF(OR(E496="",F496=""),"Missing Date/Time",IFERROR(IF(F496&gt;E496,"Arrival After Appointment","OK"),"Check Format"))</f>
        <v>OK</v>
      </c>
      <c r="X496" t="str">
        <f>IF(OR(F496="",G496=""),"Missing Date/Time",IFERROR(IF(G496&lt;F496,"Discharge Before Arrival","OK"),"Check Format"))</f>
        <v>OK</v>
      </c>
    </row>
    <row r="497" spans="1:24" x14ac:dyDescent="0.25">
      <c r="A497" s="2" t="s">
        <v>952</v>
      </c>
      <c r="B497" s="2" t="s">
        <v>435</v>
      </c>
      <c r="C497" s="3" t="s">
        <v>94</v>
      </c>
      <c r="D497" s="3" t="s">
        <v>23</v>
      </c>
      <c r="E497" s="4" t="s">
        <v>953</v>
      </c>
      <c r="F497" s="4">
        <v>45430.402777777781</v>
      </c>
      <c r="G497" s="4">
        <v>45430.457638888889</v>
      </c>
      <c r="I497" s="3" t="s">
        <v>73</v>
      </c>
      <c r="J497" s="3" t="s">
        <v>62</v>
      </c>
      <c r="K497" s="5">
        <v>37</v>
      </c>
      <c r="L497" s="5">
        <v>42</v>
      </c>
      <c r="M497" s="3" t="s">
        <v>32</v>
      </c>
      <c r="N497" t="s">
        <v>91</v>
      </c>
      <c r="O497" s="5">
        <v>6</v>
      </c>
      <c r="P497" s="3" t="s">
        <v>80</v>
      </c>
      <c r="Q497" s="2">
        <v>278.58999999999997</v>
      </c>
      <c r="R497" s="3" t="s">
        <v>58</v>
      </c>
      <c r="S497">
        <f>COUNTIF(A:A,A497)</f>
        <v>1</v>
      </c>
      <c r="T497" t="str">
        <f>IF(OR(H497="",LOWER(TRIM(H497&amp;""))="missing",LOWER(TRIM(H497&amp;""))=""),"Missing/",IFERROR(IF(OR(VALUE(H497)&lt;0,VALUE(H497)&gt;110),"Invalid","Valid"),"Check Format"))</f>
        <v>Missing/</v>
      </c>
      <c r="U497" t="str">
        <f>IF(Raw_Data[[#This Row],[Age_Check]]="Valid",H497,"")</f>
        <v/>
      </c>
      <c r="V497" t="str">
        <f>IF(OR(K497="",UPPER(TRIM(K497&amp;""))="",LOWER(TRIM(K497&amp;""))="",LOWER(TRIM(K497&amp;""))="",LOWER(TRIM(K497&amp;""))="missing"),"Missing/",IFERROR(IF(VALUE(K497)&lt;0,"Invalid","Valid"),"Check Format"))</f>
        <v>Valid</v>
      </c>
      <c r="W497" t="str">
        <f>IF(OR(E497="",F497=""),"Missing Date/Time",IFERROR(IF(F497&gt;E497,"Arrival After Appointment","OK"),"Check Format"))</f>
        <v>OK</v>
      </c>
      <c r="X497" t="str">
        <f>IF(OR(F497="",G497=""),"Missing Date/Time",IFERROR(IF(G497&lt;F497,"Discharge Before Arrival","OK"),"Check Format"))</f>
        <v>OK</v>
      </c>
    </row>
    <row r="498" spans="1:24" x14ac:dyDescent="0.25">
      <c r="A498" s="2" t="s">
        <v>954</v>
      </c>
      <c r="B498" s="2" t="s">
        <v>269</v>
      </c>
      <c r="C498" s="3" t="s">
        <v>46</v>
      </c>
      <c r="D498" s="3" t="s">
        <v>61</v>
      </c>
      <c r="E498" s="4">
        <v>45935.302083333336</v>
      </c>
      <c r="F498" s="4">
        <v>45935.285416666666</v>
      </c>
      <c r="G498" s="4">
        <v>45935.35833333333</v>
      </c>
      <c r="H498" s="5">
        <v>145</v>
      </c>
      <c r="I498" s="3" t="s">
        <v>73</v>
      </c>
      <c r="J498" s="3" t="s">
        <v>22</v>
      </c>
      <c r="K498" s="5">
        <v>71</v>
      </c>
      <c r="L498" s="5">
        <v>10</v>
      </c>
      <c r="M498" s="3" t="s">
        <v>23</v>
      </c>
      <c r="P498" s="3" t="s">
        <v>80</v>
      </c>
      <c r="Q498" s="2">
        <v>180.57</v>
      </c>
      <c r="R498" s="3" t="s">
        <v>75</v>
      </c>
      <c r="S498">
        <f>COUNTIF(A:A,A498)</f>
        <v>1</v>
      </c>
      <c r="T498" t="str">
        <f>IF(OR(H498="",LOWER(TRIM(H498&amp;""))="missing",LOWER(TRIM(H498&amp;""))=""),"Missing/",IFERROR(IF(OR(VALUE(H498)&lt;0,VALUE(H498)&gt;110),"Invalid","Valid"),"Check Format"))</f>
        <v>Invalid</v>
      </c>
      <c r="U498" t="str">
        <f>IF(Raw_Data[[#This Row],[Age_Check]]="Valid",H498,"")</f>
        <v/>
      </c>
      <c r="V498" t="str">
        <f>IF(OR(K498="",UPPER(TRIM(K498&amp;""))="",LOWER(TRIM(K498&amp;""))="",LOWER(TRIM(K498&amp;""))="",LOWER(TRIM(K498&amp;""))="missing"),"Missing/",IFERROR(IF(VALUE(K498)&lt;0,"Invalid","Valid"),"Check Format"))</f>
        <v>Valid</v>
      </c>
      <c r="W498" t="str">
        <f>IF(OR(E498="",F498=""),"Missing Date/Time",IFERROR(IF(F498&gt;E498,"Arrival After Appointment","OK"),"Check Format"))</f>
        <v>OK</v>
      </c>
      <c r="X498" t="str">
        <f>IF(OR(F498="",G498=""),"Missing Date/Time",IFERROR(IF(G498&lt;F498,"Discharge Before Arrival","OK"),"Check Format"))</f>
        <v>OK</v>
      </c>
    </row>
    <row r="499" spans="1:24" x14ac:dyDescent="0.25">
      <c r="A499" s="2" t="s">
        <v>955</v>
      </c>
      <c r="B499" s="2" t="s">
        <v>697</v>
      </c>
      <c r="C499" s="3" t="s">
        <v>46</v>
      </c>
      <c r="D499" s="3" t="s">
        <v>38</v>
      </c>
      <c r="E499" s="4">
        <v>45952.559027777781</v>
      </c>
      <c r="F499" s="4">
        <v>45952.554861111108</v>
      </c>
      <c r="H499" s="5">
        <v>18</v>
      </c>
      <c r="I499" s="3" t="s">
        <v>95</v>
      </c>
      <c r="J499" s="3" t="s">
        <v>22</v>
      </c>
      <c r="K499" s="5">
        <v>99</v>
      </c>
      <c r="L499" s="5">
        <v>21</v>
      </c>
      <c r="M499" s="3" t="s">
        <v>32</v>
      </c>
      <c r="N499" t="s">
        <v>74</v>
      </c>
      <c r="O499" s="5">
        <v>3</v>
      </c>
      <c r="P499" s="3" t="s">
        <v>80</v>
      </c>
      <c r="Q499" s="2">
        <v>134.28</v>
      </c>
      <c r="R499" s="3" t="s">
        <v>58</v>
      </c>
      <c r="S499">
        <f>COUNTIF(A:A,A499)</f>
        <v>1</v>
      </c>
      <c r="T499" t="str">
        <f>IF(OR(H499="",LOWER(TRIM(H499&amp;""))="missing",LOWER(TRIM(H499&amp;""))=""),"Missing/",IFERROR(IF(OR(VALUE(H499)&lt;0,VALUE(H499)&gt;110),"Invalid","Valid"),"Check Format"))</f>
        <v>Valid</v>
      </c>
      <c r="U499">
        <f>IF(Raw_Data[[#This Row],[Age_Check]]="Valid",H499,"")</f>
        <v>18</v>
      </c>
      <c r="V499" t="str">
        <f>IF(OR(K499="",UPPER(TRIM(K499&amp;""))="",LOWER(TRIM(K499&amp;""))="",LOWER(TRIM(K499&amp;""))="",LOWER(TRIM(K499&amp;""))="missing"),"Missing/",IFERROR(IF(VALUE(K499)&lt;0,"Invalid","Valid"),"Check Format"))</f>
        <v>Valid</v>
      </c>
      <c r="W499" t="str">
        <f>IF(OR(E499="",F499=""),"Missing Date/Time",IFERROR(IF(F499&gt;E499,"Arrival After Appointment","OK"),"Check Format"))</f>
        <v>OK</v>
      </c>
      <c r="X499" t="str">
        <f>IF(OR(F499="",G499=""),"Missing Date/Time",IFERROR(IF(G499&lt;F499,"Discharge Before Arrival","OK"),"Check Format"))</f>
        <v>Missing Date/Time</v>
      </c>
    </row>
    <row r="500" spans="1:24" x14ac:dyDescent="0.25">
      <c r="A500" s="2" t="s">
        <v>956</v>
      </c>
      <c r="B500" s="2" t="s">
        <v>957</v>
      </c>
      <c r="C500" s="3" t="s">
        <v>29</v>
      </c>
      <c r="D500" s="3" t="s">
        <v>72</v>
      </c>
      <c r="E500" s="4">
        <v>45412.444444444445</v>
      </c>
      <c r="F500" s="4">
        <v>45412.433333333334</v>
      </c>
      <c r="G500" s="4">
        <v>45412.496527777781</v>
      </c>
      <c r="H500" s="5">
        <v>77</v>
      </c>
      <c r="I500" s="3" t="s">
        <v>95</v>
      </c>
      <c r="J500" s="3" t="s">
        <v>67</v>
      </c>
      <c r="K500" s="5">
        <v>58</v>
      </c>
      <c r="L500" s="5">
        <v>17</v>
      </c>
      <c r="M500" s="3" t="s">
        <v>63</v>
      </c>
      <c r="N500" t="s">
        <v>69</v>
      </c>
      <c r="O500" s="5">
        <v>0</v>
      </c>
      <c r="P500" s="3" t="s">
        <v>80</v>
      </c>
      <c r="Q500" s="2">
        <v>196.86</v>
      </c>
      <c r="R500" s="3" t="s">
        <v>75</v>
      </c>
      <c r="S500">
        <f>COUNTIF(A:A,A500)</f>
        <v>1</v>
      </c>
      <c r="T500" t="str">
        <f>IF(OR(H500="",LOWER(TRIM(H500&amp;""))="missing",LOWER(TRIM(H500&amp;""))=""),"Missing/",IFERROR(IF(OR(VALUE(H500)&lt;0,VALUE(H500)&gt;110),"Invalid","Valid"),"Check Format"))</f>
        <v>Valid</v>
      </c>
      <c r="U500">
        <f>IF(Raw_Data[[#This Row],[Age_Check]]="Valid",H500,"")</f>
        <v>77</v>
      </c>
      <c r="V500" t="str">
        <f>IF(OR(K500="",UPPER(TRIM(K500&amp;""))="",LOWER(TRIM(K500&amp;""))="",LOWER(TRIM(K500&amp;""))="",LOWER(TRIM(K500&amp;""))="missing"),"Missing/",IFERROR(IF(VALUE(K500)&lt;0,"Invalid","Valid"),"Check Format"))</f>
        <v>Valid</v>
      </c>
      <c r="W500" t="str">
        <f>IF(OR(E500="",F500=""),"Missing Date/Time",IFERROR(IF(F500&gt;E500,"Arrival After Appointment","OK"),"Check Format"))</f>
        <v>OK</v>
      </c>
      <c r="X500" t="str">
        <f>IF(OR(F500="",G500=""),"Missing Date/Time",IFERROR(IF(G500&lt;F500,"Discharge Before Arrival","OK"),"Check Format"))</f>
        <v>OK</v>
      </c>
    </row>
    <row r="501" spans="1:24" x14ac:dyDescent="0.25">
      <c r="A501" s="2" t="s">
        <v>958</v>
      </c>
      <c r="B501" s="2" t="s">
        <v>229</v>
      </c>
      <c r="C501" s="3" t="s">
        <v>94</v>
      </c>
      <c r="D501" s="3" t="s">
        <v>106</v>
      </c>
      <c r="E501" s="4">
        <v>45648.375</v>
      </c>
      <c r="F501" s="4">
        <v>45648.363194444442</v>
      </c>
      <c r="G501" s="4">
        <v>45648.438888888886</v>
      </c>
      <c r="I501" s="3" t="s">
        <v>95</v>
      </c>
      <c r="J501" s="3" t="s">
        <v>150</v>
      </c>
      <c r="K501" s="5">
        <v>53</v>
      </c>
      <c r="L501" s="5">
        <v>39</v>
      </c>
      <c r="M501" s="3" t="s">
        <v>87</v>
      </c>
      <c r="N501" t="s">
        <v>24</v>
      </c>
      <c r="O501" s="5">
        <v>6</v>
      </c>
      <c r="P501" s="3" t="s">
        <v>80</v>
      </c>
      <c r="R501" s="3" t="s">
        <v>75</v>
      </c>
      <c r="S501">
        <f>COUNTIF(A:A,A501)</f>
        <v>1</v>
      </c>
      <c r="T501" t="str">
        <f>IF(OR(H501="",LOWER(TRIM(H501&amp;""))="missing",LOWER(TRIM(H501&amp;""))=""),"Missing/",IFERROR(IF(OR(VALUE(H501)&lt;0,VALUE(H501)&gt;110),"Invalid","Valid"),"Check Format"))</f>
        <v>Missing/</v>
      </c>
      <c r="U501" t="str">
        <f>IF(Raw_Data[[#This Row],[Age_Check]]="Valid",H501,"")</f>
        <v/>
      </c>
      <c r="V501" t="str">
        <f>IF(OR(K501="",UPPER(TRIM(K501&amp;""))="",LOWER(TRIM(K501&amp;""))="",LOWER(TRIM(K501&amp;""))="",LOWER(TRIM(K501&amp;""))="missing"),"Missing/",IFERROR(IF(VALUE(K501)&lt;0,"Invalid","Valid"),"Check Format"))</f>
        <v>Valid</v>
      </c>
      <c r="W501" t="str">
        <f>IF(OR(E501="",F501=""),"Missing Date/Time",IFERROR(IF(F501&gt;E501,"Arrival After Appointment","OK"),"Check Format"))</f>
        <v>OK</v>
      </c>
      <c r="X501" t="str">
        <f>IF(OR(F501="",G501=""),"Missing Date/Time",IFERROR(IF(G501&lt;F501,"Discharge Before Arrival","OK"),"Check Format"))</f>
        <v>OK</v>
      </c>
    </row>
    <row r="502" spans="1:24" x14ac:dyDescent="0.25">
      <c r="A502" s="2" t="s">
        <v>959</v>
      </c>
      <c r="B502" s="2" t="s">
        <v>803</v>
      </c>
      <c r="C502" s="3" t="s">
        <v>94</v>
      </c>
      <c r="D502" s="3" t="s">
        <v>23</v>
      </c>
      <c r="E502" s="4" t="s">
        <v>960</v>
      </c>
      <c r="G502" s="4">
        <v>45806.357638888891</v>
      </c>
      <c r="I502" s="3" t="s">
        <v>95</v>
      </c>
      <c r="J502" s="3" t="s">
        <v>22</v>
      </c>
      <c r="K502" s="5">
        <v>26</v>
      </c>
      <c r="L502" s="5">
        <v>24</v>
      </c>
      <c r="M502" s="3" t="s">
        <v>87</v>
      </c>
      <c r="N502" t="s">
        <v>24</v>
      </c>
      <c r="O502" s="5">
        <v>0</v>
      </c>
      <c r="P502" s="3" t="s">
        <v>80</v>
      </c>
      <c r="Q502" s="2">
        <v>202.79</v>
      </c>
      <c r="R502" s="3" t="s">
        <v>26</v>
      </c>
      <c r="S502">
        <f>COUNTIF(A:A,A502)</f>
        <v>1</v>
      </c>
      <c r="T502" t="str">
        <f>IF(OR(H502="",LOWER(TRIM(H502&amp;""))="missing",LOWER(TRIM(H502&amp;""))=""),"Missing/",IFERROR(IF(OR(VALUE(H502)&lt;0,VALUE(H502)&gt;110),"Invalid","Valid"),"Check Format"))</f>
        <v>Missing/</v>
      </c>
      <c r="U502" t="str">
        <f>IF(Raw_Data[[#This Row],[Age_Check]]="Valid",H502,"")</f>
        <v/>
      </c>
      <c r="V502" t="str">
        <f>IF(OR(K502="",UPPER(TRIM(K502&amp;""))="",LOWER(TRIM(K502&amp;""))="",LOWER(TRIM(K502&amp;""))="",LOWER(TRIM(K502&amp;""))="missing"),"Missing/",IFERROR(IF(VALUE(K502)&lt;0,"Invalid","Valid"),"Check Format"))</f>
        <v>Valid</v>
      </c>
      <c r="W502" t="str">
        <f>IF(OR(E502="",F502=""),"Missing Date/Time",IFERROR(IF(F502&gt;E502,"Arrival After Appointment","OK"),"Check Format"))</f>
        <v>Missing Date/Time</v>
      </c>
      <c r="X502" t="str">
        <f>IF(OR(F502="",G502=""),"Missing Date/Time",IFERROR(IF(G502&lt;F502,"Discharge Before Arrival","OK"),"Check Format"))</f>
        <v>Missing Date/Time</v>
      </c>
    </row>
    <row r="503" spans="1:24" x14ac:dyDescent="0.25">
      <c r="A503" s="2" t="s">
        <v>961</v>
      </c>
      <c r="B503" s="2" t="s">
        <v>962</v>
      </c>
      <c r="C503" s="3" t="s">
        <v>19</v>
      </c>
      <c r="D503" s="3" t="s">
        <v>106</v>
      </c>
      <c r="E503" s="4">
        <v>45448.788194444445</v>
      </c>
      <c r="G503" s="4">
        <v>45448.862500000003</v>
      </c>
      <c r="H503" s="5">
        <v>7</v>
      </c>
      <c r="J503" s="3" t="s">
        <v>171</v>
      </c>
      <c r="K503" s="5">
        <v>44</v>
      </c>
      <c r="L503" s="5">
        <v>63</v>
      </c>
      <c r="M503" s="3" t="s">
        <v>63</v>
      </c>
      <c r="N503" t="s">
        <v>24</v>
      </c>
      <c r="Q503" s="2">
        <v>113.03</v>
      </c>
      <c r="R503" s="3" t="s">
        <v>75</v>
      </c>
      <c r="S503">
        <f>COUNTIF(A:A,A503)</f>
        <v>1</v>
      </c>
      <c r="T503" t="str">
        <f>IF(OR(H503="",LOWER(TRIM(H503&amp;""))="missing",LOWER(TRIM(H503&amp;""))=""),"Missing/",IFERROR(IF(OR(VALUE(H503)&lt;0,VALUE(H503)&gt;110),"Invalid","Valid"),"Check Format"))</f>
        <v>Valid</v>
      </c>
      <c r="U503">
        <f>IF(Raw_Data[[#This Row],[Age_Check]]="Valid",H503,"")</f>
        <v>7</v>
      </c>
      <c r="V503" t="str">
        <f>IF(OR(K503="",UPPER(TRIM(K503&amp;""))="",LOWER(TRIM(K503&amp;""))="",LOWER(TRIM(K503&amp;""))="",LOWER(TRIM(K503&amp;""))="missing"),"Missing/",IFERROR(IF(VALUE(K503)&lt;0,"Invalid","Valid"),"Check Format"))</f>
        <v>Valid</v>
      </c>
      <c r="W503" t="str">
        <f>IF(OR(E503="",F503=""),"Missing Date/Time",IFERROR(IF(F503&gt;E503,"Arrival After Appointment","OK"),"Check Format"))</f>
        <v>Missing Date/Time</v>
      </c>
      <c r="X503" t="str">
        <f>IF(OR(F503="",G503=""),"Missing Date/Time",IFERROR(IF(G503&lt;F503,"Discharge Before Arrival","OK"),"Check Format"))</f>
        <v>Missing Date/Time</v>
      </c>
    </row>
    <row r="504" spans="1:24" x14ac:dyDescent="0.25">
      <c r="A504" s="2" t="s">
        <v>963</v>
      </c>
      <c r="B504" s="2" t="s">
        <v>480</v>
      </c>
      <c r="C504" s="3" t="s">
        <v>94</v>
      </c>
      <c r="D504" s="3" t="s">
        <v>72</v>
      </c>
      <c r="E504" s="4">
        <v>45667.625</v>
      </c>
      <c r="F504" s="4">
        <v>45667.623611111114</v>
      </c>
      <c r="G504" s="4">
        <v>45667.703472222223</v>
      </c>
      <c r="H504" s="5">
        <v>145</v>
      </c>
      <c r="I504" s="3" t="s">
        <v>73</v>
      </c>
      <c r="J504" s="3" t="s">
        <v>67</v>
      </c>
      <c r="K504" s="5">
        <v>65</v>
      </c>
      <c r="L504" s="5">
        <v>48</v>
      </c>
      <c r="N504" t="s">
        <v>69</v>
      </c>
      <c r="P504" s="3" t="s">
        <v>25</v>
      </c>
      <c r="Q504" s="2">
        <v>31.53</v>
      </c>
      <c r="R504" s="3" t="s">
        <v>75</v>
      </c>
      <c r="S504">
        <f>COUNTIF(A:A,A504)</f>
        <v>1</v>
      </c>
      <c r="T504" t="str">
        <f>IF(OR(H504="",LOWER(TRIM(H504&amp;""))="missing",LOWER(TRIM(H504&amp;""))=""),"Missing/",IFERROR(IF(OR(VALUE(H504)&lt;0,VALUE(H504)&gt;110),"Invalid","Valid"),"Check Format"))</f>
        <v>Invalid</v>
      </c>
      <c r="U504" t="str">
        <f>IF(Raw_Data[[#This Row],[Age_Check]]="Valid",H504,"")</f>
        <v/>
      </c>
      <c r="V504" t="str">
        <f>IF(OR(K504="",UPPER(TRIM(K504&amp;""))="",LOWER(TRIM(K504&amp;""))="",LOWER(TRIM(K504&amp;""))="",LOWER(TRIM(K504&amp;""))="missing"),"Missing/",IFERROR(IF(VALUE(K504)&lt;0,"Invalid","Valid"),"Check Format"))</f>
        <v>Valid</v>
      </c>
      <c r="W504" t="str">
        <f>IF(OR(E504="",F504=""),"Missing Date/Time",IFERROR(IF(F504&gt;E504,"Arrival After Appointment","OK"),"Check Format"))</f>
        <v>OK</v>
      </c>
      <c r="X504" t="str">
        <f>IF(OR(F504="",G504=""),"Missing Date/Time",IFERROR(IF(G504&lt;F504,"Discharge Before Arrival","OK"),"Check Format"))</f>
        <v>OK</v>
      </c>
    </row>
    <row r="505" spans="1:24" x14ac:dyDescent="0.25">
      <c r="A505" s="2" t="s">
        <v>964</v>
      </c>
      <c r="B505" s="2" t="s">
        <v>552</v>
      </c>
      <c r="C505" s="3" t="s">
        <v>46</v>
      </c>
      <c r="D505" s="3" t="s">
        <v>55</v>
      </c>
      <c r="E505" s="4">
        <v>45766.336805555555</v>
      </c>
      <c r="F505" s="4">
        <v>45766.319444444445</v>
      </c>
      <c r="I505" s="3" t="s">
        <v>73</v>
      </c>
      <c r="J505" s="3" t="s">
        <v>62</v>
      </c>
      <c r="K505" s="5">
        <v>0</v>
      </c>
      <c r="L505" s="5">
        <v>5</v>
      </c>
      <c r="M505" s="3" t="s">
        <v>50</v>
      </c>
      <c r="N505" t="s">
        <v>103</v>
      </c>
      <c r="P505" s="3" t="s">
        <v>25</v>
      </c>
      <c r="Q505" s="2">
        <v>246.01</v>
      </c>
      <c r="R505" s="3" t="s">
        <v>75</v>
      </c>
      <c r="S505">
        <f>COUNTIF(A:A,A505)</f>
        <v>1</v>
      </c>
      <c r="T505" t="str">
        <f>IF(OR(H505="",LOWER(TRIM(H505&amp;""))="missing",LOWER(TRIM(H505&amp;""))=""),"Missing/",IFERROR(IF(OR(VALUE(H505)&lt;0,VALUE(H505)&gt;110),"Invalid","Valid"),"Check Format"))</f>
        <v>Missing/</v>
      </c>
      <c r="U505" t="str">
        <f>IF(Raw_Data[[#This Row],[Age_Check]]="Valid",H505,"")</f>
        <v/>
      </c>
      <c r="V505" t="str">
        <f>IF(OR(K505="",UPPER(TRIM(K505&amp;""))="",LOWER(TRIM(K505&amp;""))="",LOWER(TRIM(K505&amp;""))="",LOWER(TRIM(K505&amp;""))="missing"),"Missing/",IFERROR(IF(VALUE(K505)&lt;0,"Invalid","Valid"),"Check Format"))</f>
        <v>Valid</v>
      </c>
      <c r="W505" t="str">
        <f>IF(OR(E505="",F505=""),"Missing Date/Time",IFERROR(IF(F505&gt;E505,"Arrival After Appointment","OK"),"Check Format"))</f>
        <v>OK</v>
      </c>
      <c r="X505" t="str">
        <f>IF(OR(F505="",G505=""),"Missing Date/Time",IFERROR(IF(G505&lt;F505,"Discharge Before Arrival","OK"),"Check Format"))</f>
        <v>Missing Date/Time</v>
      </c>
    </row>
    <row r="506" spans="1:24" x14ac:dyDescent="0.25">
      <c r="A506" s="2" t="s">
        <v>965</v>
      </c>
      <c r="B506" s="2" t="s">
        <v>966</v>
      </c>
      <c r="D506" s="3" t="s">
        <v>55</v>
      </c>
      <c r="E506" s="4" t="s">
        <v>967</v>
      </c>
      <c r="F506" s="4">
        <v>45523.420138888891</v>
      </c>
      <c r="G506" s="4">
        <v>45523.511111111111</v>
      </c>
      <c r="J506" s="3" t="s">
        <v>2639</v>
      </c>
      <c r="K506" s="5">
        <v>38</v>
      </c>
      <c r="L506" s="5">
        <v>78</v>
      </c>
      <c r="M506" s="3" t="s">
        <v>32</v>
      </c>
      <c r="N506" t="s">
        <v>69</v>
      </c>
      <c r="O506" s="5">
        <v>0</v>
      </c>
      <c r="P506" s="3" t="s">
        <v>80</v>
      </c>
      <c r="Q506" s="2">
        <v>99.86</v>
      </c>
      <c r="R506" s="3" t="s">
        <v>43</v>
      </c>
      <c r="S506">
        <f>COUNTIF(A:A,A506)</f>
        <v>1</v>
      </c>
      <c r="T506" t="str">
        <f>IF(OR(H506="",LOWER(TRIM(H506&amp;""))="missing",LOWER(TRIM(H506&amp;""))=""),"Missing/",IFERROR(IF(OR(VALUE(H506)&lt;0,VALUE(H506)&gt;110),"Invalid","Valid"),"Check Format"))</f>
        <v>Missing/</v>
      </c>
      <c r="U506" t="str">
        <f>IF(Raw_Data[[#This Row],[Age_Check]]="Valid",H506,"")</f>
        <v/>
      </c>
      <c r="V506" t="str">
        <f>IF(OR(K506="",UPPER(TRIM(K506&amp;""))="",LOWER(TRIM(K506&amp;""))="",LOWER(TRIM(K506&amp;""))="",LOWER(TRIM(K506&amp;""))="missing"),"Missing/",IFERROR(IF(VALUE(K506)&lt;0,"Invalid","Valid"),"Check Format"))</f>
        <v>Valid</v>
      </c>
      <c r="W506" t="str">
        <f>IF(OR(E506="",F506=""),"Missing Date/Time",IFERROR(IF(F506&gt;E506,"Arrival After Appointment","OK"),"Check Format"))</f>
        <v>OK</v>
      </c>
      <c r="X506" t="str">
        <f>IF(OR(F506="",G506=""),"Missing Date/Time",IFERROR(IF(G506&lt;F506,"Discharge Before Arrival","OK"),"Check Format"))</f>
        <v>OK</v>
      </c>
    </row>
    <row r="507" spans="1:24" x14ac:dyDescent="0.25">
      <c r="A507" s="2" t="s">
        <v>751</v>
      </c>
      <c r="B507" s="2" t="s">
        <v>752</v>
      </c>
      <c r="C507" s="3" t="s">
        <v>37</v>
      </c>
      <c r="D507" s="3" t="s">
        <v>61</v>
      </c>
      <c r="E507" s="4">
        <v>45305.416666666664</v>
      </c>
      <c r="F507" s="4">
        <v>45305.415972222225</v>
      </c>
      <c r="G507" s="4">
        <v>45305.463888888888</v>
      </c>
      <c r="H507" s="5">
        <v>37</v>
      </c>
      <c r="I507" s="3" t="s">
        <v>95</v>
      </c>
      <c r="J507" s="3" t="s">
        <v>62</v>
      </c>
      <c r="K507" s="5">
        <v>60</v>
      </c>
      <c r="L507" s="5">
        <v>8</v>
      </c>
      <c r="N507" t="s">
        <v>24</v>
      </c>
      <c r="P507" s="3" t="s">
        <v>25</v>
      </c>
      <c r="Q507" s="2">
        <v>224.7</v>
      </c>
      <c r="R507" s="3" t="s">
        <v>58</v>
      </c>
      <c r="S507">
        <f>COUNTIF(A:A,A507)</f>
        <v>2</v>
      </c>
      <c r="T507" t="str">
        <f>IF(OR(H507="",LOWER(TRIM(H507&amp;""))="missing",LOWER(TRIM(H507&amp;""))=""),"Missing/",IFERROR(IF(OR(VALUE(H507)&lt;0,VALUE(H507)&gt;110),"Invalid","Valid"),"Check Format"))</f>
        <v>Valid</v>
      </c>
      <c r="U507">
        <f>IF(Raw_Data[[#This Row],[Age_Check]]="Valid",H507,"")</f>
        <v>37</v>
      </c>
      <c r="V507" t="str">
        <f>IF(OR(K507="",UPPER(TRIM(K507&amp;""))="",LOWER(TRIM(K507&amp;""))="",LOWER(TRIM(K507&amp;""))="",LOWER(TRIM(K507&amp;""))="missing"),"Missing/",IFERROR(IF(VALUE(K507)&lt;0,"Invalid","Valid"),"Check Format"))</f>
        <v>Valid</v>
      </c>
      <c r="W507" t="str">
        <f>IF(OR(E507="",F507=""),"Missing Date/Time",IFERROR(IF(F507&gt;E507,"Arrival After Appointment","OK"),"Check Format"))</f>
        <v>OK</v>
      </c>
      <c r="X507" t="str">
        <f>IF(OR(F507="",G507=""),"Missing Date/Time",IFERROR(IF(G507&lt;F507,"Discharge Before Arrival","OK"),"Check Format"))</f>
        <v>OK</v>
      </c>
    </row>
    <row r="508" spans="1:24" x14ac:dyDescent="0.25">
      <c r="A508" s="2" t="s">
        <v>970</v>
      </c>
      <c r="B508" s="2" t="s">
        <v>400</v>
      </c>
      <c r="C508" s="3" t="s">
        <v>19</v>
      </c>
      <c r="D508" s="3" t="s">
        <v>174</v>
      </c>
      <c r="E508" s="4">
        <v>45689.298611111109</v>
      </c>
      <c r="F508" s="4">
        <v>45659.290972222225</v>
      </c>
      <c r="G508" s="4">
        <v>45659.425694444442</v>
      </c>
      <c r="H508" s="5">
        <v>69</v>
      </c>
      <c r="I508" s="3" t="s">
        <v>95</v>
      </c>
      <c r="J508" s="3" t="s">
        <v>67</v>
      </c>
      <c r="K508" s="5">
        <v>130</v>
      </c>
      <c r="L508" s="5">
        <v>53</v>
      </c>
      <c r="M508" s="3" t="s">
        <v>32</v>
      </c>
      <c r="O508" s="5">
        <v>6</v>
      </c>
      <c r="P508" s="3" t="s">
        <v>42</v>
      </c>
      <c r="Q508" s="2">
        <v>226.93</v>
      </c>
      <c r="R508" s="3" t="s">
        <v>58</v>
      </c>
      <c r="S508">
        <f>COUNTIF(A:A,A508)</f>
        <v>1</v>
      </c>
      <c r="T508" t="str">
        <f>IF(OR(H508="",LOWER(TRIM(H508&amp;""))="missing",LOWER(TRIM(H508&amp;""))=""),"Missing/",IFERROR(IF(OR(VALUE(H508)&lt;0,VALUE(H508)&gt;110),"Invalid","Valid"),"Check Format"))</f>
        <v>Valid</v>
      </c>
      <c r="U508">
        <f>IF(Raw_Data[[#This Row],[Age_Check]]="Valid",H508,"")</f>
        <v>69</v>
      </c>
      <c r="V508" t="str">
        <f>IF(OR(K508="",UPPER(TRIM(K508&amp;""))="",LOWER(TRIM(K508&amp;""))="",LOWER(TRIM(K508&amp;""))="",LOWER(TRIM(K508&amp;""))="missing"),"Missing/",IFERROR(IF(VALUE(K508)&lt;0,"Invalid","Valid"),"Check Format"))</f>
        <v>Valid</v>
      </c>
      <c r="W508" t="str">
        <f>IF(OR(E508="",F508=""),"Missing Date/Time",IFERROR(IF(F508&gt;E508,"Arrival After Appointment","OK"),"Check Format"))</f>
        <v>OK</v>
      </c>
      <c r="X508" t="str">
        <f>IF(OR(F508="",G508=""),"Missing Date/Time",IFERROR(IF(G508&lt;F508,"Discharge Before Arrival","OK"),"Check Format"))</f>
        <v>OK</v>
      </c>
    </row>
    <row r="509" spans="1:24" x14ac:dyDescent="0.25">
      <c r="A509" s="2" t="s">
        <v>971</v>
      </c>
      <c r="B509" s="2" t="s">
        <v>972</v>
      </c>
      <c r="C509" s="3" t="s">
        <v>19</v>
      </c>
      <c r="D509" s="3" t="s">
        <v>61</v>
      </c>
      <c r="E509" s="4">
        <v>45907.524305555555</v>
      </c>
      <c r="F509" s="4">
        <v>45907.507638888892</v>
      </c>
      <c r="G509" s="4">
        <v>45907.61041666667</v>
      </c>
      <c r="H509" s="5">
        <v>145</v>
      </c>
      <c r="I509" s="3" t="s">
        <v>95</v>
      </c>
      <c r="J509" s="3" t="s">
        <v>67</v>
      </c>
      <c r="K509" s="5">
        <v>78</v>
      </c>
      <c r="L509" s="5">
        <v>46</v>
      </c>
      <c r="M509" s="3" t="s">
        <v>68</v>
      </c>
      <c r="O509" s="5">
        <v>6</v>
      </c>
      <c r="P509" s="3" t="s">
        <v>42</v>
      </c>
      <c r="Q509" s="2">
        <v>100.91</v>
      </c>
      <c r="R509" s="3" t="s">
        <v>43</v>
      </c>
      <c r="S509">
        <f>COUNTIF(A:A,A509)</f>
        <v>1</v>
      </c>
      <c r="T509" t="str">
        <f>IF(OR(H509="",LOWER(TRIM(H509&amp;""))="missing",LOWER(TRIM(H509&amp;""))=""),"Missing/",IFERROR(IF(OR(VALUE(H509)&lt;0,VALUE(H509)&gt;110),"Invalid","Valid"),"Check Format"))</f>
        <v>Invalid</v>
      </c>
      <c r="U509" t="str">
        <f>IF(Raw_Data[[#This Row],[Age_Check]]="Valid",H509,"")</f>
        <v/>
      </c>
      <c r="V509" t="str">
        <f>IF(OR(K509="",UPPER(TRIM(K509&amp;""))="",LOWER(TRIM(K509&amp;""))="",LOWER(TRIM(K509&amp;""))="",LOWER(TRIM(K509&amp;""))="missing"),"Missing/",IFERROR(IF(VALUE(K509)&lt;0,"Invalid","Valid"),"Check Format"))</f>
        <v>Valid</v>
      </c>
      <c r="W509" t="str">
        <f>IF(OR(E509="",F509=""),"Missing Date/Time",IFERROR(IF(F509&gt;E509,"Arrival After Appointment","OK"),"Check Format"))</f>
        <v>OK</v>
      </c>
      <c r="X509" t="str">
        <f>IF(OR(F509="",G509=""),"Missing Date/Time",IFERROR(IF(G509&lt;F509,"Discharge Before Arrival","OK"),"Check Format"))</f>
        <v>OK</v>
      </c>
    </row>
    <row r="510" spans="1:24" x14ac:dyDescent="0.25">
      <c r="A510" s="2" t="s">
        <v>973</v>
      </c>
      <c r="B510" s="2" t="s">
        <v>506</v>
      </c>
      <c r="C510" s="3" t="s">
        <v>94</v>
      </c>
      <c r="D510" s="3" t="s">
        <v>61</v>
      </c>
      <c r="E510" s="4">
        <v>45971.5</v>
      </c>
      <c r="F510" s="4">
        <v>45971.5</v>
      </c>
      <c r="G510" s="4">
        <v>45971.541666666664</v>
      </c>
      <c r="I510" s="3" t="s">
        <v>90</v>
      </c>
      <c r="J510" s="3" t="s">
        <v>62</v>
      </c>
      <c r="K510" s="5">
        <v>29</v>
      </c>
      <c r="L510" s="5">
        <v>31</v>
      </c>
      <c r="M510" s="3" t="s">
        <v>23</v>
      </c>
      <c r="N510" t="s">
        <v>69</v>
      </c>
      <c r="O510" s="5">
        <v>0</v>
      </c>
      <c r="P510" s="3" t="s">
        <v>25</v>
      </c>
      <c r="Q510" s="2">
        <v>131.38999999999999</v>
      </c>
      <c r="R510" s="3" t="s">
        <v>43</v>
      </c>
      <c r="S510">
        <f>COUNTIF(A:A,A510)</f>
        <v>1</v>
      </c>
      <c r="T510" t="str">
        <f>IF(OR(H510="",LOWER(TRIM(H510&amp;""))="missing",LOWER(TRIM(H510&amp;""))=""),"Missing/",IFERROR(IF(OR(VALUE(H510)&lt;0,VALUE(H510)&gt;110),"Invalid","Valid"),"Check Format"))</f>
        <v>Missing/</v>
      </c>
      <c r="U510" t="str">
        <f>IF(Raw_Data[[#This Row],[Age_Check]]="Valid",H510,"")</f>
        <v/>
      </c>
      <c r="V510" t="str">
        <f>IF(OR(K510="",UPPER(TRIM(K510&amp;""))="",LOWER(TRIM(K510&amp;""))="",LOWER(TRIM(K510&amp;""))="",LOWER(TRIM(K510&amp;""))="missing"),"Missing/",IFERROR(IF(VALUE(K510)&lt;0,"Invalid","Valid"),"Check Format"))</f>
        <v>Valid</v>
      </c>
      <c r="W510" t="str">
        <f>IF(OR(E510="",F510=""),"Missing Date/Time",IFERROR(IF(F510&gt;E510,"Arrival After Appointment","OK"),"Check Format"))</f>
        <v>OK</v>
      </c>
      <c r="X510" t="str">
        <f>IF(OR(F510="",G510=""),"Missing Date/Time",IFERROR(IF(G510&lt;F510,"Discharge Before Arrival","OK"),"Check Format"))</f>
        <v>OK</v>
      </c>
    </row>
    <row r="511" spans="1:24" x14ac:dyDescent="0.25">
      <c r="A511" s="2" t="s">
        <v>974</v>
      </c>
      <c r="B511" s="2" t="s">
        <v>286</v>
      </c>
      <c r="D511" s="3" t="s">
        <v>174</v>
      </c>
      <c r="E511" s="4">
        <v>45780.392361111109</v>
      </c>
      <c r="F511" s="4">
        <v>45780.374305555553</v>
      </c>
      <c r="G511" s="4">
        <v>45780.45208333333</v>
      </c>
      <c r="I511" s="3" t="s">
        <v>95</v>
      </c>
      <c r="J511" s="3" t="s">
        <v>62</v>
      </c>
      <c r="K511" s="5">
        <v>42</v>
      </c>
      <c r="L511" s="5">
        <v>44</v>
      </c>
      <c r="M511" s="3" t="s">
        <v>41</v>
      </c>
      <c r="N511" t="s">
        <v>69</v>
      </c>
      <c r="Q511" s="2">
        <v>221.42</v>
      </c>
      <c r="R511" s="3" t="s">
        <v>58</v>
      </c>
      <c r="S511">
        <f>COUNTIF(A:A,A511)</f>
        <v>1</v>
      </c>
      <c r="T511" t="str">
        <f>IF(OR(H511="",LOWER(TRIM(H511&amp;""))="missing",LOWER(TRIM(H511&amp;""))=""),"Missing/",IFERROR(IF(OR(VALUE(H511)&lt;0,VALUE(H511)&gt;110),"Invalid","Valid"),"Check Format"))</f>
        <v>Missing/</v>
      </c>
      <c r="U511" t="str">
        <f>IF(Raw_Data[[#This Row],[Age_Check]]="Valid",H511,"")</f>
        <v/>
      </c>
      <c r="V511" t="str">
        <f>IF(OR(K511="",UPPER(TRIM(K511&amp;""))="",LOWER(TRIM(K511&amp;""))="",LOWER(TRIM(K511&amp;""))="",LOWER(TRIM(K511&amp;""))="missing"),"Missing/",IFERROR(IF(VALUE(K511)&lt;0,"Invalid","Valid"),"Check Format"))</f>
        <v>Valid</v>
      </c>
      <c r="W511" t="str">
        <f>IF(OR(E511="",F511=""),"Missing Date/Time",IFERROR(IF(F511&gt;E511,"Arrival After Appointment","OK"),"Check Format"))</f>
        <v>OK</v>
      </c>
      <c r="X511" t="str">
        <f>IF(OR(F511="",G511=""),"Missing Date/Time",IFERROR(IF(G511&lt;F511,"Discharge Before Arrival","OK"),"Check Format"))</f>
        <v>OK</v>
      </c>
    </row>
    <row r="512" spans="1:24" x14ac:dyDescent="0.25">
      <c r="A512" s="2" t="s">
        <v>975</v>
      </c>
      <c r="B512" s="2" t="s">
        <v>976</v>
      </c>
      <c r="C512" s="3" t="s">
        <v>29</v>
      </c>
      <c r="D512" s="3" t="s">
        <v>20</v>
      </c>
      <c r="E512" s="4">
        <v>45977.78125</v>
      </c>
      <c r="F512" s="4">
        <v>45977.763194444444</v>
      </c>
      <c r="H512" s="5">
        <v>76</v>
      </c>
      <c r="I512" s="3" t="s">
        <v>73</v>
      </c>
      <c r="J512" s="3" t="s">
        <v>67</v>
      </c>
      <c r="K512" s="5">
        <v>61</v>
      </c>
      <c r="L512" s="5">
        <v>58</v>
      </c>
      <c r="M512" s="3" t="s">
        <v>68</v>
      </c>
      <c r="N512" t="s">
        <v>24</v>
      </c>
      <c r="O512" s="5">
        <v>1</v>
      </c>
      <c r="P512" s="3" t="s">
        <v>25</v>
      </c>
      <c r="Q512" s="2">
        <v>53.66</v>
      </c>
      <c r="R512" s="3" t="s">
        <v>75</v>
      </c>
      <c r="S512">
        <f>COUNTIF(A:A,A512)</f>
        <v>1</v>
      </c>
      <c r="T512" t="str">
        <f>IF(OR(H512="",LOWER(TRIM(H512&amp;""))="missing",LOWER(TRIM(H512&amp;""))=""),"Missing/",IFERROR(IF(OR(VALUE(H512)&lt;0,VALUE(H512)&gt;110),"Invalid","Valid"),"Check Format"))</f>
        <v>Valid</v>
      </c>
      <c r="U512">
        <f>IF(Raw_Data[[#This Row],[Age_Check]]="Valid",H512,"")</f>
        <v>76</v>
      </c>
      <c r="V512" t="str">
        <f>IF(OR(K512="",UPPER(TRIM(K512&amp;""))="",LOWER(TRIM(K512&amp;""))="",LOWER(TRIM(K512&amp;""))="",LOWER(TRIM(K512&amp;""))="missing"),"Missing/",IFERROR(IF(VALUE(K512)&lt;0,"Invalid","Valid"),"Check Format"))</f>
        <v>Valid</v>
      </c>
      <c r="W512" t="str">
        <f>IF(OR(E512="",F512=""),"Missing Date/Time",IFERROR(IF(F512&gt;E512,"Arrival After Appointment","OK"),"Check Format"))</f>
        <v>OK</v>
      </c>
      <c r="X512" t="str">
        <f>IF(OR(F512="",G512=""),"Missing Date/Time",IFERROR(IF(G512&lt;F512,"Discharge Before Arrival","OK"),"Check Format"))</f>
        <v>Missing Date/Time</v>
      </c>
    </row>
    <row r="513" spans="1:24" x14ac:dyDescent="0.25">
      <c r="A513" s="2" t="s">
        <v>977</v>
      </c>
      <c r="B513" s="2" t="s">
        <v>435</v>
      </c>
      <c r="C513" s="3" t="s">
        <v>94</v>
      </c>
      <c r="D513" s="3" t="s">
        <v>23</v>
      </c>
      <c r="E513" s="4" t="s">
        <v>978</v>
      </c>
      <c r="F513" s="4">
        <v>45610.56527777778</v>
      </c>
      <c r="G513" s="4">
        <v>45610.625</v>
      </c>
      <c r="I513" s="3" t="s">
        <v>73</v>
      </c>
      <c r="J513" s="3" t="s">
        <v>62</v>
      </c>
      <c r="L513" s="5">
        <v>19</v>
      </c>
      <c r="N513" t="s">
        <v>74</v>
      </c>
      <c r="O513" s="5">
        <v>3</v>
      </c>
      <c r="P513" s="3" t="s">
        <v>25</v>
      </c>
      <c r="Q513" s="2">
        <v>0</v>
      </c>
      <c r="R513" s="3" t="s">
        <v>58</v>
      </c>
      <c r="S513">
        <f>COUNTIF(A:A,A513)</f>
        <v>1</v>
      </c>
      <c r="T513" t="str">
        <f>IF(OR(H513="",LOWER(TRIM(H513&amp;""))="missing",LOWER(TRIM(H513&amp;""))=""),"Missing/",IFERROR(IF(OR(VALUE(H513)&lt;0,VALUE(H513)&gt;110),"Invalid","Valid"),"Check Format"))</f>
        <v>Missing/</v>
      </c>
      <c r="U513" t="str">
        <f>IF(Raw_Data[[#This Row],[Age_Check]]="Valid",H513,"")</f>
        <v/>
      </c>
      <c r="V513" t="str">
        <f>IF(OR(K513="",UPPER(TRIM(K513&amp;""))="",LOWER(TRIM(K513&amp;""))="",LOWER(TRIM(K513&amp;""))="",LOWER(TRIM(K513&amp;""))="missing"),"Missing/",IFERROR(IF(VALUE(K513)&lt;0,"Invalid","Valid"),"Check Format"))</f>
        <v>Missing/</v>
      </c>
      <c r="W513" t="str">
        <f>IF(OR(E513="",F513=""),"Missing Date/Time",IFERROR(IF(F513&gt;E513,"Arrival After Appointment","OK"),"Check Format"))</f>
        <v>OK</v>
      </c>
      <c r="X513" t="str">
        <f>IF(OR(F513="",G513=""),"Missing Date/Time",IFERROR(IF(G513&lt;F513,"Discharge Before Arrival","OK"),"Check Format"))</f>
        <v>OK</v>
      </c>
    </row>
    <row r="514" spans="1:24" x14ac:dyDescent="0.25">
      <c r="A514" s="2" t="s">
        <v>979</v>
      </c>
      <c r="B514" s="2" t="s">
        <v>980</v>
      </c>
      <c r="D514" s="3" t="s">
        <v>149</v>
      </c>
      <c r="E514" s="4">
        <v>45727.496527777781</v>
      </c>
      <c r="F514" s="4">
        <v>45727.477777777778</v>
      </c>
      <c r="G514" s="4">
        <v>45727.554861111108</v>
      </c>
      <c r="H514" s="5">
        <v>14</v>
      </c>
      <c r="I514" s="3" t="s">
        <v>95</v>
      </c>
      <c r="J514" s="3" t="s">
        <v>62</v>
      </c>
      <c r="K514" s="5">
        <v>55</v>
      </c>
      <c r="L514" s="5">
        <v>29</v>
      </c>
      <c r="N514" t="s">
        <v>100</v>
      </c>
      <c r="P514" s="3" t="s">
        <v>42</v>
      </c>
      <c r="Q514" s="2">
        <v>266.08</v>
      </c>
      <c r="R514" s="3" t="s">
        <v>43</v>
      </c>
      <c r="S514">
        <f>COUNTIF(A:A,A514)</f>
        <v>1</v>
      </c>
      <c r="T514" t="str">
        <f>IF(OR(H514="",LOWER(TRIM(H514&amp;""))="missing",LOWER(TRIM(H514&amp;""))=""),"Missing/",IFERROR(IF(OR(VALUE(H514)&lt;0,VALUE(H514)&gt;110),"Invalid","Valid"),"Check Format"))</f>
        <v>Valid</v>
      </c>
      <c r="U514">
        <f>IF(Raw_Data[[#This Row],[Age_Check]]="Valid",H514,"")</f>
        <v>14</v>
      </c>
      <c r="V514" t="str">
        <f>IF(OR(K514="",UPPER(TRIM(K514&amp;""))="",LOWER(TRIM(K514&amp;""))="",LOWER(TRIM(K514&amp;""))="",LOWER(TRIM(K514&amp;""))="missing"),"Missing/",IFERROR(IF(VALUE(K514)&lt;0,"Invalid","Valid"),"Check Format"))</f>
        <v>Valid</v>
      </c>
      <c r="W514" t="str">
        <f>IF(OR(E514="",F514=""),"Missing Date/Time",IFERROR(IF(F514&gt;E514,"Arrival After Appointment","OK"),"Check Format"))</f>
        <v>OK</v>
      </c>
      <c r="X514" t="str">
        <f>IF(OR(F514="",G514=""),"Missing Date/Time",IFERROR(IF(G514&lt;F514,"Discharge Before Arrival","OK"),"Check Format"))</f>
        <v>OK</v>
      </c>
    </row>
    <row r="515" spans="1:24" x14ac:dyDescent="0.25">
      <c r="A515" s="2" t="s">
        <v>981</v>
      </c>
      <c r="B515" s="2" t="s">
        <v>381</v>
      </c>
      <c r="C515" s="3" t="s">
        <v>29</v>
      </c>
      <c r="D515" s="3" t="s">
        <v>23</v>
      </c>
      <c r="E515" s="4">
        <v>45737.315972222219</v>
      </c>
      <c r="G515" s="4">
        <v>45737.380555555559</v>
      </c>
      <c r="I515" s="3" t="s">
        <v>39</v>
      </c>
      <c r="J515" s="3" t="s">
        <v>22</v>
      </c>
      <c r="K515" s="5">
        <v>80</v>
      </c>
      <c r="L515" s="5">
        <v>13</v>
      </c>
      <c r="M515" s="3" t="s">
        <v>63</v>
      </c>
      <c r="N515" t="s">
        <v>74</v>
      </c>
      <c r="O515" s="5">
        <v>3</v>
      </c>
      <c r="P515" s="3" t="s">
        <v>25</v>
      </c>
      <c r="Q515" s="2">
        <v>293.33</v>
      </c>
      <c r="R515" s="3" t="s">
        <v>58</v>
      </c>
      <c r="S515">
        <f>COUNTIF(A:A,A515)</f>
        <v>1</v>
      </c>
      <c r="T515" t="str">
        <f>IF(OR(H515="",LOWER(TRIM(H515&amp;""))="missing",LOWER(TRIM(H515&amp;""))=""),"Missing/",IFERROR(IF(OR(VALUE(H515)&lt;0,VALUE(H515)&gt;110),"Invalid","Valid"),"Check Format"))</f>
        <v>Missing/</v>
      </c>
      <c r="U515" t="str">
        <f>IF(Raw_Data[[#This Row],[Age_Check]]="Valid",H515,"")</f>
        <v/>
      </c>
      <c r="V515" t="str">
        <f>IF(OR(K515="",UPPER(TRIM(K515&amp;""))="",LOWER(TRIM(K515&amp;""))="",LOWER(TRIM(K515&amp;""))="",LOWER(TRIM(K515&amp;""))="missing"),"Missing/",IFERROR(IF(VALUE(K515)&lt;0,"Invalid","Valid"),"Check Format"))</f>
        <v>Valid</v>
      </c>
      <c r="W515" t="str">
        <f>IF(OR(E515="",F515=""),"Missing Date/Time",IFERROR(IF(F515&gt;E515,"Arrival After Appointment","OK"),"Check Format"))</f>
        <v>Missing Date/Time</v>
      </c>
      <c r="X515" t="str">
        <f>IF(OR(F515="",G515=""),"Missing Date/Time",IFERROR(IF(G515&lt;F515,"Discharge Before Arrival","OK"),"Check Format"))</f>
        <v>Missing Date/Time</v>
      </c>
    </row>
    <row r="516" spans="1:24" x14ac:dyDescent="0.25">
      <c r="A516" s="2" t="s">
        <v>982</v>
      </c>
      <c r="B516" s="2" t="s">
        <v>165</v>
      </c>
      <c r="C516" s="3" t="s">
        <v>19</v>
      </c>
      <c r="D516" s="3" t="s">
        <v>115</v>
      </c>
      <c r="E516" s="4">
        <v>45406.538194444445</v>
      </c>
      <c r="F516" s="4">
        <v>45406.535416666666</v>
      </c>
      <c r="G516" s="4">
        <v>45406.636805555558</v>
      </c>
      <c r="I516" s="3" t="s">
        <v>90</v>
      </c>
      <c r="J516" s="3" t="s">
        <v>67</v>
      </c>
      <c r="K516" s="5">
        <v>100</v>
      </c>
      <c r="L516" s="5">
        <v>42</v>
      </c>
      <c r="M516" s="3" t="s">
        <v>41</v>
      </c>
      <c r="N516" t="s">
        <v>24</v>
      </c>
      <c r="Q516" s="2">
        <v>126.88</v>
      </c>
      <c r="R516" s="3" t="s">
        <v>58</v>
      </c>
      <c r="S516">
        <f>COUNTIF(A:A,A516)</f>
        <v>1</v>
      </c>
      <c r="T516" t="str">
        <f>IF(OR(H516="",LOWER(TRIM(H516&amp;""))="missing",LOWER(TRIM(H516&amp;""))=""),"Missing/",IFERROR(IF(OR(VALUE(H516)&lt;0,VALUE(H516)&gt;110),"Invalid","Valid"),"Check Format"))</f>
        <v>Missing/</v>
      </c>
      <c r="U516" t="str">
        <f>IF(Raw_Data[[#This Row],[Age_Check]]="Valid",H516,"")</f>
        <v/>
      </c>
      <c r="V516" t="str">
        <f>IF(OR(K516="",UPPER(TRIM(K516&amp;""))="",LOWER(TRIM(K516&amp;""))="",LOWER(TRIM(K516&amp;""))="",LOWER(TRIM(K516&amp;""))="missing"),"Missing/",IFERROR(IF(VALUE(K516)&lt;0,"Invalid","Valid"),"Check Format"))</f>
        <v>Valid</v>
      </c>
      <c r="W516" t="str">
        <f>IF(OR(E516="",F516=""),"Missing Date/Time",IFERROR(IF(F516&gt;E516,"Arrival After Appointment","OK"),"Check Format"))</f>
        <v>OK</v>
      </c>
      <c r="X516" t="str">
        <f>IF(OR(F516="",G516=""),"Missing Date/Time",IFERROR(IF(G516&lt;F516,"Discharge Before Arrival","OK"),"Check Format"))</f>
        <v>OK</v>
      </c>
    </row>
    <row r="517" spans="1:24" x14ac:dyDescent="0.25">
      <c r="A517" s="2" t="s">
        <v>983</v>
      </c>
      <c r="B517" s="2" t="s">
        <v>984</v>
      </c>
      <c r="C517" s="3" t="s">
        <v>46</v>
      </c>
      <c r="D517" s="3" t="s">
        <v>72</v>
      </c>
      <c r="E517" s="4">
        <v>45915.784722222219</v>
      </c>
      <c r="F517" s="4">
        <v>45915.784722222219</v>
      </c>
      <c r="G517" s="4">
        <v>45915.818749999999</v>
      </c>
      <c r="I517" s="3" t="s">
        <v>73</v>
      </c>
      <c r="J517" s="3" t="s">
        <v>62</v>
      </c>
      <c r="K517" s="5">
        <v>24</v>
      </c>
      <c r="L517" s="5">
        <v>25</v>
      </c>
      <c r="N517" t="s">
        <v>100</v>
      </c>
      <c r="P517" s="3" t="s">
        <v>25</v>
      </c>
      <c r="Q517" s="2">
        <v>232.1</v>
      </c>
      <c r="R517" s="3" t="s">
        <v>26</v>
      </c>
      <c r="S517">
        <f>COUNTIF(A:A,A517)</f>
        <v>1</v>
      </c>
      <c r="T517" t="str">
        <f>IF(OR(H517="",LOWER(TRIM(H517&amp;""))="missing",LOWER(TRIM(H517&amp;""))=""),"Missing/",IFERROR(IF(OR(VALUE(H517)&lt;0,VALUE(H517)&gt;110),"Invalid","Valid"),"Check Format"))</f>
        <v>Missing/</v>
      </c>
      <c r="U517" t="str">
        <f>IF(Raw_Data[[#This Row],[Age_Check]]="Valid",H517,"")</f>
        <v/>
      </c>
      <c r="V517" t="str">
        <f>IF(OR(K517="",UPPER(TRIM(K517&amp;""))="",LOWER(TRIM(K517&amp;""))="",LOWER(TRIM(K517&amp;""))="",LOWER(TRIM(K517&amp;""))="missing"),"Missing/",IFERROR(IF(VALUE(K517)&lt;0,"Invalid","Valid"),"Check Format"))</f>
        <v>Valid</v>
      </c>
      <c r="W517" t="str">
        <f>IF(OR(E517="",F517=""),"Missing Date/Time",IFERROR(IF(F517&gt;E517,"Arrival After Appointment","OK"),"Check Format"))</f>
        <v>OK</v>
      </c>
      <c r="X517" t="str">
        <f>IF(OR(F517="",G517=""),"Missing Date/Time",IFERROR(IF(G517&lt;F517,"Discharge Before Arrival","OK"),"Check Format"))</f>
        <v>OK</v>
      </c>
    </row>
    <row r="518" spans="1:24" x14ac:dyDescent="0.25">
      <c r="A518" s="2" t="s">
        <v>985</v>
      </c>
      <c r="B518" s="2" t="s">
        <v>170</v>
      </c>
      <c r="C518" s="3" t="s">
        <v>94</v>
      </c>
      <c r="D518" s="3" t="s">
        <v>38</v>
      </c>
      <c r="E518" s="4">
        <v>45675.690972222219</v>
      </c>
      <c r="F518" s="4">
        <v>45675.676388888889</v>
      </c>
      <c r="I518" s="3" t="s">
        <v>90</v>
      </c>
      <c r="J518" s="3" t="s">
        <v>2639</v>
      </c>
      <c r="K518" s="5">
        <v>123</v>
      </c>
      <c r="L518" s="5">
        <v>59</v>
      </c>
      <c r="M518" s="3" t="s">
        <v>63</v>
      </c>
      <c r="N518" t="s">
        <v>74</v>
      </c>
      <c r="O518" s="5">
        <v>4</v>
      </c>
      <c r="Q518" s="2">
        <v>105.89</v>
      </c>
      <c r="R518" s="3" t="s">
        <v>43</v>
      </c>
      <c r="S518">
        <f>COUNTIF(A:A,A518)</f>
        <v>1</v>
      </c>
      <c r="T518" t="str">
        <f>IF(OR(H518="",LOWER(TRIM(H518&amp;""))="missing",LOWER(TRIM(H518&amp;""))=""),"Missing/",IFERROR(IF(OR(VALUE(H518)&lt;0,VALUE(H518)&gt;110),"Invalid","Valid"),"Check Format"))</f>
        <v>Missing/</v>
      </c>
      <c r="U518" t="str">
        <f>IF(Raw_Data[[#This Row],[Age_Check]]="Valid",H518,"")</f>
        <v/>
      </c>
      <c r="V518" t="str">
        <f>IF(OR(K518="",UPPER(TRIM(K518&amp;""))="",LOWER(TRIM(K518&amp;""))="",LOWER(TRIM(K518&amp;""))="",LOWER(TRIM(K518&amp;""))="missing"),"Missing/",IFERROR(IF(VALUE(K518)&lt;0,"Invalid","Valid"),"Check Format"))</f>
        <v>Valid</v>
      </c>
      <c r="W518" t="str">
        <f>IF(OR(E518="",F518=""),"Missing Date/Time",IFERROR(IF(F518&gt;E518,"Arrival After Appointment","OK"),"Check Format"))</f>
        <v>OK</v>
      </c>
      <c r="X518" t="str">
        <f>IF(OR(F518="",G518=""),"Missing Date/Time",IFERROR(IF(G518&lt;F518,"Discharge Before Arrival","OK"),"Check Format"))</f>
        <v>Missing Date/Time</v>
      </c>
    </row>
    <row r="519" spans="1:24" x14ac:dyDescent="0.25">
      <c r="A519" s="2" t="s">
        <v>986</v>
      </c>
      <c r="B519" s="2" t="s">
        <v>465</v>
      </c>
      <c r="C519" s="3" t="s">
        <v>37</v>
      </c>
      <c r="D519" s="3" t="s">
        <v>20</v>
      </c>
      <c r="E519" s="4">
        <v>45942.503472222219</v>
      </c>
      <c r="F519" s="4">
        <v>45942.49722222222</v>
      </c>
      <c r="G519" s="4">
        <v>45942.539583333331</v>
      </c>
      <c r="H519" s="5">
        <v>145</v>
      </c>
      <c r="I519" s="3" t="s">
        <v>95</v>
      </c>
      <c r="J519" s="3" t="s">
        <v>2639</v>
      </c>
      <c r="K519" s="5">
        <v>18</v>
      </c>
      <c r="L519" s="5">
        <v>34</v>
      </c>
      <c r="M519" s="3" t="s">
        <v>41</v>
      </c>
      <c r="O519" s="5">
        <v>6</v>
      </c>
      <c r="P519" s="3" t="s">
        <v>25</v>
      </c>
      <c r="Q519" s="2">
        <v>3.52</v>
      </c>
      <c r="R519" s="3" t="s">
        <v>75</v>
      </c>
      <c r="S519">
        <f>COUNTIF(A:A,A519)</f>
        <v>1</v>
      </c>
      <c r="T519" t="str">
        <f>IF(OR(H519="",LOWER(TRIM(H519&amp;""))="missing",LOWER(TRIM(H519&amp;""))=""),"Missing/",IFERROR(IF(OR(VALUE(H519)&lt;0,VALUE(H519)&gt;110),"Invalid","Valid"),"Check Format"))</f>
        <v>Invalid</v>
      </c>
      <c r="U519" t="str">
        <f>IF(Raw_Data[[#This Row],[Age_Check]]="Valid",H519,"")</f>
        <v/>
      </c>
      <c r="V519" t="str">
        <f>IF(OR(K519="",UPPER(TRIM(K519&amp;""))="",LOWER(TRIM(K519&amp;""))="",LOWER(TRIM(K519&amp;""))="",LOWER(TRIM(K519&amp;""))="missing"),"Missing/",IFERROR(IF(VALUE(K519)&lt;0,"Invalid","Valid"),"Check Format"))</f>
        <v>Valid</v>
      </c>
      <c r="W519" t="str">
        <f>IF(OR(E519="",F519=""),"Missing Date/Time",IFERROR(IF(F519&gt;E519,"Arrival After Appointment","OK"),"Check Format"))</f>
        <v>OK</v>
      </c>
      <c r="X519" t="str">
        <f>IF(OR(F519="",G519=""),"Missing Date/Time",IFERROR(IF(G519&lt;F519,"Discharge Before Arrival","OK"),"Check Format"))</f>
        <v>OK</v>
      </c>
    </row>
    <row r="520" spans="1:24" x14ac:dyDescent="0.25">
      <c r="A520" s="2" t="s">
        <v>987</v>
      </c>
      <c r="B520" s="2" t="s">
        <v>988</v>
      </c>
      <c r="C520" s="3" t="s">
        <v>46</v>
      </c>
      <c r="D520" s="3" t="s">
        <v>47</v>
      </c>
      <c r="E520" s="4">
        <v>45802.444444444445</v>
      </c>
      <c r="F520" s="4">
        <v>45802.431944444441</v>
      </c>
      <c r="G520" s="4">
        <v>45802.512499999997</v>
      </c>
      <c r="H520" s="5">
        <v>145</v>
      </c>
      <c r="I520" s="3" t="s">
        <v>39</v>
      </c>
      <c r="J520" s="3" t="s">
        <v>171</v>
      </c>
      <c r="K520" s="5">
        <v>69</v>
      </c>
      <c r="L520" s="5">
        <v>29</v>
      </c>
      <c r="M520" s="3" t="s">
        <v>23</v>
      </c>
      <c r="N520" t="s">
        <v>24</v>
      </c>
      <c r="P520" s="3" t="s">
        <v>25</v>
      </c>
      <c r="Q520" s="2">
        <v>107.72</v>
      </c>
      <c r="R520" s="3" t="s">
        <v>58</v>
      </c>
      <c r="S520">
        <f>COUNTIF(A:A,A520)</f>
        <v>1</v>
      </c>
      <c r="T520" t="str">
        <f>IF(OR(H520="",LOWER(TRIM(H520&amp;""))="missing",LOWER(TRIM(H520&amp;""))=""),"Missing/",IFERROR(IF(OR(VALUE(H520)&lt;0,VALUE(H520)&gt;110),"Invalid","Valid"),"Check Format"))</f>
        <v>Invalid</v>
      </c>
      <c r="U520" t="str">
        <f>IF(Raw_Data[[#This Row],[Age_Check]]="Valid",H520,"")</f>
        <v/>
      </c>
      <c r="V520" t="str">
        <f>IF(OR(K520="",UPPER(TRIM(K520&amp;""))="",LOWER(TRIM(K520&amp;""))="",LOWER(TRIM(K520&amp;""))="",LOWER(TRIM(K520&amp;""))="missing"),"Missing/",IFERROR(IF(VALUE(K520)&lt;0,"Invalid","Valid"),"Check Format"))</f>
        <v>Valid</v>
      </c>
      <c r="W520" t="str">
        <f>IF(OR(E520="",F520=""),"Missing Date/Time",IFERROR(IF(F520&gt;E520,"Arrival After Appointment","OK"),"Check Format"))</f>
        <v>OK</v>
      </c>
      <c r="X520" t="str">
        <f>IF(OR(F520="",G520=""),"Missing Date/Time",IFERROR(IF(G520&lt;F520,"Discharge Before Arrival","OK"),"Check Format"))</f>
        <v>OK</v>
      </c>
    </row>
    <row r="521" spans="1:24" x14ac:dyDescent="0.25">
      <c r="A521" s="2" t="s">
        <v>989</v>
      </c>
      <c r="B521" s="2" t="s">
        <v>784</v>
      </c>
      <c r="D521" s="3" t="s">
        <v>72</v>
      </c>
      <c r="E521" s="4">
        <v>45462.684027777781</v>
      </c>
      <c r="F521" s="4">
        <v>45462.675694444442</v>
      </c>
      <c r="G521" s="4">
        <v>45462.713888888888</v>
      </c>
      <c r="H521" s="5">
        <v>145</v>
      </c>
      <c r="I521" s="3" t="s">
        <v>73</v>
      </c>
      <c r="J521" s="3" t="s">
        <v>67</v>
      </c>
      <c r="K521" s="5">
        <v>2</v>
      </c>
      <c r="L521" s="5">
        <v>41</v>
      </c>
      <c r="M521" s="3" t="s">
        <v>23</v>
      </c>
      <c r="N521" t="s">
        <v>69</v>
      </c>
      <c r="O521" s="5">
        <v>2</v>
      </c>
      <c r="P521" s="3" t="s">
        <v>25</v>
      </c>
      <c r="Q521" s="2">
        <v>102.38</v>
      </c>
      <c r="R521" s="3" t="s">
        <v>43</v>
      </c>
      <c r="S521">
        <f>COUNTIF(A:A,A521)</f>
        <v>1</v>
      </c>
      <c r="T521" t="str">
        <f>IF(OR(H521="",LOWER(TRIM(H521&amp;""))="missing",LOWER(TRIM(H521&amp;""))=""),"Missing/",IFERROR(IF(OR(VALUE(H521)&lt;0,VALUE(H521)&gt;110),"Invalid","Valid"),"Check Format"))</f>
        <v>Invalid</v>
      </c>
      <c r="U521" t="str">
        <f>IF(Raw_Data[[#This Row],[Age_Check]]="Valid",H521,"")</f>
        <v/>
      </c>
      <c r="V521" t="str">
        <f>IF(OR(K521="",UPPER(TRIM(K521&amp;""))="",LOWER(TRIM(K521&amp;""))="",LOWER(TRIM(K521&amp;""))="",LOWER(TRIM(K521&amp;""))="missing"),"Missing/",IFERROR(IF(VALUE(K521)&lt;0,"Invalid","Valid"),"Check Format"))</f>
        <v>Valid</v>
      </c>
      <c r="W521" t="str">
        <f>IF(OR(E521="",F521=""),"Missing Date/Time",IFERROR(IF(F521&gt;E521,"Arrival After Appointment","OK"),"Check Format"))</f>
        <v>OK</v>
      </c>
      <c r="X521" t="str">
        <f>IF(OR(F521="",G521=""),"Missing Date/Time",IFERROR(IF(G521&lt;F521,"Discharge Before Arrival","OK"),"Check Format"))</f>
        <v>OK</v>
      </c>
    </row>
    <row r="522" spans="1:24" x14ac:dyDescent="0.25">
      <c r="A522" s="2" t="s">
        <v>990</v>
      </c>
      <c r="B522" s="2" t="s">
        <v>331</v>
      </c>
      <c r="C522" s="3" t="s">
        <v>29</v>
      </c>
      <c r="D522" s="3" t="s">
        <v>72</v>
      </c>
      <c r="E522" s="4" t="s">
        <v>991</v>
      </c>
      <c r="F522" s="4">
        <v>45855.544444444444</v>
      </c>
      <c r="G522" s="4">
        <v>45855.574305555558</v>
      </c>
      <c r="J522" s="3" t="s">
        <v>2639</v>
      </c>
      <c r="K522" s="5">
        <v>17</v>
      </c>
      <c r="L522" s="5">
        <v>5</v>
      </c>
      <c r="N522" t="s">
        <v>24</v>
      </c>
      <c r="O522" s="5">
        <v>0</v>
      </c>
      <c r="P522" s="3" t="s">
        <v>25</v>
      </c>
      <c r="Q522" s="2">
        <v>142.80000000000001</v>
      </c>
      <c r="R522" s="3" t="s">
        <v>58</v>
      </c>
      <c r="S522">
        <f>COUNTIF(A:A,A522)</f>
        <v>1</v>
      </c>
      <c r="T522" t="str">
        <f>IF(OR(H522="",LOWER(TRIM(H522&amp;""))="missing",LOWER(TRIM(H522&amp;""))=""),"Missing/",IFERROR(IF(OR(VALUE(H522)&lt;0,VALUE(H522)&gt;110),"Invalid","Valid"),"Check Format"))</f>
        <v>Missing/</v>
      </c>
      <c r="U522" t="str">
        <f>IF(Raw_Data[[#This Row],[Age_Check]]="Valid",H522,"")</f>
        <v/>
      </c>
      <c r="V522" t="str">
        <f>IF(OR(K522="",UPPER(TRIM(K522&amp;""))="",LOWER(TRIM(K522&amp;""))="",LOWER(TRIM(K522&amp;""))="",LOWER(TRIM(K522&amp;""))="missing"),"Missing/",IFERROR(IF(VALUE(K522)&lt;0,"Invalid","Valid"),"Check Format"))</f>
        <v>Valid</v>
      </c>
      <c r="W522" t="str">
        <f>IF(OR(E522="",F522=""),"Missing Date/Time",IFERROR(IF(F522&gt;E522,"Arrival After Appointment","OK"),"Check Format"))</f>
        <v>OK</v>
      </c>
      <c r="X522" t="str">
        <f>IF(OR(F522="",G522=""),"Missing Date/Time",IFERROR(IF(G522&lt;F522,"Discharge Before Arrival","OK"),"Check Format"))</f>
        <v>OK</v>
      </c>
    </row>
    <row r="523" spans="1:24" x14ac:dyDescent="0.25">
      <c r="A523" s="2" t="s">
        <v>992</v>
      </c>
      <c r="B523" s="2" t="s">
        <v>629</v>
      </c>
      <c r="C523" s="3" t="s">
        <v>94</v>
      </c>
      <c r="D523" s="3" t="s">
        <v>47</v>
      </c>
      <c r="E523" s="4">
        <v>45295.642361111109</v>
      </c>
      <c r="F523" s="4">
        <v>45295.633333333331</v>
      </c>
      <c r="G523" s="4">
        <v>45295.768055555556</v>
      </c>
      <c r="I523" s="3" t="s">
        <v>95</v>
      </c>
      <c r="J523" s="3" t="s">
        <v>62</v>
      </c>
      <c r="K523" s="5">
        <v>120</v>
      </c>
      <c r="L523" s="5">
        <v>61</v>
      </c>
      <c r="M523" s="3" t="s">
        <v>50</v>
      </c>
      <c r="N523" t="s">
        <v>69</v>
      </c>
      <c r="O523" s="5">
        <v>6</v>
      </c>
      <c r="P523" s="3" t="s">
        <v>25</v>
      </c>
      <c r="Q523" s="2">
        <v>108.43</v>
      </c>
      <c r="R523" s="3" t="s">
        <v>58</v>
      </c>
      <c r="S523">
        <f>COUNTIF(A:A,A523)</f>
        <v>1</v>
      </c>
      <c r="T523" t="str">
        <f>IF(OR(H523="",LOWER(TRIM(H523&amp;""))="missing",LOWER(TRIM(H523&amp;""))=""),"Missing/",IFERROR(IF(OR(VALUE(H523)&lt;0,VALUE(H523)&gt;110),"Invalid","Valid"),"Check Format"))</f>
        <v>Missing/</v>
      </c>
      <c r="U523" t="str">
        <f>IF(Raw_Data[[#This Row],[Age_Check]]="Valid",H523,"")</f>
        <v/>
      </c>
      <c r="V523" t="str">
        <f>IF(OR(K523="",UPPER(TRIM(K523&amp;""))="",LOWER(TRIM(K523&amp;""))="",LOWER(TRIM(K523&amp;""))="",LOWER(TRIM(K523&amp;""))="missing"),"Missing/",IFERROR(IF(VALUE(K523)&lt;0,"Invalid","Valid"),"Check Format"))</f>
        <v>Valid</v>
      </c>
      <c r="W523" t="str">
        <f>IF(OR(E523="",F523=""),"Missing Date/Time",IFERROR(IF(F523&gt;E523,"Arrival After Appointment","OK"),"Check Format"))</f>
        <v>OK</v>
      </c>
      <c r="X523" t="str">
        <f>IF(OR(F523="",G523=""),"Missing Date/Time",IFERROR(IF(G523&lt;F523,"Discharge Before Arrival","OK"),"Check Format"))</f>
        <v>OK</v>
      </c>
    </row>
    <row r="524" spans="1:24" x14ac:dyDescent="0.25">
      <c r="A524" s="2" t="s">
        <v>993</v>
      </c>
      <c r="B524" s="2" t="s">
        <v>994</v>
      </c>
      <c r="C524" s="3" t="s">
        <v>94</v>
      </c>
      <c r="D524" s="3" t="s">
        <v>30</v>
      </c>
      <c r="E524" s="4">
        <v>45874.732638888891</v>
      </c>
      <c r="F524" s="4">
        <v>45874.713888888888</v>
      </c>
      <c r="G524" s="4">
        <v>45874.785416666666</v>
      </c>
      <c r="I524" s="3" t="s">
        <v>73</v>
      </c>
      <c r="J524" s="3" t="s">
        <v>62</v>
      </c>
      <c r="K524" s="5">
        <v>36</v>
      </c>
      <c r="L524" s="5">
        <v>40</v>
      </c>
      <c r="M524" s="3" t="s">
        <v>68</v>
      </c>
      <c r="N524" t="s">
        <v>24</v>
      </c>
      <c r="O524" s="5">
        <v>3</v>
      </c>
      <c r="P524" s="3" t="s">
        <v>25</v>
      </c>
      <c r="R524" s="3" t="s">
        <v>58</v>
      </c>
      <c r="S524">
        <f>COUNTIF(A:A,A524)</f>
        <v>1</v>
      </c>
      <c r="T524" t="str">
        <f>IF(OR(H524="",LOWER(TRIM(H524&amp;""))="missing",LOWER(TRIM(H524&amp;""))=""),"Missing/",IFERROR(IF(OR(VALUE(H524)&lt;0,VALUE(H524)&gt;110),"Invalid","Valid"),"Check Format"))</f>
        <v>Missing/</v>
      </c>
      <c r="U524" t="str">
        <f>IF(Raw_Data[[#This Row],[Age_Check]]="Valid",H524,"")</f>
        <v/>
      </c>
      <c r="V524" t="str">
        <f>IF(OR(K524="",UPPER(TRIM(K524&amp;""))="",LOWER(TRIM(K524&amp;""))="",LOWER(TRIM(K524&amp;""))="",LOWER(TRIM(K524&amp;""))="missing"),"Missing/",IFERROR(IF(VALUE(K524)&lt;0,"Invalid","Valid"),"Check Format"))</f>
        <v>Valid</v>
      </c>
      <c r="W524" t="str">
        <f>IF(OR(E524="",F524=""),"Missing Date/Time",IFERROR(IF(F524&gt;E524,"Arrival After Appointment","OK"),"Check Format"))</f>
        <v>OK</v>
      </c>
      <c r="X524" t="str">
        <f>IF(OR(F524="",G524=""),"Missing Date/Time",IFERROR(IF(G524&lt;F524,"Discharge Before Arrival","OK"),"Check Format"))</f>
        <v>OK</v>
      </c>
    </row>
    <row r="525" spans="1:24" x14ac:dyDescent="0.25">
      <c r="A525" s="2" t="s">
        <v>995</v>
      </c>
      <c r="B525" s="2" t="s">
        <v>996</v>
      </c>
      <c r="C525" s="3" t="s">
        <v>29</v>
      </c>
      <c r="D525" s="3" t="s">
        <v>174</v>
      </c>
      <c r="E525" s="4">
        <v>45909.59375</v>
      </c>
      <c r="F525" s="4">
        <v>45909.573611111111</v>
      </c>
      <c r="G525" s="4">
        <v>45909.635416666664</v>
      </c>
      <c r="H525" s="5">
        <v>59</v>
      </c>
      <c r="I525" s="3" t="s">
        <v>95</v>
      </c>
      <c r="J525" s="3" t="s">
        <v>171</v>
      </c>
      <c r="K525" s="5">
        <v>23</v>
      </c>
      <c r="L525" s="5">
        <v>37</v>
      </c>
      <c r="M525" s="3" t="s">
        <v>87</v>
      </c>
      <c r="N525" t="s">
        <v>69</v>
      </c>
      <c r="O525" s="5">
        <v>0</v>
      </c>
      <c r="P525" s="3" t="s">
        <v>25</v>
      </c>
      <c r="Q525" s="2">
        <v>206.29</v>
      </c>
      <c r="R525" s="3" t="s">
        <v>75</v>
      </c>
      <c r="S525">
        <f>COUNTIF(A:A,A525)</f>
        <v>1</v>
      </c>
      <c r="T525" t="str">
        <f>IF(OR(H525="",LOWER(TRIM(H525&amp;""))="missing",LOWER(TRIM(H525&amp;""))=""),"Missing/",IFERROR(IF(OR(VALUE(H525)&lt;0,VALUE(H525)&gt;110),"Invalid","Valid"),"Check Format"))</f>
        <v>Valid</v>
      </c>
      <c r="U525">
        <f>IF(Raw_Data[[#This Row],[Age_Check]]="Valid",H525,"")</f>
        <v>59</v>
      </c>
      <c r="V525" t="str">
        <f>IF(OR(K525="",UPPER(TRIM(K525&amp;""))="",LOWER(TRIM(K525&amp;""))="",LOWER(TRIM(K525&amp;""))="",LOWER(TRIM(K525&amp;""))="missing"),"Missing/",IFERROR(IF(VALUE(K525)&lt;0,"Invalid","Valid"),"Check Format"))</f>
        <v>Valid</v>
      </c>
      <c r="W525" t="str">
        <f>IF(OR(E525="",F525=""),"Missing Date/Time",IFERROR(IF(F525&gt;E525,"Arrival After Appointment","OK"),"Check Format"))</f>
        <v>OK</v>
      </c>
      <c r="X525" t="str">
        <f>IF(OR(F525="",G525=""),"Missing Date/Time",IFERROR(IF(G525&lt;F525,"Discharge Before Arrival","OK"),"Check Format"))</f>
        <v>OK</v>
      </c>
    </row>
    <row r="526" spans="1:24" x14ac:dyDescent="0.25">
      <c r="A526" s="2" t="s">
        <v>997</v>
      </c>
      <c r="B526" s="2" t="s">
        <v>343</v>
      </c>
      <c r="C526" s="3" t="s">
        <v>46</v>
      </c>
      <c r="D526" s="3" t="s">
        <v>174</v>
      </c>
      <c r="E526" s="4">
        <v>45913.736111111109</v>
      </c>
      <c r="F526" s="4">
        <v>45913.718055555553</v>
      </c>
      <c r="G526" s="4">
        <v>45913.826388888891</v>
      </c>
      <c r="J526" s="3" t="s">
        <v>67</v>
      </c>
      <c r="K526" s="5">
        <v>100</v>
      </c>
      <c r="L526" s="5">
        <v>30</v>
      </c>
      <c r="M526" s="3" t="s">
        <v>32</v>
      </c>
      <c r="N526" t="s">
        <v>69</v>
      </c>
      <c r="O526" s="5">
        <v>1</v>
      </c>
      <c r="Q526" s="2">
        <v>128.71</v>
      </c>
      <c r="R526" s="3" t="s">
        <v>26</v>
      </c>
      <c r="S526">
        <f>COUNTIF(A:A,A526)</f>
        <v>1</v>
      </c>
      <c r="T526" t="str">
        <f>IF(OR(H526="",LOWER(TRIM(H526&amp;""))="missing",LOWER(TRIM(H526&amp;""))=""),"Missing/",IFERROR(IF(OR(VALUE(H526)&lt;0,VALUE(H526)&gt;110),"Invalid","Valid"),"Check Format"))</f>
        <v>Missing/</v>
      </c>
      <c r="U526" t="str">
        <f>IF(Raw_Data[[#This Row],[Age_Check]]="Valid",H526,"")</f>
        <v/>
      </c>
      <c r="V526" t="str">
        <f>IF(OR(K526="",UPPER(TRIM(K526&amp;""))="",LOWER(TRIM(K526&amp;""))="",LOWER(TRIM(K526&amp;""))="",LOWER(TRIM(K526&amp;""))="missing"),"Missing/",IFERROR(IF(VALUE(K526)&lt;0,"Invalid","Valid"),"Check Format"))</f>
        <v>Valid</v>
      </c>
      <c r="W526" t="str">
        <f>IF(OR(E526="",F526=""),"Missing Date/Time",IFERROR(IF(F526&gt;E526,"Arrival After Appointment","OK"),"Check Format"))</f>
        <v>OK</v>
      </c>
      <c r="X526" t="str">
        <f>IF(OR(F526="",G526=""),"Missing Date/Time",IFERROR(IF(G526&lt;F526,"Discharge Before Arrival","OK"),"Check Format"))</f>
        <v>OK</v>
      </c>
    </row>
    <row r="527" spans="1:24" x14ac:dyDescent="0.25">
      <c r="A527" s="2" t="s">
        <v>998</v>
      </c>
      <c r="B527" s="2" t="s">
        <v>537</v>
      </c>
      <c r="C527" s="3" t="s">
        <v>46</v>
      </c>
      <c r="D527" s="3" t="s">
        <v>209</v>
      </c>
      <c r="E527" s="4">
        <v>45714.725694444445</v>
      </c>
      <c r="F527" s="4">
        <v>45714.711805555555</v>
      </c>
      <c r="G527" s="4">
        <v>45714.756249999999</v>
      </c>
      <c r="I527" s="3" t="s">
        <v>73</v>
      </c>
      <c r="J527" s="3" t="s">
        <v>171</v>
      </c>
      <c r="K527" s="5">
        <v>27</v>
      </c>
      <c r="L527" s="5">
        <v>17</v>
      </c>
      <c r="M527" s="3" t="s">
        <v>63</v>
      </c>
      <c r="N527" t="s">
        <v>91</v>
      </c>
      <c r="Q527" s="2">
        <v>126.88</v>
      </c>
      <c r="R527" s="3" t="s">
        <v>75</v>
      </c>
      <c r="S527">
        <f>COUNTIF(A:A,A527)</f>
        <v>1</v>
      </c>
      <c r="T527" t="str">
        <f>IF(OR(H527="",LOWER(TRIM(H527&amp;""))="missing",LOWER(TRIM(H527&amp;""))=""),"Missing/",IFERROR(IF(OR(VALUE(H527)&lt;0,VALUE(H527)&gt;110),"Invalid","Valid"),"Check Format"))</f>
        <v>Missing/</v>
      </c>
      <c r="U527" t="str">
        <f>IF(Raw_Data[[#This Row],[Age_Check]]="Valid",H527,"")</f>
        <v/>
      </c>
      <c r="V527" t="str">
        <f>IF(OR(K527="",UPPER(TRIM(K527&amp;""))="",LOWER(TRIM(K527&amp;""))="",LOWER(TRIM(K527&amp;""))="",LOWER(TRIM(K527&amp;""))="missing"),"Missing/",IFERROR(IF(VALUE(K527)&lt;0,"Invalid","Valid"),"Check Format"))</f>
        <v>Valid</v>
      </c>
      <c r="W527" t="str">
        <f>IF(OR(E527="",F527=""),"Missing Date/Time",IFERROR(IF(F527&gt;E527,"Arrival After Appointment","OK"),"Check Format"))</f>
        <v>OK</v>
      </c>
      <c r="X527" t="str">
        <f>IF(OR(F527="",G527=""),"Missing Date/Time",IFERROR(IF(G527&lt;F527,"Discharge Before Arrival","OK"),"Check Format"))</f>
        <v>OK</v>
      </c>
    </row>
    <row r="528" spans="1:24" x14ac:dyDescent="0.25">
      <c r="A528" s="2" t="s">
        <v>999</v>
      </c>
      <c r="B528" s="2" t="s">
        <v>460</v>
      </c>
      <c r="C528" s="3" t="s">
        <v>46</v>
      </c>
      <c r="D528" s="3" t="s">
        <v>20</v>
      </c>
      <c r="E528" s="4" t="s">
        <v>1000</v>
      </c>
      <c r="F528" s="4">
        <v>45443.623611111114</v>
      </c>
      <c r="G528" s="4">
        <v>45443.720833333333</v>
      </c>
      <c r="I528" s="3" t="s">
        <v>73</v>
      </c>
      <c r="J528" s="3" t="s">
        <v>67</v>
      </c>
      <c r="K528" s="5">
        <v>70</v>
      </c>
      <c r="L528" s="5">
        <v>48</v>
      </c>
      <c r="M528" s="3" t="s">
        <v>63</v>
      </c>
      <c r="N528" t="s">
        <v>69</v>
      </c>
      <c r="O528" s="5">
        <v>6</v>
      </c>
      <c r="P528" s="3" t="s">
        <v>25</v>
      </c>
      <c r="Q528" s="2">
        <v>80.75</v>
      </c>
      <c r="R528" s="3" t="s">
        <v>75</v>
      </c>
      <c r="S528">
        <f>COUNTIF(A:A,A528)</f>
        <v>1</v>
      </c>
      <c r="T528" t="str">
        <f>IF(OR(H528="",LOWER(TRIM(H528&amp;""))="missing",LOWER(TRIM(H528&amp;""))=""),"Missing/",IFERROR(IF(OR(VALUE(H528)&lt;0,VALUE(H528)&gt;110),"Invalid","Valid"),"Check Format"))</f>
        <v>Missing/</v>
      </c>
      <c r="U528" t="str">
        <f>IF(Raw_Data[[#This Row],[Age_Check]]="Valid",H528,"")</f>
        <v/>
      </c>
      <c r="V528" t="str">
        <f>IF(OR(K528="",UPPER(TRIM(K528&amp;""))="",LOWER(TRIM(K528&amp;""))="",LOWER(TRIM(K528&amp;""))="",LOWER(TRIM(K528&amp;""))="missing"),"Missing/",IFERROR(IF(VALUE(K528)&lt;0,"Invalid","Valid"),"Check Format"))</f>
        <v>Valid</v>
      </c>
      <c r="W528" t="str">
        <f>IF(OR(E528="",F528=""),"Missing Date/Time",IFERROR(IF(F528&gt;E528,"Arrival After Appointment","OK"),"Check Format"))</f>
        <v>OK</v>
      </c>
      <c r="X528" t="str">
        <f>IF(OR(F528="",G528=""),"Missing Date/Time",IFERROR(IF(G528&lt;F528,"Discharge Before Arrival","OK"),"Check Format"))</f>
        <v>OK</v>
      </c>
    </row>
    <row r="529" spans="1:24" x14ac:dyDescent="0.25">
      <c r="A529" s="2" t="s">
        <v>1001</v>
      </c>
      <c r="B529" s="2" t="s">
        <v>1002</v>
      </c>
      <c r="C529" s="3" t="s">
        <v>94</v>
      </c>
      <c r="D529" s="3" t="s">
        <v>61</v>
      </c>
      <c r="E529" s="4">
        <v>45454.40625</v>
      </c>
      <c r="F529" s="4">
        <v>45602.386805555558</v>
      </c>
      <c r="G529" s="4">
        <v>45602.501388888886</v>
      </c>
      <c r="H529" s="5">
        <v>82</v>
      </c>
      <c r="J529" s="3" t="s">
        <v>67</v>
      </c>
      <c r="K529" s="5">
        <v>110</v>
      </c>
      <c r="L529" s="5">
        <v>27</v>
      </c>
      <c r="M529" s="3" t="s">
        <v>41</v>
      </c>
      <c r="O529" s="5">
        <v>0</v>
      </c>
      <c r="P529" s="3" t="s">
        <v>42</v>
      </c>
      <c r="Q529" s="2">
        <v>143.29</v>
      </c>
      <c r="R529" s="3" t="s">
        <v>26</v>
      </c>
      <c r="S529">
        <f>COUNTIF(A:A,A529)</f>
        <v>1</v>
      </c>
      <c r="T529" t="str">
        <f>IF(OR(H529="",LOWER(TRIM(H529&amp;""))="missing",LOWER(TRIM(H529&amp;""))=""),"Missing/",IFERROR(IF(OR(VALUE(H529)&lt;0,VALUE(H529)&gt;110),"Invalid","Valid"),"Check Format"))</f>
        <v>Valid</v>
      </c>
      <c r="U529">
        <f>IF(Raw_Data[[#This Row],[Age_Check]]="Valid",H529,"")</f>
        <v>82</v>
      </c>
      <c r="V529" t="str">
        <f>IF(OR(K529="",UPPER(TRIM(K529&amp;""))="",LOWER(TRIM(K529&amp;""))="",LOWER(TRIM(K529&amp;""))="",LOWER(TRIM(K529&amp;""))="missing"),"Missing/",IFERROR(IF(VALUE(K529)&lt;0,"Invalid","Valid"),"Check Format"))</f>
        <v>Valid</v>
      </c>
      <c r="W529" t="str">
        <f>IF(OR(E529="",F529=""),"Missing Date/Time",IFERROR(IF(F529&gt;E529,"Arrival After Appointment","OK"),"Check Format"))</f>
        <v>Arrival After Appointment</v>
      </c>
      <c r="X529" t="str">
        <f>IF(OR(F529="",G529=""),"Missing Date/Time",IFERROR(IF(G529&lt;F529,"Discharge Before Arrival","OK"),"Check Format"))</f>
        <v>OK</v>
      </c>
    </row>
    <row r="530" spans="1:24" x14ac:dyDescent="0.25">
      <c r="A530" s="2" t="s">
        <v>1003</v>
      </c>
      <c r="B530" s="2" t="s">
        <v>383</v>
      </c>
      <c r="C530" s="3" t="s">
        <v>46</v>
      </c>
      <c r="D530" s="3" t="s">
        <v>61</v>
      </c>
      <c r="E530" s="4">
        <v>45976.350694444445</v>
      </c>
      <c r="F530" s="4">
        <v>45976.334722222222</v>
      </c>
      <c r="G530" s="4">
        <v>45976.375694444447</v>
      </c>
      <c r="I530" s="3" t="s">
        <v>73</v>
      </c>
      <c r="J530" s="3" t="s">
        <v>2639</v>
      </c>
      <c r="K530" s="5">
        <v>31</v>
      </c>
      <c r="L530" s="5">
        <v>5</v>
      </c>
      <c r="M530" s="3" t="s">
        <v>32</v>
      </c>
      <c r="O530" s="5">
        <v>5</v>
      </c>
      <c r="P530" s="3" t="s">
        <v>42</v>
      </c>
      <c r="Q530" s="2">
        <v>215.72</v>
      </c>
      <c r="R530" s="3" t="s">
        <v>58</v>
      </c>
      <c r="S530">
        <f>COUNTIF(A:A,A530)</f>
        <v>1</v>
      </c>
      <c r="T530" t="str">
        <f>IF(OR(H530="",LOWER(TRIM(H530&amp;""))="missing",LOWER(TRIM(H530&amp;""))=""),"Missing/",IFERROR(IF(OR(VALUE(H530)&lt;0,VALUE(H530)&gt;110),"Invalid","Valid"),"Check Format"))</f>
        <v>Missing/</v>
      </c>
      <c r="U530" t="str">
        <f>IF(Raw_Data[[#This Row],[Age_Check]]="Valid",H530,"")</f>
        <v/>
      </c>
      <c r="V530" t="str">
        <f>IF(OR(K530="",UPPER(TRIM(K530&amp;""))="",LOWER(TRIM(K530&amp;""))="",LOWER(TRIM(K530&amp;""))="",LOWER(TRIM(K530&amp;""))="missing"),"Missing/",IFERROR(IF(VALUE(K530)&lt;0,"Invalid","Valid"),"Check Format"))</f>
        <v>Valid</v>
      </c>
      <c r="W530" t="str">
        <f>IF(OR(E530="",F530=""),"Missing Date/Time",IFERROR(IF(F530&gt;E530,"Arrival After Appointment","OK"),"Check Format"))</f>
        <v>OK</v>
      </c>
      <c r="X530" t="str">
        <f>IF(OR(F530="",G530=""),"Missing Date/Time",IFERROR(IF(G530&lt;F530,"Discharge Before Arrival","OK"),"Check Format"))</f>
        <v>OK</v>
      </c>
    </row>
    <row r="531" spans="1:24" x14ac:dyDescent="0.25">
      <c r="A531" s="2" t="s">
        <v>1004</v>
      </c>
      <c r="B531" s="2" t="s">
        <v>431</v>
      </c>
      <c r="C531" s="3" t="s">
        <v>37</v>
      </c>
      <c r="D531" s="3" t="s">
        <v>106</v>
      </c>
      <c r="E531" s="4">
        <v>45360.486111111109</v>
      </c>
      <c r="F531" s="4">
        <v>45360.46875</v>
      </c>
      <c r="G531" s="4">
        <v>45360.561805555553</v>
      </c>
      <c r="H531" s="5">
        <v>83</v>
      </c>
      <c r="I531" s="3" t="s">
        <v>73</v>
      </c>
      <c r="K531" s="5">
        <v>83</v>
      </c>
      <c r="L531" s="5">
        <v>26</v>
      </c>
      <c r="M531" s="3" t="s">
        <v>32</v>
      </c>
      <c r="N531" t="s">
        <v>69</v>
      </c>
      <c r="P531" s="3" t="s">
        <v>25</v>
      </c>
      <c r="Q531" s="2">
        <v>150.36000000000001</v>
      </c>
      <c r="R531" s="3" t="s">
        <v>43</v>
      </c>
      <c r="S531">
        <f>COUNTIF(A:A,A531)</f>
        <v>1</v>
      </c>
      <c r="T531" t="str">
        <f>IF(OR(H531="",LOWER(TRIM(H531&amp;""))="missing",LOWER(TRIM(H531&amp;""))=""),"Missing/",IFERROR(IF(OR(VALUE(H531)&lt;0,VALUE(H531)&gt;110),"Invalid","Valid"),"Check Format"))</f>
        <v>Valid</v>
      </c>
      <c r="U531">
        <f>IF(Raw_Data[[#This Row],[Age_Check]]="Valid",H531,"")</f>
        <v>83</v>
      </c>
      <c r="V531" t="str">
        <f>IF(OR(K531="",UPPER(TRIM(K531&amp;""))="",LOWER(TRIM(K531&amp;""))="",LOWER(TRIM(K531&amp;""))="",LOWER(TRIM(K531&amp;""))="missing"),"Missing/",IFERROR(IF(VALUE(K531)&lt;0,"Invalid","Valid"),"Check Format"))</f>
        <v>Valid</v>
      </c>
      <c r="W531" t="str">
        <f>IF(OR(E531="",F531=""),"Missing Date/Time",IFERROR(IF(F531&gt;E531,"Arrival After Appointment","OK"),"Check Format"))</f>
        <v>OK</v>
      </c>
      <c r="X531" t="str">
        <f>IF(OR(F531="",G531=""),"Missing Date/Time",IFERROR(IF(G531&lt;F531,"Discharge Before Arrival","OK"),"Check Format"))</f>
        <v>OK</v>
      </c>
    </row>
    <row r="532" spans="1:24" x14ac:dyDescent="0.25">
      <c r="A532" s="2" t="s">
        <v>1005</v>
      </c>
      <c r="B532" s="2" t="s">
        <v>1006</v>
      </c>
      <c r="D532" s="3" t="s">
        <v>20</v>
      </c>
      <c r="E532" s="4">
        <v>45427.638888888891</v>
      </c>
      <c r="F532" s="4">
        <v>45427.627083333333</v>
      </c>
      <c r="G532" s="4">
        <v>45427.695138888892</v>
      </c>
      <c r="I532" s="3" t="s">
        <v>73</v>
      </c>
      <c r="J532" s="3" t="s">
        <v>67</v>
      </c>
      <c r="K532" s="5">
        <v>76</v>
      </c>
      <c r="L532" s="5">
        <v>5</v>
      </c>
      <c r="M532" s="3" t="s">
        <v>50</v>
      </c>
      <c r="N532" t="s">
        <v>24</v>
      </c>
      <c r="O532" s="5">
        <v>1</v>
      </c>
      <c r="P532" s="3" t="s">
        <v>80</v>
      </c>
      <c r="Q532" s="2">
        <v>102.68</v>
      </c>
      <c r="R532" s="3" t="s">
        <v>26</v>
      </c>
      <c r="S532">
        <f>COUNTIF(A:A,A532)</f>
        <v>1</v>
      </c>
      <c r="T532" t="str">
        <f>IF(OR(H532="",LOWER(TRIM(H532&amp;""))="missing",LOWER(TRIM(H532&amp;""))=""),"Missing/",IFERROR(IF(OR(VALUE(H532)&lt;0,VALUE(H532)&gt;110),"Invalid","Valid"),"Check Format"))</f>
        <v>Missing/</v>
      </c>
      <c r="U532" t="str">
        <f>IF(Raw_Data[[#This Row],[Age_Check]]="Valid",H532,"")</f>
        <v/>
      </c>
      <c r="V532" t="str">
        <f>IF(OR(K532="",UPPER(TRIM(K532&amp;""))="",LOWER(TRIM(K532&amp;""))="",LOWER(TRIM(K532&amp;""))="",LOWER(TRIM(K532&amp;""))="missing"),"Missing/",IFERROR(IF(VALUE(K532)&lt;0,"Invalid","Valid"),"Check Format"))</f>
        <v>Valid</v>
      </c>
      <c r="W532" t="str">
        <f>IF(OR(E532="",F532=""),"Missing Date/Time",IFERROR(IF(F532&gt;E532,"Arrival After Appointment","OK"),"Check Format"))</f>
        <v>OK</v>
      </c>
      <c r="X532" t="str">
        <f>IF(OR(F532="",G532=""),"Missing Date/Time",IFERROR(IF(G532&lt;F532,"Discharge Before Arrival","OK"),"Check Format"))</f>
        <v>OK</v>
      </c>
    </row>
    <row r="533" spans="1:24" x14ac:dyDescent="0.25">
      <c r="A533" s="2" t="s">
        <v>1007</v>
      </c>
      <c r="B533" s="2" t="s">
        <v>416</v>
      </c>
      <c r="D533" s="3" t="s">
        <v>99</v>
      </c>
      <c r="E533" s="4">
        <v>45301.6875</v>
      </c>
      <c r="F533" s="4">
        <v>45301.681944444441</v>
      </c>
      <c r="G533" s="4">
        <v>45301.75277777778</v>
      </c>
      <c r="I533" s="3" t="s">
        <v>95</v>
      </c>
      <c r="J533" s="3" t="s">
        <v>62</v>
      </c>
      <c r="K533" s="5">
        <v>85</v>
      </c>
      <c r="L533" s="5">
        <v>9</v>
      </c>
      <c r="M533" s="3" t="s">
        <v>41</v>
      </c>
      <c r="P533" s="3" t="s">
        <v>42</v>
      </c>
      <c r="Q533" s="2">
        <v>168.48</v>
      </c>
      <c r="R533" s="3" t="s">
        <v>26</v>
      </c>
      <c r="S533">
        <f>COUNTIF(A:A,A533)</f>
        <v>1</v>
      </c>
      <c r="T533" t="str">
        <f>IF(OR(H533="",LOWER(TRIM(H533&amp;""))="missing",LOWER(TRIM(H533&amp;""))=""),"Missing/",IFERROR(IF(OR(VALUE(H533)&lt;0,VALUE(H533)&gt;110),"Invalid","Valid"),"Check Format"))</f>
        <v>Missing/</v>
      </c>
      <c r="U533" t="str">
        <f>IF(Raw_Data[[#This Row],[Age_Check]]="Valid",H533,"")</f>
        <v/>
      </c>
      <c r="V533" t="str">
        <f>IF(OR(K533="",UPPER(TRIM(K533&amp;""))="",LOWER(TRIM(K533&amp;""))="",LOWER(TRIM(K533&amp;""))="",LOWER(TRIM(K533&amp;""))="missing"),"Missing/",IFERROR(IF(VALUE(K533)&lt;0,"Invalid","Valid"),"Check Format"))</f>
        <v>Valid</v>
      </c>
      <c r="W533" t="str">
        <f>IF(OR(E533="",F533=""),"Missing Date/Time",IFERROR(IF(F533&gt;E533,"Arrival After Appointment","OK"),"Check Format"))</f>
        <v>OK</v>
      </c>
      <c r="X533" t="str">
        <f>IF(OR(F533="",G533=""),"Missing Date/Time",IFERROR(IF(G533&lt;F533,"Discharge Before Arrival","OK"),"Check Format"))</f>
        <v>OK</v>
      </c>
    </row>
    <row r="534" spans="1:24" x14ac:dyDescent="0.25">
      <c r="A534" s="2" t="s">
        <v>1008</v>
      </c>
      <c r="B534" s="2" t="s">
        <v>283</v>
      </c>
      <c r="C534" s="3" t="s">
        <v>29</v>
      </c>
      <c r="D534" s="3" t="s">
        <v>38</v>
      </c>
      <c r="E534" s="4">
        <v>45608.732638888891</v>
      </c>
      <c r="F534" s="4">
        <v>45608.72152777778</v>
      </c>
      <c r="G534" s="4">
        <v>45608.767361111109</v>
      </c>
      <c r="H534" s="5">
        <v>20</v>
      </c>
      <c r="I534" s="3" t="s">
        <v>95</v>
      </c>
      <c r="J534" s="3" t="s">
        <v>62</v>
      </c>
      <c r="K534" s="5">
        <v>10</v>
      </c>
      <c r="L534" s="5">
        <v>40</v>
      </c>
      <c r="M534" s="3" t="s">
        <v>63</v>
      </c>
      <c r="N534" t="s">
        <v>100</v>
      </c>
      <c r="P534" s="3" t="s">
        <v>42</v>
      </c>
      <c r="Q534" s="2">
        <v>142.15</v>
      </c>
      <c r="R534" s="3" t="s">
        <v>43</v>
      </c>
      <c r="S534">
        <f>COUNTIF(A:A,A534)</f>
        <v>1</v>
      </c>
      <c r="T534" t="str">
        <f>IF(OR(H534="",LOWER(TRIM(H534&amp;""))="missing",LOWER(TRIM(H534&amp;""))=""),"Missing/",IFERROR(IF(OR(VALUE(H534)&lt;0,VALUE(H534)&gt;110),"Invalid","Valid"),"Check Format"))</f>
        <v>Valid</v>
      </c>
      <c r="U534">
        <f>IF(Raw_Data[[#This Row],[Age_Check]]="Valid",H534,"")</f>
        <v>20</v>
      </c>
      <c r="V534" t="str">
        <f>IF(OR(K534="",UPPER(TRIM(K534&amp;""))="",LOWER(TRIM(K534&amp;""))="",LOWER(TRIM(K534&amp;""))="",LOWER(TRIM(K534&amp;""))="missing"),"Missing/",IFERROR(IF(VALUE(K534)&lt;0,"Invalid","Valid"),"Check Format"))</f>
        <v>Valid</v>
      </c>
      <c r="W534" t="str">
        <f>IF(OR(E534="",F534=""),"Missing Date/Time",IFERROR(IF(F534&gt;E534,"Arrival After Appointment","OK"),"Check Format"))</f>
        <v>OK</v>
      </c>
      <c r="X534" t="str">
        <f>IF(OR(F534="",G534=""),"Missing Date/Time",IFERROR(IF(G534&lt;F534,"Discharge Before Arrival","OK"),"Check Format"))</f>
        <v>OK</v>
      </c>
    </row>
    <row r="535" spans="1:24" x14ac:dyDescent="0.25">
      <c r="A535" s="2" t="s">
        <v>1009</v>
      </c>
      <c r="B535" s="2" t="s">
        <v>1010</v>
      </c>
      <c r="C535" s="3" t="s">
        <v>46</v>
      </c>
      <c r="D535" s="3" t="s">
        <v>38</v>
      </c>
      <c r="E535" s="4">
        <v>45606.638888888891</v>
      </c>
      <c r="F535" s="4">
        <v>45606.634722222225</v>
      </c>
      <c r="G535" s="4">
        <v>45606.675694444442</v>
      </c>
      <c r="H535" s="5">
        <v>41</v>
      </c>
      <c r="I535" s="3" t="s">
        <v>73</v>
      </c>
      <c r="J535" s="3" t="s">
        <v>150</v>
      </c>
      <c r="K535" s="5">
        <v>1</v>
      </c>
      <c r="L535" s="5">
        <v>52</v>
      </c>
      <c r="N535" t="s">
        <v>69</v>
      </c>
      <c r="P535" s="3" t="s">
        <v>80</v>
      </c>
      <c r="Q535" s="2">
        <v>86.23</v>
      </c>
      <c r="R535" s="3" t="s">
        <v>26</v>
      </c>
      <c r="S535">
        <f>COUNTIF(A:A,A535)</f>
        <v>1</v>
      </c>
      <c r="T535" t="str">
        <f>IF(OR(H535="",LOWER(TRIM(H535&amp;""))="missing",LOWER(TRIM(H535&amp;""))=""),"Missing/",IFERROR(IF(OR(VALUE(H535)&lt;0,VALUE(H535)&gt;110),"Invalid","Valid"),"Check Format"))</f>
        <v>Valid</v>
      </c>
      <c r="U535">
        <f>IF(Raw_Data[[#This Row],[Age_Check]]="Valid",H535,"")</f>
        <v>41</v>
      </c>
      <c r="V535" t="str">
        <f>IF(OR(K535="",UPPER(TRIM(K535&amp;""))="",LOWER(TRIM(K535&amp;""))="",LOWER(TRIM(K535&amp;""))="",LOWER(TRIM(K535&amp;""))="missing"),"Missing/",IFERROR(IF(VALUE(K535)&lt;0,"Invalid","Valid"),"Check Format"))</f>
        <v>Valid</v>
      </c>
      <c r="W535" t="str">
        <f>IF(OR(E535="",F535=""),"Missing Date/Time",IFERROR(IF(F535&gt;E535,"Arrival After Appointment","OK"),"Check Format"))</f>
        <v>OK</v>
      </c>
      <c r="X535" t="str">
        <f>IF(OR(F535="",G535=""),"Missing Date/Time",IFERROR(IF(G535&lt;F535,"Discharge Before Arrival","OK"),"Check Format"))</f>
        <v>OK</v>
      </c>
    </row>
    <row r="536" spans="1:24" x14ac:dyDescent="0.25">
      <c r="A536" s="2" t="s">
        <v>1011</v>
      </c>
      <c r="B536" s="2" t="s">
        <v>1012</v>
      </c>
      <c r="C536" s="3" t="s">
        <v>46</v>
      </c>
      <c r="D536" s="3" t="s">
        <v>209</v>
      </c>
      <c r="E536" s="4">
        <v>45332.430555555555</v>
      </c>
      <c r="F536" s="4">
        <v>45567.42291666667</v>
      </c>
      <c r="G536" s="4">
        <v>45567.474999999999</v>
      </c>
      <c r="I536" s="3" t="s">
        <v>95</v>
      </c>
      <c r="J536" s="3" t="s">
        <v>62</v>
      </c>
      <c r="K536" s="5">
        <v>29</v>
      </c>
      <c r="L536" s="5">
        <v>35</v>
      </c>
      <c r="N536" t="s">
        <v>69</v>
      </c>
      <c r="O536" s="5">
        <v>1</v>
      </c>
      <c r="P536" s="3" t="s">
        <v>80</v>
      </c>
      <c r="Q536" s="2">
        <v>236.89</v>
      </c>
      <c r="R536" s="3" t="s">
        <v>43</v>
      </c>
      <c r="S536">
        <f>COUNTIF(A:A,A536)</f>
        <v>1</v>
      </c>
      <c r="T536" t="str">
        <f>IF(OR(H536="",LOWER(TRIM(H536&amp;""))="missing",LOWER(TRIM(H536&amp;""))=""),"Missing/",IFERROR(IF(OR(VALUE(H536)&lt;0,VALUE(H536)&gt;110),"Invalid","Valid"),"Check Format"))</f>
        <v>Missing/</v>
      </c>
      <c r="U536" t="str">
        <f>IF(Raw_Data[[#This Row],[Age_Check]]="Valid",H536,"")</f>
        <v/>
      </c>
      <c r="V536" t="str">
        <f>IF(OR(K536="",UPPER(TRIM(K536&amp;""))="",LOWER(TRIM(K536&amp;""))="",LOWER(TRIM(K536&amp;""))="",LOWER(TRIM(K536&amp;""))="missing"),"Missing/",IFERROR(IF(VALUE(K536)&lt;0,"Invalid","Valid"),"Check Format"))</f>
        <v>Valid</v>
      </c>
      <c r="W536" t="str">
        <f>IF(OR(E536="",F536=""),"Missing Date/Time",IFERROR(IF(F536&gt;E536,"Arrival After Appointment","OK"),"Check Format"))</f>
        <v>Arrival After Appointment</v>
      </c>
      <c r="X536" t="str">
        <f>IF(OR(F536="",G536=""),"Missing Date/Time",IFERROR(IF(G536&lt;F536,"Discharge Before Arrival","OK"),"Check Format"))</f>
        <v>OK</v>
      </c>
    </row>
    <row r="537" spans="1:24" x14ac:dyDescent="0.25">
      <c r="A537" s="2" t="s">
        <v>1013</v>
      </c>
      <c r="B537" s="2" t="s">
        <v>488</v>
      </c>
      <c r="C537" s="3" t="s">
        <v>94</v>
      </c>
      <c r="D537" s="3" t="s">
        <v>61</v>
      </c>
      <c r="E537" s="4" t="s">
        <v>1014</v>
      </c>
      <c r="F537" s="4">
        <v>46013.420138888891</v>
      </c>
      <c r="G537" s="4">
        <v>46013.465277777781</v>
      </c>
      <c r="H537" s="5">
        <v>25</v>
      </c>
      <c r="J537" s="3" t="s">
        <v>22</v>
      </c>
      <c r="K537" s="5">
        <v>22</v>
      </c>
      <c r="L537" s="5">
        <v>33</v>
      </c>
      <c r="M537" s="3" t="s">
        <v>32</v>
      </c>
      <c r="N537" t="s">
        <v>103</v>
      </c>
      <c r="O537" s="5">
        <v>1</v>
      </c>
      <c r="P537" s="3" t="s">
        <v>80</v>
      </c>
      <c r="Q537" s="2">
        <v>179.31</v>
      </c>
      <c r="R537" s="3" t="s">
        <v>58</v>
      </c>
      <c r="S537">
        <f>COUNTIF(A:A,A537)</f>
        <v>1</v>
      </c>
      <c r="T537" t="str">
        <f>IF(OR(H537="",LOWER(TRIM(H537&amp;""))="missing",LOWER(TRIM(H537&amp;""))=""),"Missing/",IFERROR(IF(OR(VALUE(H537)&lt;0,VALUE(H537)&gt;110),"Invalid","Valid"),"Check Format"))</f>
        <v>Valid</v>
      </c>
      <c r="U537">
        <f>IF(Raw_Data[[#This Row],[Age_Check]]="Valid",H537,"")</f>
        <v>25</v>
      </c>
      <c r="V537" t="str">
        <f>IF(OR(K537="",UPPER(TRIM(K537&amp;""))="",LOWER(TRIM(K537&amp;""))="",LOWER(TRIM(K537&amp;""))="",LOWER(TRIM(K537&amp;""))="missing"),"Missing/",IFERROR(IF(VALUE(K537)&lt;0,"Invalid","Valid"),"Check Format"))</f>
        <v>Valid</v>
      </c>
      <c r="W537" t="str">
        <f>IF(OR(E537="",F537=""),"Missing Date/Time",IFERROR(IF(F537&gt;E537,"Arrival After Appointment","OK"),"Check Format"))</f>
        <v>OK</v>
      </c>
      <c r="X537" t="str">
        <f>IF(OR(F537="",G537=""),"Missing Date/Time",IFERROR(IF(G537&lt;F537,"Discharge Before Arrival","OK"),"Check Format"))</f>
        <v>OK</v>
      </c>
    </row>
    <row r="538" spans="1:24" x14ac:dyDescent="0.25">
      <c r="A538" s="2" t="s">
        <v>1015</v>
      </c>
      <c r="B538" s="2" t="s">
        <v>699</v>
      </c>
      <c r="C538" s="3" t="s">
        <v>94</v>
      </c>
      <c r="D538" s="3" t="s">
        <v>20</v>
      </c>
      <c r="E538" s="4" t="s">
        <v>1016</v>
      </c>
      <c r="H538" s="5">
        <v>145</v>
      </c>
      <c r="I538" s="3" t="s">
        <v>39</v>
      </c>
      <c r="J538" s="3" t="s">
        <v>62</v>
      </c>
      <c r="K538" s="5">
        <v>82</v>
      </c>
      <c r="L538" s="5">
        <v>35</v>
      </c>
      <c r="M538" s="3" t="s">
        <v>32</v>
      </c>
      <c r="N538" t="s">
        <v>103</v>
      </c>
      <c r="O538" s="5">
        <v>4</v>
      </c>
      <c r="P538" s="3" t="s">
        <v>42</v>
      </c>
      <c r="Q538" s="2">
        <v>115.64</v>
      </c>
      <c r="R538" s="3" t="s">
        <v>58</v>
      </c>
      <c r="S538">
        <f>COUNTIF(A:A,A538)</f>
        <v>1</v>
      </c>
      <c r="T538" t="str">
        <f>IF(OR(H538="",LOWER(TRIM(H538&amp;""))="missing",LOWER(TRIM(H538&amp;""))=""),"Missing/",IFERROR(IF(OR(VALUE(H538)&lt;0,VALUE(H538)&gt;110),"Invalid","Valid"),"Check Format"))</f>
        <v>Invalid</v>
      </c>
      <c r="U538" t="str">
        <f>IF(Raw_Data[[#This Row],[Age_Check]]="Valid",H538,"")</f>
        <v/>
      </c>
      <c r="V538" t="str">
        <f>IF(OR(K538="",UPPER(TRIM(K538&amp;""))="",LOWER(TRIM(K538&amp;""))="",LOWER(TRIM(K538&amp;""))="",LOWER(TRIM(K538&amp;""))="missing"),"Missing/",IFERROR(IF(VALUE(K538)&lt;0,"Invalid","Valid"),"Check Format"))</f>
        <v>Valid</v>
      </c>
      <c r="W538" t="str">
        <f>IF(OR(E538="",F538=""),"Missing Date/Time",IFERROR(IF(F538&gt;E538,"Arrival After Appointment","OK"),"Check Format"))</f>
        <v>Missing Date/Time</v>
      </c>
      <c r="X538" t="str">
        <f>IF(OR(F538="",G538=""),"Missing Date/Time",IFERROR(IF(G538&lt;F538,"Discharge Before Arrival","OK"),"Check Format"))</f>
        <v>Missing Date/Time</v>
      </c>
    </row>
    <row r="539" spans="1:24" x14ac:dyDescent="0.25">
      <c r="A539" s="2" t="s">
        <v>1017</v>
      </c>
      <c r="B539" s="2" t="s">
        <v>249</v>
      </c>
      <c r="C539" s="3" t="s">
        <v>46</v>
      </c>
      <c r="D539" s="3" t="s">
        <v>174</v>
      </c>
      <c r="E539" s="4">
        <v>45879.444444444445</v>
      </c>
      <c r="F539" s="4">
        <v>45879.426388888889</v>
      </c>
      <c r="G539" s="4">
        <v>45879.487500000003</v>
      </c>
      <c r="H539" s="5">
        <v>2</v>
      </c>
      <c r="I539" s="3" t="s">
        <v>39</v>
      </c>
      <c r="J539" s="3" t="s">
        <v>62</v>
      </c>
      <c r="K539" s="5">
        <v>29</v>
      </c>
      <c r="L539" s="5">
        <v>33</v>
      </c>
      <c r="M539" s="3" t="s">
        <v>41</v>
      </c>
      <c r="N539" t="s">
        <v>24</v>
      </c>
      <c r="P539" s="3" t="s">
        <v>80</v>
      </c>
      <c r="Q539" s="2">
        <v>59.23</v>
      </c>
      <c r="R539" s="3" t="s">
        <v>75</v>
      </c>
      <c r="S539">
        <f>COUNTIF(A:A,A539)</f>
        <v>1</v>
      </c>
      <c r="T539" t="str">
        <f>IF(OR(H539="",LOWER(TRIM(H539&amp;""))="missing",LOWER(TRIM(H539&amp;""))=""),"Missing/",IFERROR(IF(OR(VALUE(H539)&lt;0,VALUE(H539)&gt;110),"Invalid","Valid"),"Check Format"))</f>
        <v>Valid</v>
      </c>
      <c r="U539">
        <f>IF(Raw_Data[[#This Row],[Age_Check]]="Valid",H539,"")</f>
        <v>2</v>
      </c>
      <c r="V539" t="str">
        <f>IF(OR(K539="",UPPER(TRIM(K539&amp;""))="",LOWER(TRIM(K539&amp;""))="",LOWER(TRIM(K539&amp;""))="",LOWER(TRIM(K539&amp;""))="missing"),"Missing/",IFERROR(IF(VALUE(K539)&lt;0,"Invalid","Valid"),"Check Format"))</f>
        <v>Valid</v>
      </c>
      <c r="W539" t="str">
        <f>IF(OR(E539="",F539=""),"Missing Date/Time",IFERROR(IF(F539&gt;E539,"Arrival After Appointment","OK"),"Check Format"))</f>
        <v>OK</v>
      </c>
      <c r="X539" t="str">
        <f>IF(OR(F539="",G539=""),"Missing Date/Time",IFERROR(IF(G539&lt;F539,"Discharge Before Arrival","OK"),"Check Format"))</f>
        <v>OK</v>
      </c>
    </row>
    <row r="540" spans="1:24" x14ac:dyDescent="0.25">
      <c r="A540" s="2" t="s">
        <v>1018</v>
      </c>
      <c r="B540" s="2" t="s">
        <v>949</v>
      </c>
      <c r="C540" s="3" t="s">
        <v>94</v>
      </c>
      <c r="D540" s="3" t="s">
        <v>55</v>
      </c>
      <c r="E540" s="4">
        <v>45553.704861111109</v>
      </c>
      <c r="F540" s="4">
        <v>45553.694444444445</v>
      </c>
      <c r="G540" s="4">
        <v>45553.731944444444</v>
      </c>
      <c r="H540" s="5">
        <v>145</v>
      </c>
      <c r="I540" s="3" t="s">
        <v>39</v>
      </c>
      <c r="J540" s="3" t="s">
        <v>67</v>
      </c>
      <c r="K540" s="5">
        <v>0</v>
      </c>
      <c r="L540" s="5">
        <v>39</v>
      </c>
      <c r="M540" s="3" t="s">
        <v>87</v>
      </c>
      <c r="O540" s="5">
        <v>6</v>
      </c>
      <c r="Q540" s="2">
        <v>217.31</v>
      </c>
      <c r="R540" s="3" t="s">
        <v>26</v>
      </c>
      <c r="S540">
        <f>COUNTIF(A:A,A540)</f>
        <v>1</v>
      </c>
      <c r="T540" t="str">
        <f>IF(OR(H540="",LOWER(TRIM(H540&amp;""))="missing",LOWER(TRIM(H540&amp;""))=""),"Missing/",IFERROR(IF(OR(VALUE(H540)&lt;0,VALUE(H540)&gt;110),"Invalid","Valid"),"Check Format"))</f>
        <v>Invalid</v>
      </c>
      <c r="U540" t="str">
        <f>IF(Raw_Data[[#This Row],[Age_Check]]="Valid",H540,"")</f>
        <v/>
      </c>
      <c r="V540" t="str">
        <f>IF(OR(K540="",UPPER(TRIM(K540&amp;""))="",LOWER(TRIM(K540&amp;""))="",LOWER(TRIM(K540&amp;""))="",LOWER(TRIM(K540&amp;""))="missing"),"Missing/",IFERROR(IF(VALUE(K540)&lt;0,"Invalid","Valid"),"Check Format"))</f>
        <v>Valid</v>
      </c>
      <c r="W540" t="str">
        <f>IF(OR(E540="",F540=""),"Missing Date/Time",IFERROR(IF(F540&gt;E540,"Arrival After Appointment","OK"),"Check Format"))</f>
        <v>OK</v>
      </c>
      <c r="X540" t="str">
        <f>IF(OR(F540="",G540=""),"Missing Date/Time",IFERROR(IF(G540&lt;F540,"Discharge Before Arrival","OK"),"Check Format"))</f>
        <v>OK</v>
      </c>
    </row>
    <row r="541" spans="1:24" x14ac:dyDescent="0.25">
      <c r="A541" s="2" t="s">
        <v>1019</v>
      </c>
      <c r="B541" s="2" t="s">
        <v>545</v>
      </c>
      <c r="C541" s="3" t="s">
        <v>19</v>
      </c>
      <c r="D541" s="3" t="s">
        <v>38</v>
      </c>
      <c r="E541" s="4">
        <v>45369.670138888891</v>
      </c>
      <c r="F541" s="4">
        <v>45369.660416666666</v>
      </c>
      <c r="G541" s="4">
        <v>45369.679166666669</v>
      </c>
      <c r="I541" s="3" t="s">
        <v>95</v>
      </c>
      <c r="K541" s="5">
        <v>0</v>
      </c>
      <c r="L541" s="5">
        <v>13</v>
      </c>
      <c r="M541" s="3" t="s">
        <v>63</v>
      </c>
      <c r="N541" t="s">
        <v>24</v>
      </c>
      <c r="P541" s="3" t="s">
        <v>25</v>
      </c>
      <c r="Q541" s="2">
        <v>194.53</v>
      </c>
      <c r="R541" s="3" t="s">
        <v>26</v>
      </c>
      <c r="S541">
        <f>COUNTIF(A:A,A541)</f>
        <v>1</v>
      </c>
      <c r="T541" t="str">
        <f>IF(OR(H541="",LOWER(TRIM(H541&amp;""))="missing",LOWER(TRIM(H541&amp;""))=""),"Missing/",IFERROR(IF(OR(VALUE(H541)&lt;0,VALUE(H541)&gt;110),"Invalid","Valid"),"Check Format"))</f>
        <v>Missing/</v>
      </c>
      <c r="U541" t="str">
        <f>IF(Raw_Data[[#This Row],[Age_Check]]="Valid",H541,"")</f>
        <v/>
      </c>
      <c r="V541" t="str">
        <f>IF(OR(K541="",UPPER(TRIM(K541&amp;""))="",LOWER(TRIM(K541&amp;""))="",LOWER(TRIM(K541&amp;""))="",LOWER(TRIM(K541&amp;""))="missing"),"Missing/",IFERROR(IF(VALUE(K541)&lt;0,"Invalid","Valid"),"Check Format"))</f>
        <v>Valid</v>
      </c>
      <c r="W541" t="str">
        <f>IF(OR(E541="",F541=""),"Missing Date/Time",IFERROR(IF(F541&gt;E541,"Arrival After Appointment","OK"),"Check Format"))</f>
        <v>OK</v>
      </c>
      <c r="X541" t="str">
        <f>IF(OR(F541="",G541=""),"Missing Date/Time",IFERROR(IF(G541&lt;F541,"Discharge Before Arrival","OK"),"Check Format"))</f>
        <v>OK</v>
      </c>
    </row>
    <row r="542" spans="1:24" x14ac:dyDescent="0.25">
      <c r="A542" s="2" t="s">
        <v>1020</v>
      </c>
      <c r="B542" s="2" t="s">
        <v>474</v>
      </c>
      <c r="C542" s="3" t="s">
        <v>37</v>
      </c>
      <c r="D542" s="3" t="s">
        <v>23</v>
      </c>
      <c r="E542" s="4">
        <v>45734.3125</v>
      </c>
      <c r="F542" s="4">
        <v>45734.30972222222</v>
      </c>
      <c r="G542" s="4">
        <v>45734.425000000003</v>
      </c>
      <c r="I542" s="3" t="s">
        <v>39</v>
      </c>
      <c r="J542" s="3" t="s">
        <v>22</v>
      </c>
      <c r="K542" s="5">
        <v>130</v>
      </c>
      <c r="L542" s="5">
        <v>32</v>
      </c>
      <c r="M542" s="3" t="s">
        <v>32</v>
      </c>
      <c r="N542" t="s">
        <v>24</v>
      </c>
      <c r="Q542" s="2">
        <v>86.76</v>
      </c>
      <c r="R542" s="3" t="s">
        <v>43</v>
      </c>
      <c r="S542">
        <f>COUNTIF(A:A,A542)</f>
        <v>1</v>
      </c>
      <c r="T542" t="str">
        <f>IF(OR(H542="",LOWER(TRIM(H542&amp;""))="missing",LOWER(TRIM(H542&amp;""))=""),"Missing/",IFERROR(IF(OR(VALUE(H542)&lt;0,VALUE(H542)&gt;110),"Invalid","Valid"),"Check Format"))</f>
        <v>Missing/</v>
      </c>
      <c r="U542" t="str">
        <f>IF(Raw_Data[[#This Row],[Age_Check]]="Valid",H542,"")</f>
        <v/>
      </c>
      <c r="V542" t="str">
        <f>IF(OR(K542="",UPPER(TRIM(K542&amp;""))="",LOWER(TRIM(K542&amp;""))="",LOWER(TRIM(K542&amp;""))="",LOWER(TRIM(K542&amp;""))="missing"),"Missing/",IFERROR(IF(VALUE(K542)&lt;0,"Invalid","Valid"),"Check Format"))</f>
        <v>Valid</v>
      </c>
      <c r="W542" t="str">
        <f>IF(OR(E542="",F542=""),"Missing Date/Time",IFERROR(IF(F542&gt;E542,"Arrival After Appointment","OK"),"Check Format"))</f>
        <v>OK</v>
      </c>
      <c r="X542" t="str">
        <f>IF(OR(F542="",G542=""),"Missing Date/Time",IFERROR(IF(G542&lt;F542,"Discharge Before Arrival","OK"),"Check Format"))</f>
        <v>OK</v>
      </c>
    </row>
    <row r="543" spans="1:24" x14ac:dyDescent="0.25">
      <c r="A543" s="2" t="s">
        <v>1021</v>
      </c>
      <c r="B543" s="2" t="s">
        <v>214</v>
      </c>
      <c r="C543" s="3" t="s">
        <v>19</v>
      </c>
      <c r="D543" s="3" t="s">
        <v>38</v>
      </c>
      <c r="E543" s="4">
        <v>45318.65625</v>
      </c>
      <c r="F543" s="4">
        <v>45318.649305555555</v>
      </c>
      <c r="G543" s="4">
        <v>45318.730555555558</v>
      </c>
      <c r="H543" s="5">
        <v>26</v>
      </c>
      <c r="I543" s="3" t="s">
        <v>90</v>
      </c>
      <c r="J543" s="3" t="s">
        <v>67</v>
      </c>
      <c r="K543" s="5">
        <v>51</v>
      </c>
      <c r="L543" s="5">
        <v>56</v>
      </c>
      <c r="M543" s="3" t="s">
        <v>68</v>
      </c>
      <c r="N543" t="s">
        <v>69</v>
      </c>
      <c r="O543" s="5">
        <v>2</v>
      </c>
      <c r="Q543" s="2">
        <v>93.32</v>
      </c>
      <c r="R543" s="3" t="s">
        <v>43</v>
      </c>
      <c r="S543">
        <f>COUNTIF(A:A,A543)</f>
        <v>1</v>
      </c>
      <c r="T543" t="str">
        <f>IF(OR(H543="",LOWER(TRIM(H543&amp;""))="missing",LOWER(TRIM(H543&amp;""))=""),"Missing/",IFERROR(IF(OR(VALUE(H543)&lt;0,VALUE(H543)&gt;110),"Invalid","Valid"),"Check Format"))</f>
        <v>Valid</v>
      </c>
      <c r="U543">
        <f>IF(Raw_Data[[#This Row],[Age_Check]]="Valid",H543,"")</f>
        <v>26</v>
      </c>
      <c r="V543" t="str">
        <f>IF(OR(K543="",UPPER(TRIM(K543&amp;""))="",LOWER(TRIM(K543&amp;""))="",LOWER(TRIM(K543&amp;""))="",LOWER(TRIM(K543&amp;""))="missing"),"Missing/",IFERROR(IF(VALUE(K543)&lt;0,"Invalid","Valid"),"Check Format"))</f>
        <v>Valid</v>
      </c>
      <c r="W543" t="str">
        <f>IF(OR(E543="",F543=""),"Missing Date/Time",IFERROR(IF(F543&gt;E543,"Arrival After Appointment","OK"),"Check Format"))</f>
        <v>OK</v>
      </c>
      <c r="X543" t="str">
        <f>IF(OR(F543="",G543=""),"Missing Date/Time",IFERROR(IF(G543&lt;F543,"Discharge Before Arrival","OK"),"Check Format"))</f>
        <v>OK</v>
      </c>
    </row>
    <row r="544" spans="1:24" x14ac:dyDescent="0.25">
      <c r="A544" s="2" t="s">
        <v>1022</v>
      </c>
      <c r="B544" s="2" t="s">
        <v>1023</v>
      </c>
      <c r="C544" s="3" t="s">
        <v>94</v>
      </c>
      <c r="D544" s="3" t="s">
        <v>72</v>
      </c>
      <c r="E544" s="4">
        <v>45676.315972222219</v>
      </c>
      <c r="F544" s="4">
        <v>45676.299305555556</v>
      </c>
      <c r="G544" s="4">
        <v>45676.352777777778</v>
      </c>
      <c r="H544" s="5">
        <v>11</v>
      </c>
      <c r="J544" s="3" t="s">
        <v>2639</v>
      </c>
      <c r="K544" s="5">
        <v>30</v>
      </c>
      <c r="L544" s="5">
        <v>23</v>
      </c>
      <c r="M544" s="3" t="s">
        <v>23</v>
      </c>
      <c r="N544" t="s">
        <v>69</v>
      </c>
      <c r="O544" s="5">
        <v>0</v>
      </c>
      <c r="P544" s="3" t="s">
        <v>42</v>
      </c>
      <c r="Q544" s="2">
        <v>68.73</v>
      </c>
      <c r="R544" s="3" t="s">
        <v>75</v>
      </c>
      <c r="S544">
        <f>COUNTIF(A:A,A544)</f>
        <v>1</v>
      </c>
      <c r="T544" t="str">
        <f>IF(OR(H544="",LOWER(TRIM(H544&amp;""))="missing",LOWER(TRIM(H544&amp;""))=""),"Missing/",IFERROR(IF(OR(VALUE(H544)&lt;0,VALUE(H544)&gt;110),"Invalid","Valid"),"Check Format"))</f>
        <v>Valid</v>
      </c>
      <c r="U544">
        <f>IF(Raw_Data[[#This Row],[Age_Check]]="Valid",H544,"")</f>
        <v>11</v>
      </c>
      <c r="V544" t="str">
        <f>IF(OR(K544="",UPPER(TRIM(K544&amp;""))="",LOWER(TRIM(K544&amp;""))="",LOWER(TRIM(K544&amp;""))="",LOWER(TRIM(K544&amp;""))="missing"),"Missing/",IFERROR(IF(VALUE(K544)&lt;0,"Invalid","Valid"),"Check Format"))</f>
        <v>Valid</v>
      </c>
      <c r="W544" t="str">
        <f>IF(OR(E544="",F544=""),"Missing Date/Time",IFERROR(IF(F544&gt;E544,"Arrival After Appointment","OK"),"Check Format"))</f>
        <v>OK</v>
      </c>
      <c r="X544" t="str">
        <f>IF(OR(F544="",G544=""),"Missing Date/Time",IFERROR(IF(G544&lt;F544,"Discharge Before Arrival","OK"),"Check Format"))</f>
        <v>OK</v>
      </c>
    </row>
    <row r="545" spans="1:24" x14ac:dyDescent="0.25">
      <c r="A545" s="2" t="s">
        <v>1024</v>
      </c>
      <c r="B545" s="2" t="s">
        <v>584</v>
      </c>
      <c r="C545" s="3" t="s">
        <v>46</v>
      </c>
      <c r="D545" s="3" t="s">
        <v>115</v>
      </c>
      <c r="E545" s="4">
        <v>45811.524305555555</v>
      </c>
      <c r="F545" s="4">
        <v>45811.515277777777</v>
      </c>
      <c r="G545" s="4">
        <v>45811.609722222223</v>
      </c>
      <c r="I545" s="3" t="s">
        <v>90</v>
      </c>
      <c r="J545" s="3" t="s">
        <v>22</v>
      </c>
      <c r="K545" s="5">
        <v>62</v>
      </c>
      <c r="L545" s="5">
        <v>61</v>
      </c>
      <c r="M545" s="3" t="s">
        <v>23</v>
      </c>
      <c r="N545" t="s">
        <v>69</v>
      </c>
      <c r="P545" s="3" t="s">
        <v>25</v>
      </c>
      <c r="Q545" s="2">
        <v>170.85</v>
      </c>
      <c r="R545" s="3" t="s">
        <v>58</v>
      </c>
      <c r="S545">
        <f>COUNTIF(A:A,A545)</f>
        <v>1</v>
      </c>
      <c r="T545" t="str">
        <f>IF(OR(H545="",LOWER(TRIM(H545&amp;""))="missing",LOWER(TRIM(H545&amp;""))=""),"Missing/",IFERROR(IF(OR(VALUE(H545)&lt;0,VALUE(H545)&gt;110),"Invalid","Valid"),"Check Format"))</f>
        <v>Missing/</v>
      </c>
      <c r="U545" t="str">
        <f>IF(Raw_Data[[#This Row],[Age_Check]]="Valid",H545,"")</f>
        <v/>
      </c>
      <c r="V545" t="str">
        <f>IF(OR(K545="",UPPER(TRIM(K545&amp;""))="",LOWER(TRIM(K545&amp;""))="",LOWER(TRIM(K545&amp;""))="",LOWER(TRIM(K545&amp;""))="missing"),"Missing/",IFERROR(IF(VALUE(K545)&lt;0,"Invalid","Valid"),"Check Format"))</f>
        <v>Valid</v>
      </c>
      <c r="W545" t="str">
        <f>IF(OR(E545="",F545=""),"Missing Date/Time",IFERROR(IF(F545&gt;E545,"Arrival After Appointment","OK"),"Check Format"))</f>
        <v>OK</v>
      </c>
      <c r="X545" t="str">
        <f>IF(OR(F545="",G545=""),"Missing Date/Time",IFERROR(IF(G545&lt;F545,"Discharge Before Arrival","OK"),"Check Format"))</f>
        <v>OK</v>
      </c>
    </row>
    <row r="546" spans="1:24" x14ac:dyDescent="0.25">
      <c r="A546" s="2" t="s">
        <v>1025</v>
      </c>
      <c r="B546" s="2" t="s">
        <v>1026</v>
      </c>
      <c r="C546" s="3" t="s">
        <v>46</v>
      </c>
      <c r="D546" s="3" t="s">
        <v>106</v>
      </c>
      <c r="E546" s="4">
        <v>45954.5</v>
      </c>
      <c r="F546" s="4">
        <v>45954.49722222222</v>
      </c>
      <c r="G546" s="4">
        <v>45954.552083333336</v>
      </c>
      <c r="H546" s="5">
        <v>60</v>
      </c>
      <c r="J546" s="3" t="s">
        <v>171</v>
      </c>
      <c r="K546" s="5">
        <v>49</v>
      </c>
      <c r="L546" s="5">
        <v>26</v>
      </c>
      <c r="M546" s="3" t="s">
        <v>50</v>
      </c>
      <c r="N546" t="s">
        <v>103</v>
      </c>
      <c r="O546" s="5">
        <v>0</v>
      </c>
      <c r="Q546" s="2">
        <v>19.940000000000001</v>
      </c>
      <c r="R546" s="3" t="s">
        <v>43</v>
      </c>
      <c r="S546">
        <f>COUNTIF(A:A,A546)</f>
        <v>1</v>
      </c>
      <c r="T546" t="str">
        <f>IF(OR(H546="",LOWER(TRIM(H546&amp;""))="missing",LOWER(TRIM(H546&amp;""))=""),"Missing/",IFERROR(IF(OR(VALUE(H546)&lt;0,VALUE(H546)&gt;110),"Invalid","Valid"),"Check Format"))</f>
        <v>Valid</v>
      </c>
      <c r="U546">
        <f>IF(Raw_Data[[#This Row],[Age_Check]]="Valid",H546,"")</f>
        <v>60</v>
      </c>
      <c r="V546" t="str">
        <f>IF(OR(K546="",UPPER(TRIM(K546&amp;""))="",LOWER(TRIM(K546&amp;""))="",LOWER(TRIM(K546&amp;""))="",LOWER(TRIM(K546&amp;""))="missing"),"Missing/",IFERROR(IF(VALUE(K546)&lt;0,"Invalid","Valid"),"Check Format"))</f>
        <v>Valid</v>
      </c>
      <c r="W546" t="str">
        <f>IF(OR(E546="",F546=""),"Missing Date/Time",IFERROR(IF(F546&gt;E546,"Arrival After Appointment","OK"),"Check Format"))</f>
        <v>OK</v>
      </c>
      <c r="X546" t="str">
        <f>IF(OR(F546="",G546=""),"Missing Date/Time",IFERROR(IF(G546&lt;F546,"Discharge Before Arrival","OK"),"Check Format"))</f>
        <v>OK</v>
      </c>
    </row>
    <row r="547" spans="1:24" x14ac:dyDescent="0.25">
      <c r="A547" s="2" t="s">
        <v>1027</v>
      </c>
      <c r="B547" s="2" t="s">
        <v>1028</v>
      </c>
      <c r="C547" s="3" t="s">
        <v>37</v>
      </c>
      <c r="D547" s="3" t="s">
        <v>38</v>
      </c>
      <c r="E547" s="4">
        <v>45976.392361111109</v>
      </c>
      <c r="F547" s="4">
        <v>45976.378472222219</v>
      </c>
      <c r="G547" s="4">
        <v>45976.474305555559</v>
      </c>
      <c r="I547" s="3" t="s">
        <v>95</v>
      </c>
      <c r="J547" s="3" t="s">
        <v>62</v>
      </c>
      <c r="K547" s="5">
        <v>88</v>
      </c>
      <c r="L547" s="5">
        <v>30</v>
      </c>
      <c r="M547" s="3" t="s">
        <v>87</v>
      </c>
      <c r="N547" t="s">
        <v>91</v>
      </c>
      <c r="O547" s="5">
        <v>1</v>
      </c>
      <c r="P547" s="3" t="s">
        <v>42</v>
      </c>
      <c r="Q547" s="2">
        <v>130.56</v>
      </c>
      <c r="R547" s="3" t="s">
        <v>58</v>
      </c>
      <c r="S547">
        <f>COUNTIF(A:A,A547)</f>
        <v>1</v>
      </c>
      <c r="T547" t="str">
        <f>IF(OR(H547="",LOWER(TRIM(H547&amp;""))="missing",LOWER(TRIM(H547&amp;""))=""),"Missing/",IFERROR(IF(OR(VALUE(H547)&lt;0,VALUE(H547)&gt;110),"Invalid","Valid"),"Check Format"))</f>
        <v>Missing/</v>
      </c>
      <c r="U547" t="str">
        <f>IF(Raw_Data[[#This Row],[Age_Check]]="Valid",H547,"")</f>
        <v/>
      </c>
      <c r="V547" t="str">
        <f>IF(OR(K547="",UPPER(TRIM(K547&amp;""))="",LOWER(TRIM(K547&amp;""))="",LOWER(TRIM(K547&amp;""))="",LOWER(TRIM(K547&amp;""))="missing"),"Missing/",IFERROR(IF(VALUE(K547)&lt;0,"Invalid","Valid"),"Check Format"))</f>
        <v>Valid</v>
      </c>
      <c r="W547" t="str">
        <f>IF(OR(E547="",F547=""),"Missing Date/Time",IFERROR(IF(F547&gt;E547,"Arrival After Appointment","OK"),"Check Format"))</f>
        <v>OK</v>
      </c>
      <c r="X547" t="str">
        <f>IF(OR(F547="",G547=""),"Missing Date/Time",IFERROR(IF(G547&lt;F547,"Discharge Before Arrival","OK"),"Check Format"))</f>
        <v>OK</v>
      </c>
    </row>
    <row r="548" spans="1:24" x14ac:dyDescent="0.25">
      <c r="A548" s="2" t="s">
        <v>1029</v>
      </c>
      <c r="B548" s="2" t="s">
        <v>186</v>
      </c>
      <c r="C548" s="3" t="s">
        <v>94</v>
      </c>
      <c r="D548" s="3" t="s">
        <v>23</v>
      </c>
      <c r="E548" s="4" t="s">
        <v>1030</v>
      </c>
      <c r="F548" s="4">
        <v>45829.379861111112</v>
      </c>
      <c r="G548" s="4">
        <v>45829.525000000001</v>
      </c>
      <c r="H548" s="5">
        <v>145</v>
      </c>
      <c r="I548" s="3" t="s">
        <v>73</v>
      </c>
      <c r="J548" s="3" t="s">
        <v>62</v>
      </c>
      <c r="K548" s="5">
        <v>169</v>
      </c>
      <c r="L548" s="5">
        <v>37</v>
      </c>
      <c r="M548" s="3" t="s">
        <v>68</v>
      </c>
      <c r="O548" s="5">
        <v>0</v>
      </c>
      <c r="P548" s="3" t="s">
        <v>80</v>
      </c>
      <c r="Q548" s="2">
        <v>84.86</v>
      </c>
      <c r="R548" s="3" t="s">
        <v>75</v>
      </c>
      <c r="S548">
        <f>COUNTIF(A:A,A548)</f>
        <v>1</v>
      </c>
      <c r="T548" t="str">
        <f>IF(OR(H548="",LOWER(TRIM(H548&amp;""))="missing",LOWER(TRIM(H548&amp;""))=""),"Missing/",IFERROR(IF(OR(VALUE(H548)&lt;0,VALUE(H548)&gt;110),"Invalid","Valid"),"Check Format"))</f>
        <v>Invalid</v>
      </c>
      <c r="U548" t="str">
        <f>IF(Raw_Data[[#This Row],[Age_Check]]="Valid",H548,"")</f>
        <v/>
      </c>
      <c r="V548" t="str">
        <f>IF(OR(K548="",UPPER(TRIM(K548&amp;""))="",LOWER(TRIM(K548&amp;""))="",LOWER(TRIM(K548&amp;""))="",LOWER(TRIM(K548&amp;""))="missing"),"Missing/",IFERROR(IF(VALUE(K548)&lt;0,"Invalid","Valid"),"Check Format"))</f>
        <v>Valid</v>
      </c>
      <c r="W548" t="str">
        <f>IF(OR(E548="",F548=""),"Missing Date/Time",IFERROR(IF(F548&gt;E548,"Arrival After Appointment","OK"),"Check Format"))</f>
        <v>OK</v>
      </c>
      <c r="X548" t="str">
        <f>IF(OR(F548="",G548=""),"Missing Date/Time",IFERROR(IF(G548&lt;F548,"Discharge Before Arrival","OK"),"Check Format"))</f>
        <v>OK</v>
      </c>
    </row>
    <row r="549" spans="1:24" x14ac:dyDescent="0.25">
      <c r="A549" s="2" t="s">
        <v>1031</v>
      </c>
      <c r="B549" s="2" t="s">
        <v>846</v>
      </c>
      <c r="C549" s="3" t="s">
        <v>37</v>
      </c>
      <c r="D549" s="3" t="s">
        <v>174</v>
      </c>
      <c r="E549" s="4">
        <v>45920.746527777781</v>
      </c>
      <c r="F549" s="4">
        <v>45920.73541666667</v>
      </c>
      <c r="I549" s="3" t="s">
        <v>73</v>
      </c>
      <c r="J549" s="3" t="s">
        <v>62</v>
      </c>
      <c r="K549" s="5">
        <v>43</v>
      </c>
      <c r="L549" s="5">
        <v>52</v>
      </c>
      <c r="M549" s="3" t="s">
        <v>23</v>
      </c>
      <c r="N549" t="s">
        <v>69</v>
      </c>
      <c r="O549" s="5">
        <v>3</v>
      </c>
      <c r="P549" s="3" t="s">
        <v>80</v>
      </c>
      <c r="Q549" s="2">
        <v>154.06</v>
      </c>
      <c r="R549" s="3" t="s">
        <v>43</v>
      </c>
      <c r="S549">
        <f>COUNTIF(A:A,A549)</f>
        <v>1</v>
      </c>
      <c r="T549" t="str">
        <f>IF(OR(H549="",LOWER(TRIM(H549&amp;""))="missing",LOWER(TRIM(H549&amp;""))=""),"Missing/",IFERROR(IF(OR(VALUE(H549)&lt;0,VALUE(H549)&gt;110),"Invalid","Valid"),"Check Format"))</f>
        <v>Missing/</v>
      </c>
      <c r="U549" t="str">
        <f>IF(Raw_Data[[#This Row],[Age_Check]]="Valid",H549,"")</f>
        <v/>
      </c>
      <c r="V549" t="str">
        <f>IF(OR(K549="",UPPER(TRIM(K549&amp;""))="",LOWER(TRIM(K549&amp;""))="",LOWER(TRIM(K549&amp;""))="",LOWER(TRIM(K549&amp;""))="missing"),"Missing/",IFERROR(IF(VALUE(K549)&lt;0,"Invalid","Valid"),"Check Format"))</f>
        <v>Valid</v>
      </c>
      <c r="W549" t="str">
        <f>IF(OR(E549="",F549=""),"Missing Date/Time",IFERROR(IF(F549&gt;E549,"Arrival After Appointment","OK"),"Check Format"))</f>
        <v>OK</v>
      </c>
      <c r="X549" t="str">
        <f>IF(OR(F549="",G549=""),"Missing Date/Time",IFERROR(IF(G549&lt;F549,"Discharge Before Arrival","OK"),"Check Format"))</f>
        <v>Missing Date/Time</v>
      </c>
    </row>
    <row r="550" spans="1:24" x14ac:dyDescent="0.25">
      <c r="A550" s="2" t="s">
        <v>1032</v>
      </c>
      <c r="B550" s="2" t="s">
        <v>1033</v>
      </c>
      <c r="C550" s="3" t="s">
        <v>94</v>
      </c>
      <c r="D550" s="3" t="s">
        <v>115</v>
      </c>
      <c r="E550" s="4" t="s">
        <v>1034</v>
      </c>
      <c r="F550" s="4">
        <v>45765.736805555556</v>
      </c>
      <c r="G550" s="4">
        <v>45765.777777777781</v>
      </c>
      <c r="I550" s="3" t="s">
        <v>95</v>
      </c>
      <c r="K550" s="5">
        <v>7</v>
      </c>
      <c r="L550" s="5">
        <v>48</v>
      </c>
      <c r="M550" s="3" t="s">
        <v>50</v>
      </c>
      <c r="N550" t="s">
        <v>69</v>
      </c>
      <c r="P550" s="3" t="s">
        <v>25</v>
      </c>
      <c r="Q550" s="2">
        <v>91.55</v>
      </c>
      <c r="R550" s="3" t="s">
        <v>43</v>
      </c>
      <c r="S550">
        <f>COUNTIF(A:A,A550)</f>
        <v>1</v>
      </c>
      <c r="T550" t="str">
        <f>IF(OR(H550="",LOWER(TRIM(H550&amp;""))="missing",LOWER(TRIM(H550&amp;""))=""),"Missing/",IFERROR(IF(OR(VALUE(H550)&lt;0,VALUE(H550)&gt;110),"Invalid","Valid"),"Check Format"))</f>
        <v>Missing/</v>
      </c>
      <c r="U550" t="str">
        <f>IF(Raw_Data[[#This Row],[Age_Check]]="Valid",H550,"")</f>
        <v/>
      </c>
      <c r="V550" t="str">
        <f>IF(OR(K550="",UPPER(TRIM(K550&amp;""))="",LOWER(TRIM(K550&amp;""))="",LOWER(TRIM(K550&amp;""))="",LOWER(TRIM(K550&amp;""))="missing"),"Missing/",IFERROR(IF(VALUE(K550)&lt;0,"Invalid","Valid"),"Check Format"))</f>
        <v>Valid</v>
      </c>
      <c r="W550" t="str">
        <f>IF(OR(E550="",F550=""),"Missing Date/Time",IFERROR(IF(F550&gt;E550,"Arrival After Appointment","OK"),"Check Format"))</f>
        <v>OK</v>
      </c>
      <c r="X550" t="str">
        <f>IF(OR(F550="",G550=""),"Missing Date/Time",IFERROR(IF(G550&lt;F550,"Discharge Before Arrival","OK"),"Check Format"))</f>
        <v>OK</v>
      </c>
    </row>
    <row r="551" spans="1:24" x14ac:dyDescent="0.25">
      <c r="A551" s="2" t="s">
        <v>1035</v>
      </c>
      <c r="B551" s="2" t="s">
        <v>341</v>
      </c>
      <c r="C551" s="3" t="s">
        <v>46</v>
      </c>
      <c r="D551" s="3" t="s">
        <v>174</v>
      </c>
      <c r="E551" s="4">
        <v>45787.510416666664</v>
      </c>
      <c r="F551" s="4">
        <v>45787.508333333331</v>
      </c>
      <c r="G551" s="4">
        <v>45787.631249999999</v>
      </c>
      <c r="I551" s="3" t="s">
        <v>39</v>
      </c>
      <c r="J551" s="3" t="s">
        <v>67</v>
      </c>
      <c r="K551" s="5">
        <v>123</v>
      </c>
      <c r="L551" s="5">
        <v>51</v>
      </c>
      <c r="M551" s="3" t="s">
        <v>68</v>
      </c>
      <c r="N551" t="s">
        <v>103</v>
      </c>
      <c r="O551" s="5">
        <v>6</v>
      </c>
      <c r="P551" s="3" t="s">
        <v>80</v>
      </c>
      <c r="Q551" s="2">
        <v>109.21</v>
      </c>
      <c r="R551" s="3" t="s">
        <v>75</v>
      </c>
      <c r="S551">
        <f>COUNTIF(A:A,A551)</f>
        <v>1</v>
      </c>
      <c r="T551" t="str">
        <f>IF(OR(H551="",LOWER(TRIM(H551&amp;""))="missing",LOWER(TRIM(H551&amp;""))=""),"Missing/",IFERROR(IF(OR(VALUE(H551)&lt;0,VALUE(H551)&gt;110),"Invalid","Valid"),"Check Format"))</f>
        <v>Missing/</v>
      </c>
      <c r="U551" t="str">
        <f>IF(Raw_Data[[#This Row],[Age_Check]]="Valid",H551,"")</f>
        <v/>
      </c>
      <c r="V551" t="str">
        <f>IF(OR(K551="",UPPER(TRIM(K551&amp;""))="",LOWER(TRIM(K551&amp;""))="",LOWER(TRIM(K551&amp;""))="",LOWER(TRIM(K551&amp;""))="missing"),"Missing/",IFERROR(IF(VALUE(K551)&lt;0,"Invalid","Valid"),"Check Format"))</f>
        <v>Valid</v>
      </c>
      <c r="W551" t="str">
        <f>IF(OR(E551="",F551=""),"Missing Date/Time",IFERROR(IF(F551&gt;E551,"Arrival After Appointment","OK"),"Check Format"))</f>
        <v>OK</v>
      </c>
      <c r="X551" t="str">
        <f>IF(OR(F551="",G551=""),"Missing Date/Time",IFERROR(IF(G551&lt;F551,"Discharge Before Arrival","OK"),"Check Format"))</f>
        <v>OK</v>
      </c>
    </row>
    <row r="552" spans="1:24" x14ac:dyDescent="0.25">
      <c r="A552" s="2" t="s">
        <v>1036</v>
      </c>
      <c r="B552" s="2" t="s">
        <v>506</v>
      </c>
      <c r="C552" s="3" t="s">
        <v>19</v>
      </c>
      <c r="D552" s="3" t="s">
        <v>55</v>
      </c>
      <c r="E552" s="4">
        <v>45728.708333333336</v>
      </c>
      <c r="F552" s="4">
        <v>45728.693055555559</v>
      </c>
      <c r="G552" s="4">
        <v>45728.802083333336</v>
      </c>
      <c r="I552" s="3" t="s">
        <v>95</v>
      </c>
      <c r="K552" s="5">
        <v>102</v>
      </c>
      <c r="L552" s="5">
        <v>33</v>
      </c>
      <c r="M552" s="3" t="s">
        <v>23</v>
      </c>
      <c r="O552" s="5">
        <v>6</v>
      </c>
      <c r="P552" s="3" t="s">
        <v>80</v>
      </c>
      <c r="Q552" s="2">
        <v>213.22</v>
      </c>
      <c r="R552" s="3" t="s">
        <v>43</v>
      </c>
      <c r="S552">
        <f>COUNTIF(A:A,A552)</f>
        <v>1</v>
      </c>
      <c r="T552" t="str">
        <f>IF(OR(H552="",LOWER(TRIM(H552&amp;""))="missing",LOWER(TRIM(H552&amp;""))=""),"Missing/",IFERROR(IF(OR(VALUE(H552)&lt;0,VALUE(H552)&gt;110),"Invalid","Valid"),"Check Format"))</f>
        <v>Missing/</v>
      </c>
      <c r="U552" t="str">
        <f>IF(Raw_Data[[#This Row],[Age_Check]]="Valid",H552,"")</f>
        <v/>
      </c>
      <c r="V552" t="str">
        <f>IF(OR(K552="",UPPER(TRIM(K552&amp;""))="",LOWER(TRIM(K552&amp;""))="",LOWER(TRIM(K552&amp;""))="",LOWER(TRIM(K552&amp;""))="missing"),"Missing/",IFERROR(IF(VALUE(K552)&lt;0,"Invalid","Valid"),"Check Format"))</f>
        <v>Valid</v>
      </c>
      <c r="W552" t="str">
        <f>IF(OR(E552="",F552=""),"Missing Date/Time",IFERROR(IF(F552&gt;E552,"Arrival After Appointment","OK"),"Check Format"))</f>
        <v>OK</v>
      </c>
      <c r="X552" t="str">
        <f>IF(OR(F552="",G552=""),"Missing Date/Time",IFERROR(IF(G552&lt;F552,"Discharge Before Arrival","OK"),"Check Format"))</f>
        <v>OK</v>
      </c>
    </row>
    <row r="553" spans="1:24" x14ac:dyDescent="0.25">
      <c r="A553" s="2" t="s">
        <v>1037</v>
      </c>
      <c r="B553" s="2" t="s">
        <v>460</v>
      </c>
      <c r="C553" s="3" t="s">
        <v>37</v>
      </c>
      <c r="D553" s="3" t="s">
        <v>115</v>
      </c>
      <c r="E553" s="4">
        <v>45830.673611111109</v>
      </c>
      <c r="F553" s="4">
        <v>45830.662499999999</v>
      </c>
      <c r="G553" s="4">
        <v>45830.736111111109</v>
      </c>
      <c r="I553" s="3" t="s">
        <v>95</v>
      </c>
      <c r="K553" s="5">
        <v>74</v>
      </c>
      <c r="L553" s="5">
        <v>16</v>
      </c>
      <c r="M553" s="3" t="s">
        <v>50</v>
      </c>
      <c r="N553" t="s">
        <v>69</v>
      </c>
      <c r="O553" s="5">
        <v>0</v>
      </c>
      <c r="Q553" s="2">
        <v>93.52</v>
      </c>
      <c r="R553" s="3" t="s">
        <v>58</v>
      </c>
      <c r="S553">
        <f>COUNTIF(A:A,A553)</f>
        <v>1</v>
      </c>
      <c r="T553" t="str">
        <f>IF(OR(H553="",LOWER(TRIM(H553&amp;""))="missing",LOWER(TRIM(H553&amp;""))=""),"Missing/",IFERROR(IF(OR(VALUE(H553)&lt;0,VALUE(H553)&gt;110),"Invalid","Valid"),"Check Format"))</f>
        <v>Missing/</v>
      </c>
      <c r="U553" t="str">
        <f>IF(Raw_Data[[#This Row],[Age_Check]]="Valid",H553,"")</f>
        <v/>
      </c>
      <c r="V553" t="str">
        <f>IF(OR(K553="",UPPER(TRIM(K553&amp;""))="",LOWER(TRIM(K553&amp;""))="",LOWER(TRIM(K553&amp;""))="",LOWER(TRIM(K553&amp;""))="missing"),"Missing/",IFERROR(IF(VALUE(K553)&lt;0,"Invalid","Valid"),"Check Format"))</f>
        <v>Valid</v>
      </c>
      <c r="W553" t="str">
        <f>IF(OR(E553="",F553=""),"Missing Date/Time",IFERROR(IF(F553&gt;E553,"Arrival After Appointment","OK"),"Check Format"))</f>
        <v>OK</v>
      </c>
      <c r="X553" t="str">
        <f>IF(OR(F553="",G553=""),"Missing Date/Time",IFERROR(IF(G553&lt;F553,"Discharge Before Arrival","OK"),"Check Format"))</f>
        <v>OK</v>
      </c>
    </row>
    <row r="554" spans="1:24" x14ac:dyDescent="0.25">
      <c r="A554" s="2" t="s">
        <v>1038</v>
      </c>
      <c r="B554" s="2" t="s">
        <v>1039</v>
      </c>
      <c r="C554" s="3" t="s">
        <v>46</v>
      </c>
      <c r="D554" s="3" t="s">
        <v>30</v>
      </c>
      <c r="E554" s="4">
        <v>45826.565972222219</v>
      </c>
      <c r="F554" s="4">
        <v>45826.550694444442</v>
      </c>
      <c r="G554" s="4">
        <v>45826.648611111108</v>
      </c>
      <c r="J554" s="3" t="s">
        <v>62</v>
      </c>
      <c r="K554" s="5">
        <v>94</v>
      </c>
      <c r="L554" s="5">
        <v>25</v>
      </c>
      <c r="M554" s="3" t="s">
        <v>23</v>
      </c>
      <c r="N554" t="s">
        <v>74</v>
      </c>
      <c r="O554" s="5">
        <v>2</v>
      </c>
      <c r="P554" s="3" t="s">
        <v>80</v>
      </c>
      <c r="Q554" s="2">
        <v>112.71</v>
      </c>
      <c r="R554" s="3" t="s">
        <v>43</v>
      </c>
      <c r="S554">
        <f>COUNTIF(A:A,A554)</f>
        <v>1</v>
      </c>
      <c r="T554" t="str">
        <f>IF(OR(H554="",LOWER(TRIM(H554&amp;""))="missing",LOWER(TRIM(H554&amp;""))=""),"Missing/",IFERROR(IF(OR(VALUE(H554)&lt;0,VALUE(H554)&gt;110),"Invalid","Valid"),"Check Format"))</f>
        <v>Missing/</v>
      </c>
      <c r="U554" t="str">
        <f>IF(Raw_Data[[#This Row],[Age_Check]]="Valid",H554,"")</f>
        <v/>
      </c>
      <c r="V554" t="str">
        <f>IF(OR(K554="",UPPER(TRIM(K554&amp;""))="",LOWER(TRIM(K554&amp;""))="",LOWER(TRIM(K554&amp;""))="",LOWER(TRIM(K554&amp;""))="missing"),"Missing/",IFERROR(IF(VALUE(K554)&lt;0,"Invalid","Valid"),"Check Format"))</f>
        <v>Valid</v>
      </c>
      <c r="W554" t="str">
        <f>IF(OR(E554="",F554=""),"Missing Date/Time",IFERROR(IF(F554&gt;E554,"Arrival After Appointment","OK"),"Check Format"))</f>
        <v>OK</v>
      </c>
      <c r="X554" t="str">
        <f>IF(OR(F554="",G554=""),"Missing Date/Time",IFERROR(IF(G554&lt;F554,"Discharge Before Arrival","OK"),"Check Format"))</f>
        <v>OK</v>
      </c>
    </row>
    <row r="555" spans="1:24" x14ac:dyDescent="0.25">
      <c r="A555" s="2" t="s">
        <v>1040</v>
      </c>
      <c r="B555" s="2" t="s">
        <v>261</v>
      </c>
      <c r="C555" s="3" t="s">
        <v>94</v>
      </c>
      <c r="D555" s="3" t="s">
        <v>66</v>
      </c>
      <c r="E555" s="4">
        <v>45897.427083333336</v>
      </c>
      <c r="F555" s="4">
        <v>45897.411111111112</v>
      </c>
      <c r="G555" s="4">
        <v>45897.470833333333</v>
      </c>
      <c r="H555" s="5">
        <v>19</v>
      </c>
      <c r="I555" s="3" t="s">
        <v>73</v>
      </c>
      <c r="J555" s="3" t="s">
        <v>150</v>
      </c>
      <c r="K555" s="5">
        <v>24</v>
      </c>
      <c r="L555" s="5">
        <v>39</v>
      </c>
      <c r="M555" s="3" t="s">
        <v>68</v>
      </c>
      <c r="N555" t="s">
        <v>103</v>
      </c>
      <c r="P555" s="3" t="s">
        <v>25</v>
      </c>
      <c r="Q555" s="2">
        <v>310</v>
      </c>
      <c r="R555" s="3" t="s">
        <v>26</v>
      </c>
      <c r="S555">
        <f>COUNTIF(A:A,A555)</f>
        <v>1</v>
      </c>
      <c r="T555" t="str">
        <f>IF(OR(H555="",LOWER(TRIM(H555&amp;""))="missing",LOWER(TRIM(H555&amp;""))=""),"Missing/",IFERROR(IF(OR(VALUE(H555)&lt;0,VALUE(H555)&gt;110),"Invalid","Valid"),"Check Format"))</f>
        <v>Valid</v>
      </c>
      <c r="U555">
        <f>IF(Raw_Data[[#This Row],[Age_Check]]="Valid",H555,"")</f>
        <v>19</v>
      </c>
      <c r="V555" t="str">
        <f>IF(OR(K555="",UPPER(TRIM(K555&amp;""))="",LOWER(TRIM(K555&amp;""))="",LOWER(TRIM(K555&amp;""))="",LOWER(TRIM(K555&amp;""))="missing"),"Missing/",IFERROR(IF(VALUE(K555)&lt;0,"Invalid","Valid"),"Check Format"))</f>
        <v>Valid</v>
      </c>
      <c r="W555" t="str">
        <f>IF(OR(E555="",F555=""),"Missing Date/Time",IFERROR(IF(F555&gt;E555,"Arrival After Appointment","OK"),"Check Format"))</f>
        <v>OK</v>
      </c>
      <c r="X555" t="str">
        <f>IF(OR(F555="",G555=""),"Missing Date/Time",IFERROR(IF(G555&lt;F555,"Discharge Before Arrival","OK"),"Check Format"))</f>
        <v>OK</v>
      </c>
    </row>
    <row r="556" spans="1:24" x14ac:dyDescent="0.25">
      <c r="A556" s="2" t="s">
        <v>1041</v>
      </c>
      <c r="B556" s="2" t="s">
        <v>540</v>
      </c>
      <c r="C556" s="3" t="s">
        <v>29</v>
      </c>
      <c r="D556" s="3" t="s">
        <v>115</v>
      </c>
      <c r="E556" s="4">
        <v>45968.597222222219</v>
      </c>
      <c r="F556" s="4">
        <v>45968.576388888891</v>
      </c>
      <c r="G556" s="4">
        <v>45968.633333333331</v>
      </c>
      <c r="H556" s="5">
        <v>48</v>
      </c>
      <c r="I556" s="3" t="s">
        <v>73</v>
      </c>
      <c r="J556" s="3" t="s">
        <v>62</v>
      </c>
      <c r="K556" s="5">
        <v>20</v>
      </c>
      <c r="L556" s="5">
        <v>32</v>
      </c>
      <c r="P556" s="3" t="s">
        <v>80</v>
      </c>
      <c r="Q556" s="2">
        <v>257.98</v>
      </c>
      <c r="R556" s="3" t="s">
        <v>58</v>
      </c>
      <c r="S556">
        <f>COUNTIF(A:A,A556)</f>
        <v>1</v>
      </c>
      <c r="T556" t="str">
        <f>IF(OR(H556="",LOWER(TRIM(H556&amp;""))="missing",LOWER(TRIM(H556&amp;""))=""),"Missing/",IFERROR(IF(OR(VALUE(H556)&lt;0,VALUE(H556)&gt;110),"Invalid","Valid"),"Check Format"))</f>
        <v>Valid</v>
      </c>
      <c r="U556">
        <f>IF(Raw_Data[[#This Row],[Age_Check]]="Valid",H556,"")</f>
        <v>48</v>
      </c>
      <c r="V556" t="str">
        <f>IF(OR(K556="",UPPER(TRIM(K556&amp;""))="",LOWER(TRIM(K556&amp;""))="",LOWER(TRIM(K556&amp;""))="",LOWER(TRIM(K556&amp;""))="missing"),"Missing/",IFERROR(IF(VALUE(K556)&lt;0,"Invalid","Valid"),"Check Format"))</f>
        <v>Valid</v>
      </c>
      <c r="W556" t="str">
        <f>IF(OR(E556="",F556=""),"Missing Date/Time",IFERROR(IF(F556&gt;E556,"Arrival After Appointment","OK"),"Check Format"))</f>
        <v>OK</v>
      </c>
      <c r="X556" t="str">
        <f>IF(OR(F556="",G556=""),"Missing Date/Time",IFERROR(IF(G556&lt;F556,"Discharge Before Arrival","OK"),"Check Format"))</f>
        <v>OK</v>
      </c>
    </row>
    <row r="557" spans="1:24" x14ac:dyDescent="0.25">
      <c r="A557" s="2" t="s">
        <v>1042</v>
      </c>
      <c r="B557" s="2" t="s">
        <v>267</v>
      </c>
      <c r="C557" s="3" t="s">
        <v>19</v>
      </c>
      <c r="D557" s="3" t="s">
        <v>106</v>
      </c>
      <c r="E557" s="4">
        <v>45663.451388888891</v>
      </c>
      <c r="F557" s="4">
        <v>45663.445833333331</v>
      </c>
      <c r="G557" s="4">
        <v>45663.517361111109</v>
      </c>
      <c r="J557" s="3" t="s">
        <v>62</v>
      </c>
      <c r="K557" s="5">
        <v>55</v>
      </c>
      <c r="L557" s="5">
        <v>40</v>
      </c>
      <c r="M557" s="3" t="s">
        <v>41</v>
      </c>
      <c r="N557" t="s">
        <v>69</v>
      </c>
      <c r="O557" s="5">
        <v>3</v>
      </c>
      <c r="P557" s="3" t="s">
        <v>25</v>
      </c>
      <c r="Q557" s="2">
        <v>60.01</v>
      </c>
      <c r="R557" s="3" t="s">
        <v>58</v>
      </c>
      <c r="S557">
        <f>COUNTIF(A:A,A557)</f>
        <v>1</v>
      </c>
      <c r="T557" t="str">
        <f>IF(OR(H557="",LOWER(TRIM(H557&amp;""))="missing",LOWER(TRIM(H557&amp;""))=""),"Missing/",IFERROR(IF(OR(VALUE(H557)&lt;0,VALUE(H557)&gt;110),"Invalid","Valid"),"Check Format"))</f>
        <v>Missing/</v>
      </c>
      <c r="U557" t="str">
        <f>IF(Raw_Data[[#This Row],[Age_Check]]="Valid",H557,"")</f>
        <v/>
      </c>
      <c r="V557" t="str">
        <f>IF(OR(K557="",UPPER(TRIM(K557&amp;""))="",LOWER(TRIM(K557&amp;""))="",LOWER(TRIM(K557&amp;""))="",LOWER(TRIM(K557&amp;""))="missing"),"Missing/",IFERROR(IF(VALUE(K557)&lt;0,"Invalid","Valid"),"Check Format"))</f>
        <v>Valid</v>
      </c>
      <c r="W557" t="str">
        <f>IF(OR(E557="",F557=""),"Missing Date/Time",IFERROR(IF(F557&gt;E557,"Arrival After Appointment","OK"),"Check Format"))</f>
        <v>OK</v>
      </c>
      <c r="X557" t="str">
        <f>IF(OR(F557="",G557=""),"Missing Date/Time",IFERROR(IF(G557&lt;F557,"Discharge Before Arrival","OK"),"Check Format"))</f>
        <v>OK</v>
      </c>
    </row>
    <row r="558" spans="1:24" x14ac:dyDescent="0.25">
      <c r="A558" s="2" t="s">
        <v>1043</v>
      </c>
      <c r="B558" s="2" t="s">
        <v>712</v>
      </c>
      <c r="C558" s="3" t="s">
        <v>94</v>
      </c>
      <c r="D558" s="3" t="s">
        <v>115</v>
      </c>
      <c r="E558" s="4">
        <v>45973.461805555555</v>
      </c>
      <c r="H558" s="5">
        <v>145</v>
      </c>
      <c r="I558" s="3" t="s">
        <v>73</v>
      </c>
      <c r="J558" s="3" t="s">
        <v>62</v>
      </c>
      <c r="K558" s="5">
        <v>72</v>
      </c>
      <c r="L558" s="5">
        <v>28</v>
      </c>
      <c r="M558" s="3" t="s">
        <v>23</v>
      </c>
      <c r="N558" t="s">
        <v>24</v>
      </c>
      <c r="P558" s="3" t="s">
        <v>42</v>
      </c>
      <c r="Q558" s="2">
        <v>223.86</v>
      </c>
      <c r="R558" s="3" t="s">
        <v>58</v>
      </c>
      <c r="S558">
        <f>COUNTIF(A:A,A558)</f>
        <v>1</v>
      </c>
      <c r="T558" t="str">
        <f>IF(OR(H558="",LOWER(TRIM(H558&amp;""))="missing",LOWER(TRIM(H558&amp;""))=""),"Missing/",IFERROR(IF(OR(VALUE(H558)&lt;0,VALUE(H558)&gt;110),"Invalid","Valid"),"Check Format"))</f>
        <v>Invalid</v>
      </c>
      <c r="U558" t="str">
        <f>IF(Raw_Data[[#This Row],[Age_Check]]="Valid",H558,"")</f>
        <v/>
      </c>
      <c r="V558" t="str">
        <f>IF(OR(K558="",UPPER(TRIM(K558&amp;""))="",LOWER(TRIM(K558&amp;""))="",LOWER(TRIM(K558&amp;""))="",LOWER(TRIM(K558&amp;""))="missing"),"Missing/",IFERROR(IF(VALUE(K558)&lt;0,"Invalid","Valid"),"Check Format"))</f>
        <v>Valid</v>
      </c>
      <c r="W558" t="str">
        <f>IF(OR(E558="",F558=""),"Missing Date/Time",IFERROR(IF(F558&gt;E558,"Arrival After Appointment","OK"),"Check Format"))</f>
        <v>Missing Date/Time</v>
      </c>
      <c r="X558" t="str">
        <f>IF(OR(F558="",G558=""),"Missing Date/Time",IFERROR(IF(G558&lt;F558,"Discharge Before Arrival","OK"),"Check Format"))</f>
        <v>Missing Date/Time</v>
      </c>
    </row>
    <row r="559" spans="1:24" x14ac:dyDescent="0.25">
      <c r="A559" s="2" t="s">
        <v>1044</v>
      </c>
      <c r="B559" s="2" t="s">
        <v>620</v>
      </c>
      <c r="C559" s="3" t="s">
        <v>94</v>
      </c>
      <c r="D559" s="3" t="s">
        <v>23</v>
      </c>
      <c r="E559" s="4">
        <v>45954.607638888891</v>
      </c>
      <c r="F559" s="4">
        <v>45954.607638888891</v>
      </c>
      <c r="G559" s="4">
        <v>45954.730555555558</v>
      </c>
      <c r="I559" s="3" t="s">
        <v>39</v>
      </c>
      <c r="K559" s="5">
        <v>99</v>
      </c>
      <c r="L559" s="5">
        <v>78</v>
      </c>
      <c r="M559" s="3" t="s">
        <v>23</v>
      </c>
      <c r="N559" t="s">
        <v>103</v>
      </c>
      <c r="P559" s="3" t="s">
        <v>80</v>
      </c>
      <c r="Q559" s="2">
        <v>191.37</v>
      </c>
      <c r="R559" s="3" t="s">
        <v>75</v>
      </c>
      <c r="S559">
        <f>COUNTIF(A:A,A559)</f>
        <v>1</v>
      </c>
      <c r="T559" t="str">
        <f>IF(OR(H559="",LOWER(TRIM(H559&amp;""))="missing",LOWER(TRIM(H559&amp;""))=""),"Missing/",IFERROR(IF(OR(VALUE(H559)&lt;0,VALUE(H559)&gt;110),"Invalid","Valid"),"Check Format"))</f>
        <v>Missing/</v>
      </c>
      <c r="U559" t="str">
        <f>IF(Raw_Data[[#This Row],[Age_Check]]="Valid",H559,"")</f>
        <v/>
      </c>
      <c r="V559" t="str">
        <f>IF(OR(K559="",UPPER(TRIM(K559&amp;""))="",LOWER(TRIM(K559&amp;""))="",LOWER(TRIM(K559&amp;""))="",LOWER(TRIM(K559&amp;""))="missing"),"Missing/",IFERROR(IF(VALUE(K559)&lt;0,"Invalid","Valid"),"Check Format"))</f>
        <v>Valid</v>
      </c>
      <c r="W559" t="str">
        <f>IF(OR(E559="",F559=""),"Missing Date/Time",IFERROR(IF(F559&gt;E559,"Arrival After Appointment","OK"),"Check Format"))</f>
        <v>OK</v>
      </c>
      <c r="X559" t="str">
        <f>IF(OR(F559="",G559=""),"Missing Date/Time",IFERROR(IF(G559&lt;F559,"Discharge Before Arrival","OK"),"Check Format"))</f>
        <v>OK</v>
      </c>
    </row>
    <row r="560" spans="1:24" x14ac:dyDescent="0.25">
      <c r="A560" s="2" t="s">
        <v>1045</v>
      </c>
      <c r="B560" s="2" t="s">
        <v>1046</v>
      </c>
      <c r="C560" s="3" t="s">
        <v>46</v>
      </c>
      <c r="D560" s="3" t="s">
        <v>30</v>
      </c>
      <c r="E560" s="4">
        <v>45546.482638888891</v>
      </c>
      <c r="F560" s="4">
        <v>45546.479166666664</v>
      </c>
      <c r="G560" s="4">
        <v>45546.554861111108</v>
      </c>
      <c r="I560" s="3" t="s">
        <v>95</v>
      </c>
      <c r="J560" s="3" t="s">
        <v>67</v>
      </c>
      <c r="K560" s="5">
        <v>69</v>
      </c>
      <c r="L560" s="5">
        <v>35</v>
      </c>
      <c r="M560" s="3" t="s">
        <v>41</v>
      </c>
      <c r="N560" t="s">
        <v>69</v>
      </c>
      <c r="P560" s="3" t="s">
        <v>25</v>
      </c>
      <c r="Q560" s="2">
        <v>116.75</v>
      </c>
      <c r="R560" s="3" t="s">
        <v>43</v>
      </c>
      <c r="S560">
        <f>COUNTIF(A:A,A560)</f>
        <v>1</v>
      </c>
      <c r="T560" t="str">
        <f>IF(OR(H560="",LOWER(TRIM(H560&amp;""))="missing",LOWER(TRIM(H560&amp;""))=""),"Missing/",IFERROR(IF(OR(VALUE(H560)&lt;0,VALUE(H560)&gt;110),"Invalid","Valid"),"Check Format"))</f>
        <v>Missing/</v>
      </c>
      <c r="U560" t="str">
        <f>IF(Raw_Data[[#This Row],[Age_Check]]="Valid",H560,"")</f>
        <v/>
      </c>
      <c r="V560" t="str">
        <f>IF(OR(K560="",UPPER(TRIM(K560&amp;""))="",LOWER(TRIM(K560&amp;""))="",LOWER(TRIM(K560&amp;""))="",LOWER(TRIM(K560&amp;""))="missing"),"Missing/",IFERROR(IF(VALUE(K560)&lt;0,"Invalid","Valid"),"Check Format"))</f>
        <v>Valid</v>
      </c>
      <c r="W560" t="str">
        <f>IF(OR(E560="",F560=""),"Missing Date/Time",IFERROR(IF(F560&gt;E560,"Arrival After Appointment","OK"),"Check Format"))</f>
        <v>OK</v>
      </c>
      <c r="X560" t="str">
        <f>IF(OR(F560="",G560=""),"Missing Date/Time",IFERROR(IF(G560&lt;F560,"Discharge Before Arrival","OK"),"Check Format"))</f>
        <v>OK</v>
      </c>
    </row>
    <row r="561" spans="1:24" x14ac:dyDescent="0.25">
      <c r="A561" s="2" t="s">
        <v>1047</v>
      </c>
      <c r="B561" s="2" t="s">
        <v>1048</v>
      </c>
      <c r="C561" s="3" t="s">
        <v>94</v>
      </c>
      <c r="D561" s="3" t="s">
        <v>149</v>
      </c>
      <c r="E561" s="4">
        <v>45384.729166666664</v>
      </c>
      <c r="F561" s="4">
        <v>45384.710416666669</v>
      </c>
      <c r="G561" s="4">
        <v>45384.795138888891</v>
      </c>
      <c r="I561" s="3" t="s">
        <v>39</v>
      </c>
      <c r="J561" s="3" t="s">
        <v>150</v>
      </c>
      <c r="K561" s="5">
        <v>69</v>
      </c>
      <c r="L561" s="5">
        <v>26</v>
      </c>
      <c r="M561" s="3" t="s">
        <v>68</v>
      </c>
      <c r="N561" t="s">
        <v>69</v>
      </c>
      <c r="O561" s="5">
        <v>3</v>
      </c>
      <c r="P561" s="3" t="s">
        <v>80</v>
      </c>
      <c r="Q561" s="2">
        <v>158.47999999999999</v>
      </c>
      <c r="R561" s="3" t="s">
        <v>26</v>
      </c>
      <c r="S561">
        <f>COUNTIF(A:A,A561)</f>
        <v>1</v>
      </c>
      <c r="T561" t="str">
        <f>IF(OR(H561="",LOWER(TRIM(H561&amp;""))="missing",LOWER(TRIM(H561&amp;""))=""),"Missing/",IFERROR(IF(OR(VALUE(H561)&lt;0,VALUE(H561)&gt;110),"Invalid","Valid"),"Check Format"))</f>
        <v>Missing/</v>
      </c>
      <c r="U561" t="str">
        <f>IF(Raw_Data[[#This Row],[Age_Check]]="Valid",H561,"")</f>
        <v/>
      </c>
      <c r="V561" t="str">
        <f>IF(OR(K561="",UPPER(TRIM(K561&amp;""))="",LOWER(TRIM(K561&amp;""))="",LOWER(TRIM(K561&amp;""))="",LOWER(TRIM(K561&amp;""))="missing"),"Missing/",IFERROR(IF(VALUE(K561)&lt;0,"Invalid","Valid"),"Check Format"))</f>
        <v>Valid</v>
      </c>
      <c r="W561" t="str">
        <f>IF(OR(E561="",F561=""),"Missing Date/Time",IFERROR(IF(F561&gt;E561,"Arrival After Appointment","OK"),"Check Format"))</f>
        <v>OK</v>
      </c>
      <c r="X561" t="str">
        <f>IF(OR(F561="",G561=""),"Missing Date/Time",IFERROR(IF(G561&lt;F561,"Discharge Before Arrival","OK"),"Check Format"))</f>
        <v>OK</v>
      </c>
    </row>
    <row r="562" spans="1:24" x14ac:dyDescent="0.25">
      <c r="A562" s="2" t="s">
        <v>1049</v>
      </c>
      <c r="B562" s="2" t="s">
        <v>675</v>
      </c>
      <c r="C562" s="3" t="s">
        <v>94</v>
      </c>
      <c r="D562" s="3" t="s">
        <v>20</v>
      </c>
      <c r="E562" s="4">
        <v>45843.395833333336</v>
      </c>
      <c r="F562" s="4">
        <v>45843.393055555556</v>
      </c>
      <c r="G562" s="4">
        <v>45843.477083333331</v>
      </c>
      <c r="I562" s="3" t="s">
        <v>95</v>
      </c>
      <c r="J562" s="3" t="s">
        <v>62</v>
      </c>
      <c r="K562" s="5">
        <v>104</v>
      </c>
      <c r="L562" s="5">
        <v>13</v>
      </c>
      <c r="N562" t="s">
        <v>100</v>
      </c>
      <c r="O562" s="5">
        <v>6</v>
      </c>
      <c r="P562" s="3" t="s">
        <v>25</v>
      </c>
      <c r="Q562" s="2">
        <v>236.19</v>
      </c>
      <c r="R562" s="3" t="s">
        <v>43</v>
      </c>
      <c r="S562">
        <f>COUNTIF(A:A,A562)</f>
        <v>1</v>
      </c>
      <c r="T562" t="str">
        <f>IF(OR(H562="",LOWER(TRIM(H562&amp;""))="missing",LOWER(TRIM(H562&amp;""))=""),"Missing/",IFERROR(IF(OR(VALUE(H562)&lt;0,VALUE(H562)&gt;110),"Invalid","Valid"),"Check Format"))</f>
        <v>Missing/</v>
      </c>
      <c r="U562" t="str">
        <f>IF(Raw_Data[[#This Row],[Age_Check]]="Valid",H562,"")</f>
        <v/>
      </c>
      <c r="V562" t="str">
        <f>IF(OR(K562="",UPPER(TRIM(K562&amp;""))="",LOWER(TRIM(K562&amp;""))="",LOWER(TRIM(K562&amp;""))="",LOWER(TRIM(K562&amp;""))="missing"),"Missing/",IFERROR(IF(VALUE(K562)&lt;0,"Invalid","Valid"),"Check Format"))</f>
        <v>Valid</v>
      </c>
      <c r="W562" t="str">
        <f>IF(OR(E562="",F562=""),"Missing Date/Time",IFERROR(IF(F562&gt;E562,"Arrival After Appointment","OK"),"Check Format"))</f>
        <v>OK</v>
      </c>
      <c r="X562" t="str">
        <f>IF(OR(F562="",G562=""),"Missing Date/Time",IFERROR(IF(G562&lt;F562,"Discharge Before Arrival","OK"),"Check Format"))</f>
        <v>OK</v>
      </c>
    </row>
    <row r="563" spans="1:24" x14ac:dyDescent="0.25">
      <c r="A563" s="2" t="s">
        <v>1050</v>
      </c>
      <c r="B563" s="2" t="s">
        <v>329</v>
      </c>
      <c r="C563" s="3" t="s">
        <v>37</v>
      </c>
      <c r="D563" s="3" t="s">
        <v>20</v>
      </c>
      <c r="E563" s="4">
        <v>45975.458333333336</v>
      </c>
      <c r="F563" s="4">
        <v>45975.440972222219</v>
      </c>
      <c r="G563" s="4">
        <v>45975.550694444442</v>
      </c>
      <c r="H563" s="5">
        <v>37</v>
      </c>
      <c r="I563" s="3" t="s">
        <v>95</v>
      </c>
      <c r="J563" s="3" t="s">
        <v>62</v>
      </c>
      <c r="K563" s="5">
        <v>104</v>
      </c>
      <c r="L563" s="5">
        <v>29</v>
      </c>
      <c r="M563" s="3" t="s">
        <v>32</v>
      </c>
      <c r="N563" t="s">
        <v>24</v>
      </c>
      <c r="O563" s="5">
        <v>6</v>
      </c>
      <c r="P563" s="3" t="s">
        <v>25</v>
      </c>
      <c r="Q563" s="2">
        <v>0</v>
      </c>
      <c r="R563" s="3" t="s">
        <v>43</v>
      </c>
      <c r="S563">
        <f>COUNTIF(A:A,A563)</f>
        <v>1</v>
      </c>
      <c r="T563" t="str">
        <f>IF(OR(H563="",LOWER(TRIM(H563&amp;""))="missing",LOWER(TRIM(H563&amp;""))=""),"Missing/",IFERROR(IF(OR(VALUE(H563)&lt;0,VALUE(H563)&gt;110),"Invalid","Valid"),"Check Format"))</f>
        <v>Valid</v>
      </c>
      <c r="U563">
        <f>IF(Raw_Data[[#This Row],[Age_Check]]="Valid",H563,"")</f>
        <v>37</v>
      </c>
      <c r="V563" t="str">
        <f>IF(OR(K563="",UPPER(TRIM(K563&amp;""))="",LOWER(TRIM(K563&amp;""))="",LOWER(TRIM(K563&amp;""))="",LOWER(TRIM(K563&amp;""))="missing"),"Missing/",IFERROR(IF(VALUE(K563)&lt;0,"Invalid","Valid"),"Check Format"))</f>
        <v>Valid</v>
      </c>
      <c r="W563" t="str">
        <f>IF(OR(E563="",F563=""),"Missing Date/Time",IFERROR(IF(F563&gt;E563,"Arrival After Appointment","OK"),"Check Format"))</f>
        <v>OK</v>
      </c>
      <c r="X563" t="str">
        <f>IF(OR(F563="",G563=""),"Missing Date/Time",IFERROR(IF(G563&lt;F563,"Discharge Before Arrival","OK"),"Check Format"))</f>
        <v>OK</v>
      </c>
    </row>
    <row r="564" spans="1:24" x14ac:dyDescent="0.25">
      <c r="A564" s="2" t="s">
        <v>1051</v>
      </c>
      <c r="B564" s="2" t="s">
        <v>278</v>
      </c>
      <c r="C564" s="3" t="s">
        <v>29</v>
      </c>
      <c r="D564" s="3" t="s">
        <v>38</v>
      </c>
      <c r="E564" s="4" t="s">
        <v>1052</v>
      </c>
      <c r="F564" s="4">
        <v>45688.743750000001</v>
      </c>
      <c r="G564" s="4">
        <v>45688.82708333333</v>
      </c>
      <c r="H564" s="5">
        <v>69</v>
      </c>
      <c r="I564" s="3" t="s">
        <v>95</v>
      </c>
      <c r="J564" s="3" t="s">
        <v>150</v>
      </c>
      <c r="K564" s="5">
        <v>36</v>
      </c>
      <c r="L564" s="5">
        <v>55</v>
      </c>
      <c r="M564" s="3" t="s">
        <v>41</v>
      </c>
      <c r="N564" t="s">
        <v>24</v>
      </c>
      <c r="O564" s="5">
        <v>5</v>
      </c>
      <c r="P564" s="3" t="s">
        <v>25</v>
      </c>
      <c r="Q564" s="2">
        <v>143.16999999999999</v>
      </c>
      <c r="R564" s="3" t="s">
        <v>26</v>
      </c>
      <c r="S564">
        <f>COUNTIF(A:A,A564)</f>
        <v>1</v>
      </c>
      <c r="T564" t="str">
        <f>IF(OR(H564="",LOWER(TRIM(H564&amp;""))="missing",LOWER(TRIM(H564&amp;""))=""),"Missing/",IFERROR(IF(OR(VALUE(H564)&lt;0,VALUE(H564)&gt;110),"Invalid","Valid"),"Check Format"))</f>
        <v>Valid</v>
      </c>
      <c r="U564">
        <f>IF(Raw_Data[[#This Row],[Age_Check]]="Valid",H564,"")</f>
        <v>69</v>
      </c>
      <c r="V564" t="str">
        <f>IF(OR(K564="",UPPER(TRIM(K564&amp;""))="",LOWER(TRIM(K564&amp;""))="",LOWER(TRIM(K564&amp;""))="",LOWER(TRIM(K564&amp;""))="missing"),"Missing/",IFERROR(IF(VALUE(K564)&lt;0,"Invalid","Valid"),"Check Format"))</f>
        <v>Valid</v>
      </c>
      <c r="W564" t="str">
        <f>IF(OR(E564="",F564=""),"Missing Date/Time",IFERROR(IF(F564&gt;E564,"Arrival After Appointment","OK"),"Check Format"))</f>
        <v>OK</v>
      </c>
      <c r="X564" t="str">
        <f>IF(OR(F564="",G564=""),"Missing Date/Time",IFERROR(IF(G564&lt;F564,"Discharge Before Arrival","OK"),"Check Format"))</f>
        <v>OK</v>
      </c>
    </row>
    <row r="565" spans="1:24" x14ac:dyDescent="0.25">
      <c r="A565" s="2" t="s">
        <v>1053</v>
      </c>
      <c r="B565" s="2" t="s">
        <v>478</v>
      </c>
      <c r="C565" s="3" t="s">
        <v>46</v>
      </c>
      <c r="D565" s="3" t="s">
        <v>99</v>
      </c>
      <c r="E565" s="4">
        <v>45910.454861111109</v>
      </c>
      <c r="F565" s="4">
        <v>45910.445138888892</v>
      </c>
      <c r="G565" s="4">
        <v>45910.486111111109</v>
      </c>
      <c r="H565" s="5">
        <v>8</v>
      </c>
      <c r="I565" s="3" t="s">
        <v>95</v>
      </c>
      <c r="J565" s="3" t="s">
        <v>150</v>
      </c>
      <c r="K565" s="5">
        <v>23</v>
      </c>
      <c r="L565" s="5">
        <v>22</v>
      </c>
      <c r="M565" s="3" t="s">
        <v>32</v>
      </c>
      <c r="O565" s="5">
        <v>0</v>
      </c>
      <c r="Q565" s="2">
        <v>212.25</v>
      </c>
      <c r="R565" s="3" t="s">
        <v>58</v>
      </c>
      <c r="S565">
        <f>COUNTIF(A:A,A565)</f>
        <v>1</v>
      </c>
      <c r="T565" t="str">
        <f>IF(OR(H565="",LOWER(TRIM(H565&amp;""))="missing",LOWER(TRIM(H565&amp;""))=""),"Missing/",IFERROR(IF(OR(VALUE(H565)&lt;0,VALUE(H565)&gt;110),"Invalid","Valid"),"Check Format"))</f>
        <v>Valid</v>
      </c>
      <c r="U565">
        <f>IF(Raw_Data[[#This Row],[Age_Check]]="Valid",H565,"")</f>
        <v>8</v>
      </c>
      <c r="V565" t="str">
        <f>IF(OR(K565="",UPPER(TRIM(K565&amp;""))="",LOWER(TRIM(K565&amp;""))="",LOWER(TRIM(K565&amp;""))="",LOWER(TRIM(K565&amp;""))="missing"),"Missing/",IFERROR(IF(VALUE(K565)&lt;0,"Invalid","Valid"),"Check Format"))</f>
        <v>Valid</v>
      </c>
      <c r="W565" t="str">
        <f>IF(OR(E565="",F565=""),"Missing Date/Time",IFERROR(IF(F565&gt;E565,"Arrival After Appointment","OK"),"Check Format"))</f>
        <v>OK</v>
      </c>
      <c r="X565" t="str">
        <f>IF(OR(F565="",G565=""),"Missing Date/Time",IFERROR(IF(G565&lt;F565,"Discharge Before Arrival","OK"),"Check Format"))</f>
        <v>OK</v>
      </c>
    </row>
    <row r="566" spans="1:24" x14ac:dyDescent="0.25">
      <c r="A566" s="2" t="s">
        <v>1054</v>
      </c>
      <c r="B566" s="2" t="s">
        <v>316</v>
      </c>
      <c r="C566" s="3" t="s">
        <v>94</v>
      </c>
      <c r="D566" s="3" t="s">
        <v>99</v>
      </c>
      <c r="E566" s="4">
        <v>45875.496527777781</v>
      </c>
      <c r="F566" s="4">
        <v>45875.492361111108</v>
      </c>
      <c r="G566" s="4">
        <v>45875.568749999999</v>
      </c>
      <c r="I566" s="3" t="s">
        <v>90</v>
      </c>
      <c r="J566" s="3" t="s">
        <v>67</v>
      </c>
      <c r="K566" s="5">
        <v>77</v>
      </c>
      <c r="M566" s="3" t="s">
        <v>41</v>
      </c>
      <c r="N566" t="s">
        <v>24</v>
      </c>
      <c r="O566" s="5">
        <v>0</v>
      </c>
      <c r="P566" s="3" t="s">
        <v>80</v>
      </c>
      <c r="Q566" s="2">
        <v>115.65</v>
      </c>
      <c r="R566" s="3" t="s">
        <v>26</v>
      </c>
      <c r="S566">
        <f>COUNTIF(A:A,A566)</f>
        <v>1</v>
      </c>
      <c r="T566" t="str">
        <f>IF(OR(H566="",LOWER(TRIM(H566&amp;""))="missing",LOWER(TRIM(H566&amp;""))=""),"Missing/",IFERROR(IF(OR(VALUE(H566)&lt;0,VALUE(H566)&gt;110),"Invalid","Valid"),"Check Format"))</f>
        <v>Missing/</v>
      </c>
      <c r="U566" t="str">
        <f>IF(Raw_Data[[#This Row],[Age_Check]]="Valid",H566,"")</f>
        <v/>
      </c>
      <c r="V566" t="str">
        <f>IF(OR(K566="",UPPER(TRIM(K566&amp;""))="",LOWER(TRIM(K566&amp;""))="",LOWER(TRIM(K566&amp;""))="",LOWER(TRIM(K566&amp;""))="missing"),"Missing/",IFERROR(IF(VALUE(K566)&lt;0,"Invalid","Valid"),"Check Format"))</f>
        <v>Valid</v>
      </c>
      <c r="W566" t="str">
        <f>IF(OR(E566="",F566=""),"Missing Date/Time",IFERROR(IF(F566&gt;E566,"Arrival After Appointment","OK"),"Check Format"))</f>
        <v>OK</v>
      </c>
      <c r="X566" t="str">
        <f>IF(OR(F566="",G566=""),"Missing Date/Time",IFERROR(IF(G566&lt;F566,"Discharge Before Arrival","OK"),"Check Format"))</f>
        <v>OK</v>
      </c>
    </row>
    <row r="567" spans="1:24" x14ac:dyDescent="0.25">
      <c r="A567" s="2" t="s">
        <v>1055</v>
      </c>
      <c r="B567" s="2" t="s">
        <v>105</v>
      </c>
      <c r="C567" s="3" t="s">
        <v>94</v>
      </c>
      <c r="D567" s="3" t="s">
        <v>149</v>
      </c>
      <c r="E567" s="4">
        <v>45658.670138888891</v>
      </c>
      <c r="F567" s="4">
        <v>45658.665277777778</v>
      </c>
      <c r="G567" s="4">
        <v>45658.711111111108</v>
      </c>
      <c r="H567" s="5">
        <v>22</v>
      </c>
      <c r="I567" s="3" t="s">
        <v>73</v>
      </c>
      <c r="J567" s="3" t="s">
        <v>62</v>
      </c>
      <c r="K567" s="5">
        <v>44</v>
      </c>
      <c r="L567" s="5">
        <v>15</v>
      </c>
      <c r="M567" s="3" t="s">
        <v>23</v>
      </c>
      <c r="N567" t="s">
        <v>91</v>
      </c>
      <c r="O567" s="5">
        <v>0</v>
      </c>
      <c r="P567" s="3" t="s">
        <v>25</v>
      </c>
      <c r="Q567" s="2">
        <v>274.23</v>
      </c>
      <c r="R567" s="3" t="s">
        <v>58</v>
      </c>
      <c r="S567">
        <f>COUNTIF(A:A,A567)</f>
        <v>1</v>
      </c>
      <c r="T567" t="str">
        <f>IF(OR(H567="",LOWER(TRIM(H567&amp;""))="missing",LOWER(TRIM(H567&amp;""))=""),"Missing/",IFERROR(IF(OR(VALUE(H567)&lt;0,VALUE(H567)&gt;110),"Invalid","Valid"),"Check Format"))</f>
        <v>Valid</v>
      </c>
      <c r="U567">
        <f>IF(Raw_Data[[#This Row],[Age_Check]]="Valid",H567,"")</f>
        <v>22</v>
      </c>
      <c r="V567" t="str">
        <f>IF(OR(K567="",UPPER(TRIM(K567&amp;""))="",LOWER(TRIM(K567&amp;""))="",LOWER(TRIM(K567&amp;""))="",LOWER(TRIM(K567&amp;""))="missing"),"Missing/",IFERROR(IF(VALUE(K567)&lt;0,"Invalid","Valid"),"Check Format"))</f>
        <v>Valid</v>
      </c>
      <c r="W567" t="str">
        <f>IF(OR(E567="",F567=""),"Missing Date/Time",IFERROR(IF(F567&gt;E567,"Arrival After Appointment","OK"),"Check Format"))</f>
        <v>OK</v>
      </c>
      <c r="X567" t="str">
        <f>IF(OR(F567="",G567=""),"Missing Date/Time",IFERROR(IF(G567&lt;F567,"Discharge Before Arrival","OK"),"Check Format"))</f>
        <v>OK</v>
      </c>
    </row>
    <row r="568" spans="1:24" x14ac:dyDescent="0.25">
      <c r="A568" s="2" t="s">
        <v>1056</v>
      </c>
      <c r="B568" s="2" t="s">
        <v>194</v>
      </c>
      <c r="C568" s="3" t="s">
        <v>46</v>
      </c>
      <c r="D568" s="3" t="s">
        <v>30</v>
      </c>
      <c r="E568" s="4">
        <v>45643.378472222219</v>
      </c>
      <c r="F568" s="4">
        <v>45643.375</v>
      </c>
      <c r="G568" s="4">
        <v>45643.447222222225</v>
      </c>
      <c r="I568" s="3" t="s">
        <v>73</v>
      </c>
      <c r="J568" s="3" t="s">
        <v>22</v>
      </c>
      <c r="K568" s="5">
        <v>46</v>
      </c>
      <c r="L568" s="5">
        <v>53</v>
      </c>
      <c r="M568" s="3" t="s">
        <v>41</v>
      </c>
      <c r="N568" t="s">
        <v>24</v>
      </c>
      <c r="P568" s="3" t="s">
        <v>25</v>
      </c>
      <c r="Q568" s="2">
        <v>266.70999999999998</v>
      </c>
      <c r="R568" s="3" t="s">
        <v>58</v>
      </c>
      <c r="S568">
        <f>COUNTIF(A:A,A568)</f>
        <v>1</v>
      </c>
      <c r="T568" t="str">
        <f>IF(OR(H568="",LOWER(TRIM(H568&amp;""))="missing",LOWER(TRIM(H568&amp;""))=""),"Missing/",IFERROR(IF(OR(VALUE(H568)&lt;0,VALUE(H568)&gt;110),"Invalid","Valid"),"Check Format"))</f>
        <v>Missing/</v>
      </c>
      <c r="U568" t="str">
        <f>IF(Raw_Data[[#This Row],[Age_Check]]="Valid",H568,"")</f>
        <v/>
      </c>
      <c r="V568" t="str">
        <f>IF(OR(K568="",UPPER(TRIM(K568&amp;""))="",LOWER(TRIM(K568&amp;""))="",LOWER(TRIM(K568&amp;""))="",LOWER(TRIM(K568&amp;""))="missing"),"Missing/",IFERROR(IF(VALUE(K568)&lt;0,"Invalid","Valid"),"Check Format"))</f>
        <v>Valid</v>
      </c>
      <c r="W568" t="str">
        <f>IF(OR(E568="",F568=""),"Missing Date/Time",IFERROR(IF(F568&gt;E568,"Arrival After Appointment","OK"),"Check Format"))</f>
        <v>OK</v>
      </c>
      <c r="X568" t="str">
        <f>IF(OR(F568="",G568=""),"Missing Date/Time",IFERROR(IF(G568&lt;F568,"Discharge Before Arrival","OK"),"Check Format"))</f>
        <v>OK</v>
      </c>
    </row>
    <row r="569" spans="1:24" x14ac:dyDescent="0.25">
      <c r="A569" s="2" t="s">
        <v>1057</v>
      </c>
      <c r="B569" s="2" t="s">
        <v>498</v>
      </c>
      <c r="C569" s="3" t="s">
        <v>46</v>
      </c>
      <c r="D569" s="3" t="s">
        <v>23</v>
      </c>
      <c r="E569" s="4" t="s">
        <v>1058</v>
      </c>
      <c r="F569" s="4">
        <v>45464.306944444441</v>
      </c>
      <c r="G569" s="4">
        <v>45464.4</v>
      </c>
      <c r="H569" s="5">
        <v>22</v>
      </c>
      <c r="J569" s="3" t="s">
        <v>67</v>
      </c>
      <c r="K569" s="5">
        <v>92</v>
      </c>
      <c r="L569" s="5">
        <v>24</v>
      </c>
      <c r="M569" s="3" t="s">
        <v>32</v>
      </c>
      <c r="N569" t="s">
        <v>69</v>
      </c>
      <c r="P569" s="3" t="s">
        <v>25</v>
      </c>
      <c r="Q569" s="2">
        <v>177.3</v>
      </c>
      <c r="R569" s="3" t="s">
        <v>43</v>
      </c>
      <c r="S569">
        <f>COUNTIF(A:A,A569)</f>
        <v>1</v>
      </c>
      <c r="T569" t="str">
        <f>IF(OR(H569="",LOWER(TRIM(H569&amp;""))="missing",LOWER(TRIM(H569&amp;""))=""),"Missing/",IFERROR(IF(OR(VALUE(H569)&lt;0,VALUE(H569)&gt;110),"Invalid","Valid"),"Check Format"))</f>
        <v>Valid</v>
      </c>
      <c r="U569">
        <f>IF(Raw_Data[[#This Row],[Age_Check]]="Valid",H569,"")</f>
        <v>22</v>
      </c>
      <c r="V569" t="str">
        <f>IF(OR(K569="",UPPER(TRIM(K569&amp;""))="",LOWER(TRIM(K569&amp;""))="",LOWER(TRIM(K569&amp;""))="",LOWER(TRIM(K569&amp;""))="missing"),"Missing/",IFERROR(IF(VALUE(K569)&lt;0,"Invalid","Valid"),"Check Format"))</f>
        <v>Valid</v>
      </c>
      <c r="W569" t="str">
        <f>IF(OR(E569="",F569=""),"Missing Date/Time",IFERROR(IF(F569&gt;E569,"Arrival After Appointment","OK"),"Check Format"))</f>
        <v>OK</v>
      </c>
      <c r="X569" t="str">
        <f>IF(OR(F569="",G569=""),"Missing Date/Time",IFERROR(IF(G569&lt;F569,"Discharge Before Arrival","OK"),"Check Format"))</f>
        <v>OK</v>
      </c>
    </row>
    <row r="570" spans="1:24" x14ac:dyDescent="0.25">
      <c r="A570" s="2" t="s">
        <v>1059</v>
      </c>
      <c r="B570" s="2" t="s">
        <v>341</v>
      </c>
      <c r="C570" s="3" t="s">
        <v>46</v>
      </c>
      <c r="D570" s="3" t="s">
        <v>106</v>
      </c>
      <c r="E570" s="4">
        <v>46015.402777777781</v>
      </c>
      <c r="F570" s="4">
        <v>46015.383333333331</v>
      </c>
      <c r="G570" s="4">
        <v>46015.452777777777</v>
      </c>
      <c r="I570" s="3" t="s">
        <v>73</v>
      </c>
      <c r="J570" s="3" t="s">
        <v>171</v>
      </c>
      <c r="K570" s="5">
        <v>57</v>
      </c>
      <c r="L570" s="5">
        <v>15</v>
      </c>
      <c r="M570" s="3" t="s">
        <v>41</v>
      </c>
      <c r="N570" t="s">
        <v>69</v>
      </c>
      <c r="O570" s="5">
        <v>5</v>
      </c>
      <c r="P570" s="3" t="s">
        <v>25</v>
      </c>
      <c r="Q570" s="2">
        <v>170.95</v>
      </c>
      <c r="R570" s="3" t="s">
        <v>26</v>
      </c>
      <c r="S570">
        <f>COUNTIF(A:A,A570)</f>
        <v>1</v>
      </c>
      <c r="T570" t="str">
        <f>IF(OR(H570="",LOWER(TRIM(H570&amp;""))="missing",LOWER(TRIM(H570&amp;""))=""),"Missing/",IFERROR(IF(OR(VALUE(H570)&lt;0,VALUE(H570)&gt;110),"Invalid","Valid"),"Check Format"))</f>
        <v>Missing/</v>
      </c>
      <c r="U570" t="str">
        <f>IF(Raw_Data[[#This Row],[Age_Check]]="Valid",H570,"")</f>
        <v/>
      </c>
      <c r="V570" t="str">
        <f>IF(OR(K570="",UPPER(TRIM(K570&amp;""))="",LOWER(TRIM(K570&amp;""))="",LOWER(TRIM(K570&amp;""))="",LOWER(TRIM(K570&amp;""))="missing"),"Missing/",IFERROR(IF(VALUE(K570)&lt;0,"Invalid","Valid"),"Check Format"))</f>
        <v>Valid</v>
      </c>
      <c r="W570" t="str">
        <f>IF(OR(E570="",F570=""),"Missing Date/Time",IFERROR(IF(F570&gt;E570,"Arrival After Appointment","OK"),"Check Format"))</f>
        <v>OK</v>
      </c>
      <c r="X570" t="str">
        <f>IF(OR(F570="",G570=""),"Missing Date/Time",IFERROR(IF(G570&lt;F570,"Discharge Before Arrival","OK"),"Check Format"))</f>
        <v>OK</v>
      </c>
    </row>
    <row r="571" spans="1:24" x14ac:dyDescent="0.25">
      <c r="A571" s="2" t="s">
        <v>1060</v>
      </c>
      <c r="B571" s="2" t="s">
        <v>1061</v>
      </c>
      <c r="C571" s="3" t="s">
        <v>19</v>
      </c>
      <c r="D571" s="3" t="s">
        <v>38</v>
      </c>
      <c r="E571" s="4">
        <v>45757.736111111109</v>
      </c>
      <c r="F571" s="4">
        <v>45757.728472222225</v>
      </c>
      <c r="G571" s="4">
        <v>45757.78402777778</v>
      </c>
      <c r="I571" s="3" t="s">
        <v>95</v>
      </c>
      <c r="J571" s="3" t="s">
        <v>67</v>
      </c>
      <c r="K571" s="5">
        <v>16</v>
      </c>
      <c r="L571" s="5">
        <v>53</v>
      </c>
      <c r="M571" s="3" t="s">
        <v>41</v>
      </c>
      <c r="N571" t="s">
        <v>74</v>
      </c>
      <c r="O571" s="5">
        <v>4</v>
      </c>
      <c r="Q571" s="2">
        <v>107.83</v>
      </c>
      <c r="R571" s="3" t="s">
        <v>75</v>
      </c>
      <c r="S571">
        <f>COUNTIF(A:A,A571)</f>
        <v>1</v>
      </c>
      <c r="T571" t="str">
        <f>IF(OR(H571="",LOWER(TRIM(H571&amp;""))="missing",LOWER(TRIM(H571&amp;""))=""),"Missing/",IFERROR(IF(OR(VALUE(H571)&lt;0,VALUE(H571)&gt;110),"Invalid","Valid"),"Check Format"))</f>
        <v>Missing/</v>
      </c>
      <c r="U571" t="str">
        <f>IF(Raw_Data[[#This Row],[Age_Check]]="Valid",H571,"")</f>
        <v/>
      </c>
      <c r="V571" t="str">
        <f>IF(OR(K571="",UPPER(TRIM(K571&amp;""))="",LOWER(TRIM(K571&amp;""))="",LOWER(TRIM(K571&amp;""))="",LOWER(TRIM(K571&amp;""))="missing"),"Missing/",IFERROR(IF(VALUE(K571)&lt;0,"Invalid","Valid"),"Check Format"))</f>
        <v>Valid</v>
      </c>
      <c r="W571" t="str">
        <f>IF(OR(E571="",F571=""),"Missing Date/Time",IFERROR(IF(F571&gt;E571,"Arrival After Appointment","OK"),"Check Format"))</f>
        <v>OK</v>
      </c>
      <c r="X571" t="str">
        <f>IF(OR(F571="",G571=""),"Missing Date/Time",IFERROR(IF(G571&lt;F571,"Discharge Before Arrival","OK"),"Check Format"))</f>
        <v>OK</v>
      </c>
    </row>
    <row r="572" spans="1:24" x14ac:dyDescent="0.25">
      <c r="A572" s="2" t="s">
        <v>1062</v>
      </c>
      <c r="B572" s="2" t="s">
        <v>1063</v>
      </c>
      <c r="C572" s="3" t="s">
        <v>37</v>
      </c>
      <c r="D572" s="3" t="s">
        <v>61</v>
      </c>
      <c r="E572" s="4" t="s">
        <v>1064</v>
      </c>
      <c r="F572" s="4">
        <v>45826.555555555555</v>
      </c>
      <c r="G572" s="4">
        <v>45826.640277777777</v>
      </c>
      <c r="H572" s="5">
        <v>55</v>
      </c>
      <c r="I572" s="3" t="s">
        <v>73</v>
      </c>
      <c r="J572" s="3" t="s">
        <v>2639</v>
      </c>
      <c r="K572" s="5">
        <v>65</v>
      </c>
      <c r="L572" s="5">
        <v>37</v>
      </c>
      <c r="M572" s="3" t="s">
        <v>87</v>
      </c>
      <c r="N572" t="s">
        <v>24</v>
      </c>
      <c r="O572" s="5">
        <v>6</v>
      </c>
      <c r="P572" s="3" t="s">
        <v>80</v>
      </c>
      <c r="Q572" s="2">
        <v>124.29</v>
      </c>
      <c r="R572" s="3" t="s">
        <v>75</v>
      </c>
      <c r="S572">
        <f>COUNTIF(A:A,A572)</f>
        <v>1</v>
      </c>
      <c r="T572" t="str">
        <f>IF(OR(H572="",LOWER(TRIM(H572&amp;""))="missing",LOWER(TRIM(H572&amp;""))=""),"Missing/",IFERROR(IF(OR(VALUE(H572)&lt;0,VALUE(H572)&gt;110),"Invalid","Valid"),"Check Format"))</f>
        <v>Valid</v>
      </c>
      <c r="U572">
        <f>IF(Raw_Data[[#This Row],[Age_Check]]="Valid",H572,"")</f>
        <v>55</v>
      </c>
      <c r="V572" t="str">
        <f>IF(OR(K572="",UPPER(TRIM(K572&amp;""))="",LOWER(TRIM(K572&amp;""))="",LOWER(TRIM(K572&amp;""))="",LOWER(TRIM(K572&amp;""))="missing"),"Missing/",IFERROR(IF(VALUE(K572)&lt;0,"Invalid","Valid"),"Check Format"))</f>
        <v>Valid</v>
      </c>
      <c r="W572" t="str">
        <f>IF(OR(E572="",F572=""),"Missing Date/Time",IFERROR(IF(F572&gt;E572,"Arrival After Appointment","OK"),"Check Format"))</f>
        <v>OK</v>
      </c>
      <c r="X572" t="str">
        <f>IF(OR(F572="",G572=""),"Missing Date/Time",IFERROR(IF(G572&lt;F572,"Discharge Before Arrival","OK"),"Check Format"))</f>
        <v>OK</v>
      </c>
    </row>
    <row r="573" spans="1:24" x14ac:dyDescent="0.25">
      <c r="A573" s="2" t="s">
        <v>1065</v>
      </c>
      <c r="B573" s="2" t="s">
        <v>586</v>
      </c>
      <c r="C573" s="3" t="s">
        <v>46</v>
      </c>
      <c r="D573" s="3" t="s">
        <v>106</v>
      </c>
      <c r="E573" s="4">
        <v>45992.75</v>
      </c>
      <c r="F573" s="4">
        <v>45992.734027777777</v>
      </c>
      <c r="G573" s="4">
        <v>45992.820138888892</v>
      </c>
      <c r="I573" s="3" t="s">
        <v>39</v>
      </c>
      <c r="K573" s="5">
        <v>78</v>
      </c>
      <c r="L573" s="5">
        <v>23</v>
      </c>
      <c r="M573" s="3" t="s">
        <v>87</v>
      </c>
      <c r="P573" s="3" t="s">
        <v>80</v>
      </c>
      <c r="Q573" s="2">
        <v>214.7</v>
      </c>
      <c r="R573" s="3" t="s">
        <v>26</v>
      </c>
      <c r="S573">
        <f>COUNTIF(A:A,A573)</f>
        <v>1</v>
      </c>
      <c r="T573" t="str">
        <f>IF(OR(H573="",LOWER(TRIM(H573&amp;""))="missing",LOWER(TRIM(H573&amp;""))=""),"Missing/",IFERROR(IF(OR(VALUE(H573)&lt;0,VALUE(H573)&gt;110),"Invalid","Valid"),"Check Format"))</f>
        <v>Missing/</v>
      </c>
      <c r="U573" t="str">
        <f>IF(Raw_Data[[#This Row],[Age_Check]]="Valid",H573,"")</f>
        <v/>
      </c>
      <c r="V573" t="str">
        <f>IF(OR(K573="",UPPER(TRIM(K573&amp;""))="",LOWER(TRIM(K573&amp;""))="",LOWER(TRIM(K573&amp;""))="",LOWER(TRIM(K573&amp;""))="missing"),"Missing/",IFERROR(IF(VALUE(K573)&lt;0,"Invalid","Valid"),"Check Format"))</f>
        <v>Valid</v>
      </c>
      <c r="W573" t="str">
        <f>IF(OR(E573="",F573=""),"Missing Date/Time",IFERROR(IF(F573&gt;E573,"Arrival After Appointment","OK"),"Check Format"))</f>
        <v>OK</v>
      </c>
      <c r="X573" t="str">
        <f>IF(OR(F573="",G573=""),"Missing Date/Time",IFERROR(IF(G573&lt;F573,"Discharge Before Arrival","OK"),"Check Format"))</f>
        <v>OK</v>
      </c>
    </row>
    <row r="574" spans="1:24" x14ac:dyDescent="0.25">
      <c r="A574" s="2" t="s">
        <v>1066</v>
      </c>
      <c r="B574" s="2" t="s">
        <v>629</v>
      </c>
      <c r="D574" s="3" t="s">
        <v>30</v>
      </c>
      <c r="E574" s="4">
        <v>45812.631944444445</v>
      </c>
      <c r="F574" s="4">
        <v>45812.612500000003</v>
      </c>
      <c r="G574" s="4">
        <v>45812.662499999999</v>
      </c>
      <c r="I574" s="3" t="s">
        <v>73</v>
      </c>
      <c r="K574" s="5">
        <v>10</v>
      </c>
      <c r="L574" s="5">
        <v>34</v>
      </c>
      <c r="M574" s="3" t="s">
        <v>32</v>
      </c>
      <c r="N574" t="s">
        <v>24</v>
      </c>
      <c r="O574" s="5">
        <v>5</v>
      </c>
      <c r="P574" s="3" t="s">
        <v>25</v>
      </c>
      <c r="Q574" s="2">
        <v>300.11</v>
      </c>
      <c r="R574" s="3" t="s">
        <v>43</v>
      </c>
      <c r="S574">
        <f>COUNTIF(A:A,A574)</f>
        <v>1</v>
      </c>
      <c r="T574" t="str">
        <f>IF(OR(H574="",LOWER(TRIM(H574&amp;""))="missing",LOWER(TRIM(H574&amp;""))=""),"Missing/",IFERROR(IF(OR(VALUE(H574)&lt;0,VALUE(H574)&gt;110),"Invalid","Valid"),"Check Format"))</f>
        <v>Missing/</v>
      </c>
      <c r="U574" t="str">
        <f>IF(Raw_Data[[#This Row],[Age_Check]]="Valid",H574,"")</f>
        <v/>
      </c>
      <c r="V574" t="str">
        <f>IF(OR(K574="",UPPER(TRIM(K574&amp;""))="",LOWER(TRIM(K574&amp;""))="",LOWER(TRIM(K574&amp;""))="",LOWER(TRIM(K574&amp;""))="missing"),"Missing/",IFERROR(IF(VALUE(K574)&lt;0,"Invalid","Valid"),"Check Format"))</f>
        <v>Valid</v>
      </c>
      <c r="W574" t="str">
        <f>IF(OR(E574="",F574=""),"Missing Date/Time",IFERROR(IF(F574&gt;E574,"Arrival After Appointment","OK"),"Check Format"))</f>
        <v>OK</v>
      </c>
      <c r="X574" t="str">
        <f>IF(OR(F574="",G574=""),"Missing Date/Time",IFERROR(IF(G574&lt;F574,"Discharge Before Arrival","OK"),"Check Format"))</f>
        <v>OK</v>
      </c>
    </row>
    <row r="575" spans="1:24" x14ac:dyDescent="0.25">
      <c r="A575" s="2" t="s">
        <v>1067</v>
      </c>
      <c r="B575" s="2" t="s">
        <v>996</v>
      </c>
      <c r="C575" s="3" t="s">
        <v>94</v>
      </c>
      <c r="D575" s="3" t="s">
        <v>72</v>
      </c>
      <c r="E575" s="4">
        <v>45538.725694444445</v>
      </c>
      <c r="G575" s="4">
        <v>45538.754166666666</v>
      </c>
      <c r="I575" s="3" t="s">
        <v>90</v>
      </c>
      <c r="J575" s="3" t="s">
        <v>171</v>
      </c>
      <c r="K575" s="5">
        <v>22</v>
      </c>
      <c r="L575" s="5">
        <v>19</v>
      </c>
      <c r="P575" s="3" t="s">
        <v>42</v>
      </c>
      <c r="Q575" s="2">
        <v>186.11</v>
      </c>
      <c r="R575" s="3" t="s">
        <v>58</v>
      </c>
      <c r="S575">
        <f>COUNTIF(A:A,A575)</f>
        <v>1</v>
      </c>
      <c r="T575" t="str">
        <f>IF(OR(H575="",LOWER(TRIM(H575&amp;""))="missing",LOWER(TRIM(H575&amp;""))=""),"Missing/",IFERROR(IF(OR(VALUE(H575)&lt;0,VALUE(H575)&gt;110),"Invalid","Valid"),"Check Format"))</f>
        <v>Missing/</v>
      </c>
      <c r="U575" t="str">
        <f>IF(Raw_Data[[#This Row],[Age_Check]]="Valid",H575,"")</f>
        <v/>
      </c>
      <c r="V575" t="str">
        <f>IF(OR(K575="",UPPER(TRIM(K575&amp;""))="",LOWER(TRIM(K575&amp;""))="",LOWER(TRIM(K575&amp;""))="",LOWER(TRIM(K575&amp;""))="missing"),"Missing/",IFERROR(IF(VALUE(K575)&lt;0,"Invalid","Valid"),"Check Format"))</f>
        <v>Valid</v>
      </c>
      <c r="W575" t="str">
        <f>IF(OR(E575="",F575=""),"Missing Date/Time",IFERROR(IF(F575&gt;E575,"Arrival After Appointment","OK"),"Check Format"))</f>
        <v>Missing Date/Time</v>
      </c>
      <c r="X575" t="str">
        <f>IF(OR(F575="",G575=""),"Missing Date/Time",IFERROR(IF(G575&lt;F575,"Discharge Before Arrival","OK"),"Check Format"))</f>
        <v>Missing Date/Time</v>
      </c>
    </row>
    <row r="576" spans="1:24" x14ac:dyDescent="0.25">
      <c r="A576" s="2" t="s">
        <v>1068</v>
      </c>
      <c r="B576" s="2" t="s">
        <v>1069</v>
      </c>
      <c r="C576" s="3" t="s">
        <v>94</v>
      </c>
      <c r="D576" s="3" t="s">
        <v>149</v>
      </c>
      <c r="E576" s="4">
        <v>45576.440972222219</v>
      </c>
      <c r="G576" s="4">
        <v>45576.511805555558</v>
      </c>
      <c r="I576" s="3" t="s">
        <v>73</v>
      </c>
      <c r="J576" s="3" t="s">
        <v>22</v>
      </c>
      <c r="K576" s="5">
        <v>64</v>
      </c>
      <c r="L576" s="5">
        <v>38</v>
      </c>
      <c r="M576" s="3" t="s">
        <v>23</v>
      </c>
      <c r="N576" t="s">
        <v>100</v>
      </c>
      <c r="O576" s="5">
        <v>0</v>
      </c>
      <c r="P576" s="3" t="s">
        <v>25</v>
      </c>
      <c r="Q576" s="2">
        <v>184.13</v>
      </c>
      <c r="R576" s="3" t="s">
        <v>75</v>
      </c>
      <c r="S576">
        <f>COUNTIF(A:A,A576)</f>
        <v>1</v>
      </c>
      <c r="T576" t="str">
        <f>IF(OR(H576="",LOWER(TRIM(H576&amp;""))="missing",LOWER(TRIM(H576&amp;""))=""),"Missing/",IFERROR(IF(OR(VALUE(H576)&lt;0,VALUE(H576)&gt;110),"Invalid","Valid"),"Check Format"))</f>
        <v>Missing/</v>
      </c>
      <c r="U576" t="str">
        <f>IF(Raw_Data[[#This Row],[Age_Check]]="Valid",H576,"")</f>
        <v/>
      </c>
      <c r="V576" t="str">
        <f>IF(OR(K576="",UPPER(TRIM(K576&amp;""))="",LOWER(TRIM(K576&amp;""))="",LOWER(TRIM(K576&amp;""))="",LOWER(TRIM(K576&amp;""))="missing"),"Missing/",IFERROR(IF(VALUE(K576)&lt;0,"Invalid","Valid"),"Check Format"))</f>
        <v>Valid</v>
      </c>
      <c r="W576" t="str">
        <f>IF(OR(E576="",F576=""),"Missing Date/Time",IFERROR(IF(F576&gt;E576,"Arrival After Appointment","OK"),"Check Format"))</f>
        <v>Missing Date/Time</v>
      </c>
      <c r="X576" t="str">
        <f>IF(OR(F576="",G576=""),"Missing Date/Time",IFERROR(IF(G576&lt;F576,"Discharge Before Arrival","OK"),"Check Format"))</f>
        <v>Missing Date/Time</v>
      </c>
    </row>
    <row r="577" spans="1:24" x14ac:dyDescent="0.25">
      <c r="A577" s="2" t="s">
        <v>1070</v>
      </c>
      <c r="B577" s="2" t="s">
        <v>906</v>
      </c>
      <c r="C577" s="3" t="s">
        <v>19</v>
      </c>
      <c r="D577" s="3" t="s">
        <v>61</v>
      </c>
      <c r="E577" s="4">
        <v>46003.555555555555</v>
      </c>
      <c r="F577" s="4">
        <v>46003.547222222223</v>
      </c>
      <c r="G577" s="4">
        <v>46003.646527777775</v>
      </c>
      <c r="H577" s="5">
        <v>145</v>
      </c>
      <c r="I577" s="3" t="s">
        <v>73</v>
      </c>
      <c r="K577" s="5">
        <v>80</v>
      </c>
      <c r="L577" s="5">
        <v>51</v>
      </c>
      <c r="M577" s="3" t="s">
        <v>50</v>
      </c>
      <c r="N577" t="s">
        <v>69</v>
      </c>
      <c r="O577" s="5">
        <v>0</v>
      </c>
      <c r="P577" s="3" t="s">
        <v>80</v>
      </c>
      <c r="Q577" s="2">
        <v>177.79</v>
      </c>
      <c r="R577" s="3" t="s">
        <v>43</v>
      </c>
      <c r="S577">
        <f>COUNTIF(A:A,A577)</f>
        <v>1</v>
      </c>
      <c r="T577" t="str">
        <f>IF(OR(H577="",LOWER(TRIM(H577&amp;""))="missing",LOWER(TRIM(H577&amp;""))=""),"Missing/",IFERROR(IF(OR(VALUE(H577)&lt;0,VALUE(H577)&gt;110),"Invalid","Valid"),"Check Format"))</f>
        <v>Invalid</v>
      </c>
      <c r="U577" t="str">
        <f>IF(Raw_Data[[#This Row],[Age_Check]]="Valid",H577,"")</f>
        <v/>
      </c>
      <c r="V577" t="str">
        <f>IF(OR(K577="",UPPER(TRIM(K577&amp;""))="",LOWER(TRIM(K577&amp;""))="",LOWER(TRIM(K577&amp;""))="",LOWER(TRIM(K577&amp;""))="missing"),"Missing/",IFERROR(IF(VALUE(K577)&lt;0,"Invalid","Valid"),"Check Format"))</f>
        <v>Valid</v>
      </c>
      <c r="W577" t="str">
        <f>IF(OR(E577="",F577=""),"Missing Date/Time",IFERROR(IF(F577&gt;E577,"Arrival After Appointment","OK"),"Check Format"))</f>
        <v>OK</v>
      </c>
      <c r="X577" t="str">
        <f>IF(OR(F577="",G577=""),"Missing Date/Time",IFERROR(IF(G577&lt;F577,"Discharge Before Arrival","OK"),"Check Format"))</f>
        <v>OK</v>
      </c>
    </row>
    <row r="578" spans="1:24" x14ac:dyDescent="0.25">
      <c r="A578" s="2" t="s">
        <v>1071</v>
      </c>
      <c r="B578" s="2" t="s">
        <v>1072</v>
      </c>
      <c r="C578" s="3" t="s">
        <v>94</v>
      </c>
      <c r="D578" s="3" t="s">
        <v>149</v>
      </c>
      <c r="E578" s="4">
        <v>45973.34375</v>
      </c>
      <c r="F578" s="4">
        <v>46002.32708333333</v>
      </c>
      <c r="H578" s="5">
        <v>24</v>
      </c>
      <c r="I578" s="3" t="s">
        <v>39</v>
      </c>
      <c r="J578" s="3" t="s">
        <v>67</v>
      </c>
      <c r="K578" s="5">
        <v>49</v>
      </c>
      <c r="L578" s="5">
        <v>44</v>
      </c>
      <c r="M578" s="3" t="s">
        <v>87</v>
      </c>
      <c r="Q578" s="2">
        <v>296.99</v>
      </c>
      <c r="R578" s="3" t="s">
        <v>43</v>
      </c>
      <c r="S578">
        <f>COUNTIF(A:A,A578)</f>
        <v>1</v>
      </c>
      <c r="T578" t="str">
        <f>IF(OR(H578="",LOWER(TRIM(H578&amp;""))="missing",LOWER(TRIM(H578&amp;""))=""),"Missing/",IFERROR(IF(OR(VALUE(H578)&lt;0,VALUE(H578)&gt;110),"Invalid","Valid"),"Check Format"))</f>
        <v>Valid</v>
      </c>
      <c r="U578">
        <f>IF(Raw_Data[[#This Row],[Age_Check]]="Valid",H578,"")</f>
        <v>24</v>
      </c>
      <c r="V578" t="str">
        <f>IF(OR(K578="",UPPER(TRIM(K578&amp;""))="",LOWER(TRIM(K578&amp;""))="",LOWER(TRIM(K578&amp;""))="",LOWER(TRIM(K578&amp;""))="missing"),"Missing/",IFERROR(IF(VALUE(K578)&lt;0,"Invalid","Valid"),"Check Format"))</f>
        <v>Valid</v>
      </c>
      <c r="W578" t="str">
        <f>IF(OR(E578="",F578=""),"Missing Date/Time",IFERROR(IF(F578&gt;E578,"Arrival After Appointment","OK"),"Check Format"))</f>
        <v>Arrival After Appointment</v>
      </c>
      <c r="X578" t="str">
        <f>IF(OR(F578="",G578=""),"Missing Date/Time",IFERROR(IF(G578&lt;F578,"Discharge Before Arrival","OK"),"Check Format"))</f>
        <v>Missing Date/Time</v>
      </c>
    </row>
    <row r="579" spans="1:24" x14ac:dyDescent="0.25">
      <c r="A579" s="2" t="s">
        <v>1073</v>
      </c>
      <c r="B579" s="2" t="s">
        <v>818</v>
      </c>
      <c r="C579" s="3" t="s">
        <v>37</v>
      </c>
      <c r="D579" s="3" t="s">
        <v>115</v>
      </c>
      <c r="E579" s="4">
        <v>45692.548611111109</v>
      </c>
      <c r="F579" s="4">
        <v>45692.532638888886</v>
      </c>
      <c r="G579" s="4">
        <v>45692.595138888886</v>
      </c>
      <c r="H579" s="5">
        <v>8</v>
      </c>
      <c r="J579" s="3" t="s">
        <v>22</v>
      </c>
      <c r="K579" s="5">
        <v>53</v>
      </c>
      <c r="L579" s="5">
        <v>14</v>
      </c>
      <c r="M579" s="3" t="s">
        <v>63</v>
      </c>
      <c r="O579" s="5">
        <v>6</v>
      </c>
      <c r="P579" s="3" t="s">
        <v>25</v>
      </c>
      <c r="R579" s="3" t="s">
        <v>58</v>
      </c>
      <c r="S579">
        <f>COUNTIF(A:A,A579)</f>
        <v>1</v>
      </c>
      <c r="T579" t="str">
        <f>IF(OR(H579="",LOWER(TRIM(H579&amp;""))="missing",LOWER(TRIM(H579&amp;""))=""),"Missing/",IFERROR(IF(OR(VALUE(H579)&lt;0,VALUE(H579)&gt;110),"Invalid","Valid"),"Check Format"))</f>
        <v>Valid</v>
      </c>
      <c r="U579">
        <f>IF(Raw_Data[[#This Row],[Age_Check]]="Valid",H579,"")</f>
        <v>8</v>
      </c>
      <c r="V579" t="str">
        <f>IF(OR(K579="",UPPER(TRIM(K579&amp;""))="",LOWER(TRIM(K579&amp;""))="",LOWER(TRIM(K579&amp;""))="",LOWER(TRIM(K579&amp;""))="missing"),"Missing/",IFERROR(IF(VALUE(K579)&lt;0,"Invalid","Valid"),"Check Format"))</f>
        <v>Valid</v>
      </c>
      <c r="W579" t="str">
        <f>IF(OR(E579="",F579=""),"Missing Date/Time",IFERROR(IF(F579&gt;E579,"Arrival After Appointment","OK"),"Check Format"))</f>
        <v>OK</v>
      </c>
      <c r="X579" t="str">
        <f>IF(OR(F579="",G579=""),"Missing Date/Time",IFERROR(IF(G579&lt;F579,"Discharge Before Arrival","OK"),"Check Format"))</f>
        <v>OK</v>
      </c>
    </row>
    <row r="580" spans="1:24" x14ac:dyDescent="0.25">
      <c r="A580" s="2" t="s">
        <v>1074</v>
      </c>
      <c r="B580" s="2" t="s">
        <v>1010</v>
      </c>
      <c r="C580" s="3" t="s">
        <v>37</v>
      </c>
      <c r="D580" s="3" t="s">
        <v>23</v>
      </c>
      <c r="E580" s="4">
        <v>45465.767361111109</v>
      </c>
      <c r="H580" s="5">
        <v>145</v>
      </c>
      <c r="I580" s="3" t="s">
        <v>73</v>
      </c>
      <c r="J580" s="3" t="s">
        <v>150</v>
      </c>
      <c r="K580" s="5">
        <v>96</v>
      </c>
      <c r="L580" s="5">
        <v>29</v>
      </c>
      <c r="M580" s="3" t="s">
        <v>50</v>
      </c>
      <c r="N580" t="s">
        <v>74</v>
      </c>
      <c r="O580" s="5">
        <v>5</v>
      </c>
      <c r="P580" s="3" t="s">
        <v>25</v>
      </c>
      <c r="Q580" s="2">
        <v>0</v>
      </c>
      <c r="R580" s="3" t="s">
        <v>58</v>
      </c>
      <c r="S580">
        <f>COUNTIF(A:A,A580)</f>
        <v>1</v>
      </c>
      <c r="T580" t="str">
        <f>IF(OR(H580="",LOWER(TRIM(H580&amp;""))="missing",LOWER(TRIM(H580&amp;""))=""),"Missing/",IFERROR(IF(OR(VALUE(H580)&lt;0,VALUE(H580)&gt;110),"Invalid","Valid"),"Check Format"))</f>
        <v>Invalid</v>
      </c>
      <c r="U580" t="str">
        <f>IF(Raw_Data[[#This Row],[Age_Check]]="Valid",H580,"")</f>
        <v/>
      </c>
      <c r="V580" t="str">
        <f>IF(OR(K580="",UPPER(TRIM(K580&amp;""))="",LOWER(TRIM(K580&amp;""))="",LOWER(TRIM(K580&amp;""))="",LOWER(TRIM(K580&amp;""))="missing"),"Missing/",IFERROR(IF(VALUE(K580)&lt;0,"Invalid","Valid"),"Check Format"))</f>
        <v>Valid</v>
      </c>
      <c r="W580" t="str">
        <f>IF(OR(E580="",F580=""),"Missing Date/Time",IFERROR(IF(F580&gt;E580,"Arrival After Appointment","OK"),"Check Format"))</f>
        <v>Missing Date/Time</v>
      </c>
      <c r="X580" t="str">
        <f>IF(OR(F580="",G580=""),"Missing Date/Time",IFERROR(IF(G580&lt;F580,"Discharge Before Arrival","OK"),"Check Format"))</f>
        <v>Missing Date/Time</v>
      </c>
    </row>
    <row r="581" spans="1:24" x14ac:dyDescent="0.25">
      <c r="A581" s="2" t="s">
        <v>1075</v>
      </c>
      <c r="B581" s="2" t="s">
        <v>167</v>
      </c>
      <c r="C581" s="3" t="s">
        <v>29</v>
      </c>
      <c r="D581" s="3" t="s">
        <v>47</v>
      </c>
      <c r="E581" s="4">
        <v>45922.565972222219</v>
      </c>
      <c r="F581" s="4">
        <v>45922.552083333336</v>
      </c>
      <c r="G581" s="4">
        <v>45922.64166666667</v>
      </c>
      <c r="H581" s="5">
        <v>145</v>
      </c>
      <c r="I581" s="3" t="s">
        <v>39</v>
      </c>
      <c r="J581" s="3" t="s">
        <v>2639</v>
      </c>
      <c r="K581" s="5">
        <v>87</v>
      </c>
      <c r="L581" s="5">
        <v>22</v>
      </c>
      <c r="M581" s="3" t="s">
        <v>50</v>
      </c>
      <c r="N581" t="s">
        <v>69</v>
      </c>
      <c r="O581" s="5">
        <v>0</v>
      </c>
      <c r="P581" s="3" t="s">
        <v>25</v>
      </c>
      <c r="Q581" s="2">
        <v>137.76</v>
      </c>
      <c r="R581" s="3" t="s">
        <v>75</v>
      </c>
      <c r="S581">
        <f>COUNTIF(A:A,A581)</f>
        <v>1</v>
      </c>
      <c r="T581" t="str">
        <f>IF(OR(H581="",LOWER(TRIM(H581&amp;""))="missing",LOWER(TRIM(H581&amp;""))=""),"Missing/",IFERROR(IF(OR(VALUE(H581)&lt;0,VALUE(H581)&gt;110),"Invalid","Valid"),"Check Format"))</f>
        <v>Invalid</v>
      </c>
      <c r="U581" t="str">
        <f>IF(Raw_Data[[#This Row],[Age_Check]]="Valid",H581,"")</f>
        <v/>
      </c>
      <c r="V581" t="str">
        <f>IF(OR(K581="",UPPER(TRIM(K581&amp;""))="",LOWER(TRIM(K581&amp;""))="",LOWER(TRIM(K581&amp;""))="",LOWER(TRIM(K581&amp;""))="missing"),"Missing/",IFERROR(IF(VALUE(K581)&lt;0,"Invalid","Valid"),"Check Format"))</f>
        <v>Valid</v>
      </c>
      <c r="W581" t="str">
        <f>IF(OR(E581="",F581=""),"Missing Date/Time",IFERROR(IF(F581&gt;E581,"Arrival After Appointment","OK"),"Check Format"))</f>
        <v>OK</v>
      </c>
      <c r="X581" t="str">
        <f>IF(OR(F581="",G581=""),"Missing Date/Time",IFERROR(IF(G581&lt;F581,"Discharge Before Arrival","OK"),"Check Format"))</f>
        <v>OK</v>
      </c>
    </row>
    <row r="582" spans="1:24" x14ac:dyDescent="0.25">
      <c r="A582" s="2" t="s">
        <v>1076</v>
      </c>
      <c r="B582" s="2" t="s">
        <v>793</v>
      </c>
      <c r="C582" s="3" t="s">
        <v>29</v>
      </c>
      <c r="D582" s="3" t="s">
        <v>106</v>
      </c>
      <c r="E582" s="4">
        <v>45335.604166666664</v>
      </c>
      <c r="F582" s="4">
        <v>45335.595833333333</v>
      </c>
      <c r="G582" s="4">
        <v>45335.676388888889</v>
      </c>
      <c r="I582" s="3" t="s">
        <v>73</v>
      </c>
      <c r="K582" s="5">
        <v>69</v>
      </c>
      <c r="L582" s="5">
        <v>35</v>
      </c>
      <c r="M582" s="3" t="s">
        <v>32</v>
      </c>
      <c r="N582" t="s">
        <v>69</v>
      </c>
      <c r="P582" s="3" t="s">
        <v>25</v>
      </c>
      <c r="Q582" s="2">
        <v>201.76</v>
      </c>
      <c r="R582" s="3" t="s">
        <v>43</v>
      </c>
      <c r="S582">
        <f>COUNTIF(A:A,A582)</f>
        <v>1</v>
      </c>
      <c r="T582" t="str">
        <f>IF(OR(H582="",LOWER(TRIM(H582&amp;""))="missing",LOWER(TRIM(H582&amp;""))=""),"Missing/",IFERROR(IF(OR(VALUE(H582)&lt;0,VALUE(H582)&gt;110),"Invalid","Valid"),"Check Format"))</f>
        <v>Missing/</v>
      </c>
      <c r="U582" t="str">
        <f>IF(Raw_Data[[#This Row],[Age_Check]]="Valid",H582,"")</f>
        <v/>
      </c>
      <c r="V582" t="str">
        <f>IF(OR(K582="",UPPER(TRIM(K582&amp;""))="",LOWER(TRIM(K582&amp;""))="",LOWER(TRIM(K582&amp;""))="",LOWER(TRIM(K582&amp;""))="missing"),"Missing/",IFERROR(IF(VALUE(K582)&lt;0,"Invalid","Valid"),"Check Format"))</f>
        <v>Valid</v>
      </c>
      <c r="W582" t="str">
        <f>IF(OR(E582="",F582=""),"Missing Date/Time",IFERROR(IF(F582&gt;E582,"Arrival After Appointment","OK"),"Check Format"))</f>
        <v>OK</v>
      </c>
      <c r="X582" t="str">
        <f>IF(OR(F582="",G582=""),"Missing Date/Time",IFERROR(IF(G582&lt;F582,"Discharge Before Arrival","OK"),"Check Format"))</f>
        <v>OK</v>
      </c>
    </row>
    <row r="583" spans="1:24" x14ac:dyDescent="0.25">
      <c r="A583" s="2" t="s">
        <v>1077</v>
      </c>
      <c r="B583" s="2" t="s">
        <v>564</v>
      </c>
      <c r="C583" s="3" t="s">
        <v>94</v>
      </c>
      <c r="D583" s="3" t="s">
        <v>209</v>
      </c>
      <c r="E583" s="4">
        <v>45487.677083333336</v>
      </c>
      <c r="F583" s="4">
        <v>45487.67083333333</v>
      </c>
      <c r="G583" s="4">
        <v>45487.734722222223</v>
      </c>
      <c r="H583" s="5">
        <v>18</v>
      </c>
      <c r="J583" s="3" t="s">
        <v>150</v>
      </c>
      <c r="K583" s="5">
        <v>42</v>
      </c>
      <c r="L583" s="5">
        <v>41</v>
      </c>
      <c r="M583" s="3" t="s">
        <v>32</v>
      </c>
      <c r="N583" t="s">
        <v>103</v>
      </c>
      <c r="O583" s="5">
        <v>5</v>
      </c>
      <c r="P583" s="3" t="s">
        <v>80</v>
      </c>
      <c r="Q583" s="2">
        <v>124.24</v>
      </c>
      <c r="R583" s="3" t="s">
        <v>26</v>
      </c>
      <c r="S583">
        <f>COUNTIF(A:A,A583)</f>
        <v>1</v>
      </c>
      <c r="T583" t="str">
        <f>IF(OR(H583="",LOWER(TRIM(H583&amp;""))="missing",LOWER(TRIM(H583&amp;""))=""),"Missing/",IFERROR(IF(OR(VALUE(H583)&lt;0,VALUE(H583)&gt;110),"Invalid","Valid"),"Check Format"))</f>
        <v>Valid</v>
      </c>
      <c r="U583">
        <f>IF(Raw_Data[[#This Row],[Age_Check]]="Valid",H583,"")</f>
        <v>18</v>
      </c>
      <c r="V583" t="str">
        <f>IF(OR(K583="",UPPER(TRIM(K583&amp;""))="",LOWER(TRIM(K583&amp;""))="",LOWER(TRIM(K583&amp;""))="",LOWER(TRIM(K583&amp;""))="missing"),"Missing/",IFERROR(IF(VALUE(K583)&lt;0,"Invalid","Valid"),"Check Format"))</f>
        <v>Valid</v>
      </c>
      <c r="W583" t="str">
        <f>IF(OR(E583="",F583=""),"Missing Date/Time",IFERROR(IF(F583&gt;E583,"Arrival After Appointment","OK"),"Check Format"))</f>
        <v>OK</v>
      </c>
      <c r="X583" t="str">
        <f>IF(OR(F583="",G583=""),"Missing Date/Time",IFERROR(IF(G583&lt;F583,"Discharge Before Arrival","OK"),"Check Format"))</f>
        <v>OK</v>
      </c>
    </row>
    <row r="584" spans="1:24" x14ac:dyDescent="0.25">
      <c r="A584" s="2" t="s">
        <v>1078</v>
      </c>
      <c r="B584" s="2" t="s">
        <v>701</v>
      </c>
      <c r="C584" s="3" t="s">
        <v>94</v>
      </c>
      <c r="D584" s="3" t="s">
        <v>99</v>
      </c>
      <c r="E584" s="4">
        <v>45734.399305555555</v>
      </c>
      <c r="F584" s="4">
        <v>45734.383333333331</v>
      </c>
      <c r="G584" s="4">
        <v>45734.486805555556</v>
      </c>
      <c r="J584" s="3" t="s">
        <v>67</v>
      </c>
      <c r="K584" s="5">
        <v>83</v>
      </c>
      <c r="L584" s="5">
        <v>43</v>
      </c>
      <c r="M584" s="3" t="s">
        <v>50</v>
      </c>
      <c r="N584" t="s">
        <v>69</v>
      </c>
      <c r="O584" s="5">
        <v>0</v>
      </c>
      <c r="P584" s="3" t="s">
        <v>80</v>
      </c>
      <c r="Q584" s="2">
        <v>70.16</v>
      </c>
      <c r="R584" s="3" t="s">
        <v>43</v>
      </c>
      <c r="S584">
        <f>COUNTIF(A:A,A584)</f>
        <v>1</v>
      </c>
      <c r="T584" t="str">
        <f>IF(OR(H584="",LOWER(TRIM(H584&amp;""))="missing",LOWER(TRIM(H584&amp;""))=""),"Missing/",IFERROR(IF(OR(VALUE(H584)&lt;0,VALUE(H584)&gt;110),"Invalid","Valid"),"Check Format"))</f>
        <v>Missing/</v>
      </c>
      <c r="U584" t="str">
        <f>IF(Raw_Data[[#This Row],[Age_Check]]="Valid",H584,"")</f>
        <v/>
      </c>
      <c r="V584" t="str">
        <f>IF(OR(K584="",UPPER(TRIM(K584&amp;""))="",LOWER(TRIM(K584&amp;""))="",LOWER(TRIM(K584&amp;""))="",LOWER(TRIM(K584&amp;""))="missing"),"Missing/",IFERROR(IF(VALUE(K584)&lt;0,"Invalid","Valid"),"Check Format"))</f>
        <v>Valid</v>
      </c>
      <c r="W584" t="str">
        <f>IF(OR(E584="",F584=""),"Missing Date/Time",IFERROR(IF(F584&gt;E584,"Arrival After Appointment","OK"),"Check Format"))</f>
        <v>OK</v>
      </c>
      <c r="X584" t="str">
        <f>IF(OR(F584="",G584=""),"Missing Date/Time",IFERROR(IF(G584&lt;F584,"Discharge Before Arrival","OK"),"Check Format"))</f>
        <v>OK</v>
      </c>
    </row>
    <row r="585" spans="1:24" x14ac:dyDescent="0.25">
      <c r="A585" s="2" t="s">
        <v>1079</v>
      </c>
      <c r="B585" s="2" t="s">
        <v>500</v>
      </c>
      <c r="C585" s="3" t="s">
        <v>46</v>
      </c>
      <c r="D585" s="3" t="s">
        <v>47</v>
      </c>
      <c r="E585" s="4">
        <v>45919.663194444445</v>
      </c>
      <c r="G585" s="4">
        <v>45919.745138888888</v>
      </c>
      <c r="H585" s="5">
        <v>6</v>
      </c>
      <c r="I585" s="3" t="s">
        <v>39</v>
      </c>
      <c r="J585" s="3" t="s">
        <v>67</v>
      </c>
      <c r="K585" s="5">
        <v>96</v>
      </c>
      <c r="L585" s="5">
        <v>22</v>
      </c>
      <c r="M585" s="3" t="s">
        <v>41</v>
      </c>
      <c r="N585" t="s">
        <v>24</v>
      </c>
      <c r="R585" s="3" t="s">
        <v>26</v>
      </c>
      <c r="S585">
        <f>COUNTIF(A:A,A585)</f>
        <v>1</v>
      </c>
      <c r="T585" t="str">
        <f>IF(OR(H585="",LOWER(TRIM(H585&amp;""))="missing",LOWER(TRIM(H585&amp;""))=""),"Missing/",IFERROR(IF(OR(VALUE(H585)&lt;0,VALUE(H585)&gt;110),"Invalid","Valid"),"Check Format"))</f>
        <v>Valid</v>
      </c>
      <c r="U585">
        <f>IF(Raw_Data[[#This Row],[Age_Check]]="Valid",H585,"")</f>
        <v>6</v>
      </c>
      <c r="V585" t="str">
        <f>IF(OR(K585="",UPPER(TRIM(K585&amp;""))="",LOWER(TRIM(K585&amp;""))="",LOWER(TRIM(K585&amp;""))="",LOWER(TRIM(K585&amp;""))="missing"),"Missing/",IFERROR(IF(VALUE(K585)&lt;0,"Invalid","Valid"),"Check Format"))</f>
        <v>Valid</v>
      </c>
      <c r="W585" t="str">
        <f>IF(OR(E585="",F585=""),"Missing Date/Time",IFERROR(IF(F585&gt;E585,"Arrival After Appointment","OK"),"Check Format"))</f>
        <v>Missing Date/Time</v>
      </c>
      <c r="X585" t="str">
        <f>IF(OR(F585="",G585=""),"Missing Date/Time",IFERROR(IF(G585&lt;F585,"Discharge Before Arrival","OK"),"Check Format"))</f>
        <v>Missing Date/Time</v>
      </c>
    </row>
    <row r="586" spans="1:24" x14ac:dyDescent="0.25">
      <c r="A586" s="2" t="s">
        <v>1080</v>
      </c>
      <c r="B586" s="2" t="s">
        <v>196</v>
      </c>
      <c r="C586" s="3" t="s">
        <v>94</v>
      </c>
      <c r="D586" s="3" t="s">
        <v>61</v>
      </c>
      <c r="E586" s="4">
        <v>45662.538194444445</v>
      </c>
      <c r="F586" s="4">
        <v>45778.535416666666</v>
      </c>
      <c r="G586" s="4">
        <v>45778.624305555553</v>
      </c>
      <c r="H586" s="5">
        <v>145</v>
      </c>
      <c r="I586" s="3" t="s">
        <v>95</v>
      </c>
      <c r="J586" s="3" t="s">
        <v>171</v>
      </c>
      <c r="K586" s="5">
        <v>86</v>
      </c>
      <c r="L586" s="5">
        <v>38</v>
      </c>
      <c r="M586" s="3" t="s">
        <v>68</v>
      </c>
      <c r="P586" s="3" t="s">
        <v>25</v>
      </c>
      <c r="Q586" s="2">
        <v>292.05</v>
      </c>
      <c r="R586" s="3" t="s">
        <v>43</v>
      </c>
      <c r="S586">
        <f>COUNTIF(A:A,A586)</f>
        <v>1</v>
      </c>
      <c r="T586" t="str">
        <f>IF(OR(H586="",LOWER(TRIM(H586&amp;""))="missing",LOWER(TRIM(H586&amp;""))=""),"Missing/",IFERROR(IF(OR(VALUE(H586)&lt;0,VALUE(H586)&gt;110),"Invalid","Valid"),"Check Format"))</f>
        <v>Invalid</v>
      </c>
      <c r="U586" t="str">
        <f>IF(Raw_Data[[#This Row],[Age_Check]]="Valid",H586,"")</f>
        <v/>
      </c>
      <c r="V586" t="str">
        <f>IF(OR(K586="",UPPER(TRIM(K586&amp;""))="",LOWER(TRIM(K586&amp;""))="",LOWER(TRIM(K586&amp;""))="",LOWER(TRIM(K586&amp;""))="missing"),"Missing/",IFERROR(IF(VALUE(K586)&lt;0,"Invalid","Valid"),"Check Format"))</f>
        <v>Valid</v>
      </c>
      <c r="W586" t="str">
        <f>IF(OR(E586="",F586=""),"Missing Date/Time",IFERROR(IF(F586&gt;E586,"Arrival After Appointment","OK"),"Check Format"))</f>
        <v>Arrival After Appointment</v>
      </c>
      <c r="X586" t="str">
        <f>IF(OR(F586="",G586=""),"Missing Date/Time",IFERROR(IF(G586&lt;F586,"Discharge Before Arrival","OK"),"Check Format"))</f>
        <v>OK</v>
      </c>
    </row>
    <row r="587" spans="1:24" x14ac:dyDescent="0.25">
      <c r="A587" s="2" t="s">
        <v>1081</v>
      </c>
      <c r="B587" s="2" t="s">
        <v>123</v>
      </c>
      <c r="D587" s="3" t="s">
        <v>209</v>
      </c>
      <c r="E587" s="4">
        <v>45747.333333333336</v>
      </c>
      <c r="F587" s="4">
        <v>45747.333333333336</v>
      </c>
      <c r="G587" s="4">
        <v>45747.385416666664</v>
      </c>
      <c r="H587" s="5">
        <v>145</v>
      </c>
      <c r="J587" s="3" t="s">
        <v>171</v>
      </c>
      <c r="K587" s="5">
        <v>50</v>
      </c>
      <c r="L587" s="5">
        <v>25</v>
      </c>
      <c r="M587" s="3" t="s">
        <v>68</v>
      </c>
      <c r="N587" t="s">
        <v>24</v>
      </c>
      <c r="P587" s="3" t="s">
        <v>25</v>
      </c>
      <c r="Q587" s="2">
        <v>143.44999999999999</v>
      </c>
      <c r="R587" s="3" t="s">
        <v>75</v>
      </c>
      <c r="S587">
        <f>COUNTIF(A:A,A587)</f>
        <v>1</v>
      </c>
      <c r="T587" t="str">
        <f>IF(OR(H587="",LOWER(TRIM(H587&amp;""))="missing",LOWER(TRIM(H587&amp;""))=""),"Missing/",IFERROR(IF(OR(VALUE(H587)&lt;0,VALUE(H587)&gt;110),"Invalid","Valid"),"Check Format"))</f>
        <v>Invalid</v>
      </c>
      <c r="U587" t="str">
        <f>IF(Raw_Data[[#This Row],[Age_Check]]="Valid",H587,"")</f>
        <v/>
      </c>
      <c r="V587" t="str">
        <f>IF(OR(K587="",UPPER(TRIM(K587&amp;""))="",LOWER(TRIM(K587&amp;""))="",LOWER(TRIM(K587&amp;""))="",LOWER(TRIM(K587&amp;""))="missing"),"Missing/",IFERROR(IF(VALUE(K587)&lt;0,"Invalid","Valid"),"Check Format"))</f>
        <v>Valid</v>
      </c>
      <c r="W587" t="str">
        <f>IF(OR(E587="",F587=""),"Missing Date/Time",IFERROR(IF(F587&gt;E587,"Arrival After Appointment","OK"),"Check Format"))</f>
        <v>OK</v>
      </c>
      <c r="X587" t="str">
        <f>IF(OR(F587="",G587=""),"Missing Date/Time",IFERROR(IF(G587&lt;F587,"Discharge Before Arrival","OK"),"Check Format"))</f>
        <v>OK</v>
      </c>
    </row>
    <row r="588" spans="1:24" x14ac:dyDescent="0.25">
      <c r="A588" s="2" t="s">
        <v>1082</v>
      </c>
      <c r="B588" s="2" t="s">
        <v>1083</v>
      </c>
      <c r="C588" s="3" t="s">
        <v>37</v>
      </c>
      <c r="D588" s="3" t="s">
        <v>209</v>
      </c>
      <c r="E588" s="4">
        <v>45430.680555555555</v>
      </c>
      <c r="F588" s="4">
        <v>45430.673611111109</v>
      </c>
      <c r="G588" s="4">
        <v>45430.745138888888</v>
      </c>
      <c r="H588" s="5">
        <v>145</v>
      </c>
      <c r="I588" s="3" t="s">
        <v>73</v>
      </c>
      <c r="J588" s="3" t="s">
        <v>67</v>
      </c>
      <c r="K588" s="5">
        <v>47</v>
      </c>
      <c r="L588" s="5">
        <v>46</v>
      </c>
      <c r="M588" s="3" t="s">
        <v>87</v>
      </c>
      <c r="O588" s="5">
        <v>4</v>
      </c>
      <c r="P588" s="3" t="s">
        <v>25</v>
      </c>
      <c r="Q588" s="2">
        <v>15.7</v>
      </c>
      <c r="R588" s="3" t="s">
        <v>43</v>
      </c>
      <c r="S588">
        <f>COUNTIF(A:A,A588)</f>
        <v>1</v>
      </c>
      <c r="T588" t="str">
        <f>IF(OR(H588="",LOWER(TRIM(H588&amp;""))="missing",LOWER(TRIM(H588&amp;""))=""),"Missing/",IFERROR(IF(OR(VALUE(H588)&lt;0,VALUE(H588)&gt;110),"Invalid","Valid"),"Check Format"))</f>
        <v>Invalid</v>
      </c>
      <c r="U588" t="str">
        <f>IF(Raw_Data[[#This Row],[Age_Check]]="Valid",H588,"")</f>
        <v/>
      </c>
      <c r="V588" t="str">
        <f>IF(OR(K588="",UPPER(TRIM(K588&amp;""))="",LOWER(TRIM(K588&amp;""))="",LOWER(TRIM(K588&amp;""))="",LOWER(TRIM(K588&amp;""))="missing"),"Missing/",IFERROR(IF(VALUE(K588)&lt;0,"Invalid","Valid"),"Check Format"))</f>
        <v>Valid</v>
      </c>
      <c r="W588" t="str">
        <f>IF(OR(E588="",F588=""),"Missing Date/Time",IFERROR(IF(F588&gt;E588,"Arrival After Appointment","OK"),"Check Format"))</f>
        <v>OK</v>
      </c>
      <c r="X588" t="str">
        <f>IF(OR(F588="",G588=""),"Missing Date/Time",IFERROR(IF(G588&lt;F588,"Discharge Before Arrival","OK"),"Check Format"))</f>
        <v>OK</v>
      </c>
    </row>
    <row r="589" spans="1:24" x14ac:dyDescent="0.25">
      <c r="A589" s="2" t="s">
        <v>1084</v>
      </c>
      <c r="B589" s="2" t="s">
        <v>498</v>
      </c>
      <c r="C589" s="3" t="s">
        <v>46</v>
      </c>
      <c r="D589" s="3" t="s">
        <v>23</v>
      </c>
      <c r="E589" s="4">
        <v>45316.600694444445</v>
      </c>
      <c r="F589" s="4">
        <v>45316.591666666667</v>
      </c>
      <c r="G589" s="4">
        <v>45316.623611111114</v>
      </c>
      <c r="I589" s="3" t="s">
        <v>73</v>
      </c>
      <c r="J589" s="3" t="s">
        <v>171</v>
      </c>
      <c r="L589" s="5">
        <v>12</v>
      </c>
      <c r="M589" s="3" t="s">
        <v>23</v>
      </c>
      <c r="N589" t="s">
        <v>91</v>
      </c>
      <c r="O589" s="5">
        <v>1</v>
      </c>
      <c r="Q589" s="2">
        <v>221.02</v>
      </c>
      <c r="R589" s="3" t="s">
        <v>26</v>
      </c>
      <c r="S589">
        <f>COUNTIF(A:A,A589)</f>
        <v>1</v>
      </c>
      <c r="T589" t="str">
        <f>IF(OR(H589="",LOWER(TRIM(H589&amp;""))="missing",LOWER(TRIM(H589&amp;""))=""),"Missing/",IFERROR(IF(OR(VALUE(H589)&lt;0,VALUE(H589)&gt;110),"Invalid","Valid"),"Check Format"))</f>
        <v>Missing/</v>
      </c>
      <c r="U589" t="str">
        <f>IF(Raw_Data[[#This Row],[Age_Check]]="Valid",H589,"")</f>
        <v/>
      </c>
      <c r="V589" t="str">
        <f>IF(OR(K589="",UPPER(TRIM(K589&amp;""))="",LOWER(TRIM(K589&amp;""))="",LOWER(TRIM(K589&amp;""))="",LOWER(TRIM(K589&amp;""))="missing"),"Missing/",IFERROR(IF(VALUE(K589)&lt;0,"Invalid","Valid"),"Check Format"))</f>
        <v>Missing/</v>
      </c>
      <c r="W589" t="str">
        <f>IF(OR(E589="",F589=""),"Missing Date/Time",IFERROR(IF(F589&gt;E589,"Arrival After Appointment","OK"),"Check Format"))</f>
        <v>OK</v>
      </c>
      <c r="X589" t="str">
        <f>IF(OR(F589="",G589=""),"Missing Date/Time",IFERROR(IF(G589&lt;F589,"Discharge Before Arrival","OK"),"Check Format"))</f>
        <v>OK</v>
      </c>
    </row>
    <row r="590" spans="1:24" x14ac:dyDescent="0.25">
      <c r="A590" s="2" t="s">
        <v>1085</v>
      </c>
      <c r="B590" s="2" t="s">
        <v>208</v>
      </c>
      <c r="C590" s="3" t="s">
        <v>29</v>
      </c>
      <c r="D590" s="3" t="s">
        <v>99</v>
      </c>
      <c r="E590" s="4" t="s">
        <v>1086</v>
      </c>
      <c r="F590" s="4">
        <v>45773.551388888889</v>
      </c>
      <c r="G590" s="4">
        <v>45773.664583333331</v>
      </c>
      <c r="I590" s="3" t="s">
        <v>39</v>
      </c>
      <c r="J590" s="3" t="s">
        <v>67</v>
      </c>
      <c r="K590" s="5">
        <v>117</v>
      </c>
      <c r="L590" s="5">
        <v>30</v>
      </c>
      <c r="M590" s="3" t="s">
        <v>68</v>
      </c>
      <c r="N590" t="s">
        <v>91</v>
      </c>
      <c r="O590" s="5">
        <v>5</v>
      </c>
      <c r="P590" s="3" t="s">
        <v>80</v>
      </c>
      <c r="Q590" s="2">
        <v>131.49</v>
      </c>
      <c r="R590" s="3" t="s">
        <v>58</v>
      </c>
      <c r="S590">
        <f>COUNTIF(A:A,A590)</f>
        <v>1</v>
      </c>
      <c r="T590" t="str">
        <f>IF(OR(H590="",LOWER(TRIM(H590&amp;""))="missing",LOWER(TRIM(H590&amp;""))=""),"Missing/",IFERROR(IF(OR(VALUE(H590)&lt;0,VALUE(H590)&gt;110),"Invalid","Valid"),"Check Format"))</f>
        <v>Missing/</v>
      </c>
      <c r="U590" t="str">
        <f>IF(Raw_Data[[#This Row],[Age_Check]]="Valid",H590,"")</f>
        <v/>
      </c>
      <c r="V590" t="str">
        <f>IF(OR(K590="",UPPER(TRIM(K590&amp;""))="",LOWER(TRIM(K590&amp;""))="",LOWER(TRIM(K590&amp;""))="",LOWER(TRIM(K590&amp;""))="missing"),"Missing/",IFERROR(IF(VALUE(K590)&lt;0,"Invalid","Valid"),"Check Format"))</f>
        <v>Valid</v>
      </c>
      <c r="W590" t="str">
        <f>IF(OR(E590="",F590=""),"Missing Date/Time",IFERROR(IF(F590&gt;E590,"Arrival After Appointment","OK"),"Check Format"))</f>
        <v>OK</v>
      </c>
      <c r="X590" t="str">
        <f>IF(OR(F590="",G590=""),"Missing Date/Time",IFERROR(IF(G590&lt;F590,"Discharge Before Arrival","OK"),"Check Format"))</f>
        <v>OK</v>
      </c>
    </row>
    <row r="591" spans="1:24" x14ac:dyDescent="0.25">
      <c r="A591" s="2" t="s">
        <v>1087</v>
      </c>
      <c r="B591" s="2" t="s">
        <v>1088</v>
      </c>
      <c r="C591" s="3" t="s">
        <v>19</v>
      </c>
      <c r="D591" s="3" t="s">
        <v>23</v>
      </c>
      <c r="E591" s="4">
        <v>45974.527777777781</v>
      </c>
      <c r="F591" s="4">
        <v>45974.526388888888</v>
      </c>
      <c r="G591" s="4">
        <v>45974.605555555558</v>
      </c>
      <c r="H591" s="5">
        <v>30</v>
      </c>
      <c r="I591" s="3" t="s">
        <v>95</v>
      </c>
      <c r="J591" s="3" t="s">
        <v>62</v>
      </c>
      <c r="K591" s="5">
        <v>60</v>
      </c>
      <c r="L591" s="5">
        <v>52</v>
      </c>
      <c r="M591" s="3" t="s">
        <v>87</v>
      </c>
      <c r="N591" t="s">
        <v>91</v>
      </c>
      <c r="O591" s="5">
        <v>1</v>
      </c>
      <c r="P591" s="3" t="s">
        <v>25</v>
      </c>
      <c r="Q591" s="2">
        <v>70.81</v>
      </c>
      <c r="R591" s="3" t="s">
        <v>58</v>
      </c>
      <c r="S591">
        <f>COUNTIF(A:A,A591)</f>
        <v>1</v>
      </c>
      <c r="T591" t="str">
        <f>IF(OR(H591="",LOWER(TRIM(H591&amp;""))="missing",LOWER(TRIM(H591&amp;""))=""),"Missing/",IFERROR(IF(OR(VALUE(H591)&lt;0,VALUE(H591)&gt;110),"Invalid","Valid"),"Check Format"))</f>
        <v>Valid</v>
      </c>
      <c r="U591">
        <f>IF(Raw_Data[[#This Row],[Age_Check]]="Valid",H591,"")</f>
        <v>30</v>
      </c>
      <c r="V591" t="str">
        <f>IF(OR(K591="",UPPER(TRIM(K591&amp;""))="",LOWER(TRIM(K591&amp;""))="",LOWER(TRIM(K591&amp;""))="",LOWER(TRIM(K591&amp;""))="missing"),"Missing/",IFERROR(IF(VALUE(K591)&lt;0,"Invalid","Valid"),"Check Format"))</f>
        <v>Valid</v>
      </c>
      <c r="W591" t="str">
        <f>IF(OR(E591="",F591=""),"Missing Date/Time",IFERROR(IF(F591&gt;E591,"Arrival After Appointment","OK"),"Check Format"))</f>
        <v>OK</v>
      </c>
      <c r="X591" t="str">
        <f>IF(OR(F591="",G591=""),"Missing Date/Time",IFERROR(IF(G591&lt;F591,"Discharge Before Arrival","OK"),"Check Format"))</f>
        <v>OK</v>
      </c>
    </row>
    <row r="592" spans="1:24" x14ac:dyDescent="0.25">
      <c r="A592" s="2" t="s">
        <v>1089</v>
      </c>
      <c r="B592" s="2" t="s">
        <v>148</v>
      </c>
      <c r="C592" s="3" t="s">
        <v>19</v>
      </c>
      <c r="D592" s="3" t="s">
        <v>20</v>
      </c>
      <c r="E592" s="4">
        <v>45919.333333333336</v>
      </c>
      <c r="G592" s="4">
        <v>45919.413194444445</v>
      </c>
      <c r="H592" s="5">
        <v>29</v>
      </c>
      <c r="I592" s="3" t="s">
        <v>73</v>
      </c>
      <c r="J592" s="3" t="s">
        <v>171</v>
      </c>
      <c r="K592" s="5">
        <v>66</v>
      </c>
      <c r="L592" s="5">
        <v>49</v>
      </c>
      <c r="N592" t="s">
        <v>91</v>
      </c>
      <c r="O592" s="5">
        <v>0</v>
      </c>
      <c r="Q592" s="2">
        <v>185.09</v>
      </c>
      <c r="R592" s="3" t="s">
        <v>58</v>
      </c>
      <c r="S592">
        <f>COUNTIF(A:A,A592)</f>
        <v>1</v>
      </c>
      <c r="T592" t="str">
        <f>IF(OR(H592="",LOWER(TRIM(H592&amp;""))="missing",LOWER(TRIM(H592&amp;""))=""),"Missing/",IFERROR(IF(OR(VALUE(H592)&lt;0,VALUE(H592)&gt;110),"Invalid","Valid"),"Check Format"))</f>
        <v>Valid</v>
      </c>
      <c r="U592">
        <f>IF(Raw_Data[[#This Row],[Age_Check]]="Valid",H592,"")</f>
        <v>29</v>
      </c>
      <c r="V592" t="str">
        <f>IF(OR(K592="",UPPER(TRIM(K592&amp;""))="",LOWER(TRIM(K592&amp;""))="",LOWER(TRIM(K592&amp;""))="",LOWER(TRIM(K592&amp;""))="missing"),"Missing/",IFERROR(IF(VALUE(K592)&lt;0,"Invalid","Valid"),"Check Format"))</f>
        <v>Valid</v>
      </c>
      <c r="W592" t="str">
        <f>IF(OR(E592="",F592=""),"Missing Date/Time",IFERROR(IF(F592&gt;E592,"Arrival After Appointment","OK"),"Check Format"))</f>
        <v>Missing Date/Time</v>
      </c>
      <c r="X592" t="str">
        <f>IF(OR(F592="",G592=""),"Missing Date/Time",IFERROR(IF(G592&lt;F592,"Discharge Before Arrival","OK"),"Check Format"))</f>
        <v>Missing Date/Time</v>
      </c>
    </row>
    <row r="593" spans="1:24" x14ac:dyDescent="0.25">
      <c r="A593" s="2" t="s">
        <v>1090</v>
      </c>
      <c r="B593" s="2" t="s">
        <v>852</v>
      </c>
      <c r="C593" s="3" t="s">
        <v>37</v>
      </c>
      <c r="D593" s="3" t="s">
        <v>55</v>
      </c>
      <c r="E593" s="4">
        <v>45984.666666666664</v>
      </c>
      <c r="F593" s="4">
        <v>45984.647222222222</v>
      </c>
      <c r="G593" s="4">
        <v>45984.745833333334</v>
      </c>
      <c r="H593" s="5">
        <v>24</v>
      </c>
      <c r="I593" s="3" t="s">
        <v>73</v>
      </c>
      <c r="J593" s="3" t="s">
        <v>62</v>
      </c>
      <c r="K593" s="5">
        <v>64</v>
      </c>
      <c r="L593" s="5">
        <v>50</v>
      </c>
      <c r="M593" s="3" t="s">
        <v>50</v>
      </c>
      <c r="N593" t="s">
        <v>69</v>
      </c>
      <c r="O593" s="5">
        <v>2</v>
      </c>
      <c r="P593" s="3" t="s">
        <v>80</v>
      </c>
      <c r="Q593" s="2">
        <v>0</v>
      </c>
      <c r="R593" s="3" t="s">
        <v>26</v>
      </c>
      <c r="S593">
        <f>COUNTIF(A:A,A593)</f>
        <v>1</v>
      </c>
      <c r="T593" t="str">
        <f>IF(OR(H593="",LOWER(TRIM(H593&amp;""))="missing",LOWER(TRIM(H593&amp;""))=""),"Missing/",IFERROR(IF(OR(VALUE(H593)&lt;0,VALUE(H593)&gt;110),"Invalid","Valid"),"Check Format"))</f>
        <v>Valid</v>
      </c>
      <c r="U593">
        <f>IF(Raw_Data[[#This Row],[Age_Check]]="Valid",H593,"")</f>
        <v>24</v>
      </c>
      <c r="V593" t="str">
        <f>IF(OR(K593="",UPPER(TRIM(K593&amp;""))="",LOWER(TRIM(K593&amp;""))="",LOWER(TRIM(K593&amp;""))="",LOWER(TRIM(K593&amp;""))="missing"),"Missing/",IFERROR(IF(VALUE(K593)&lt;0,"Invalid","Valid"),"Check Format"))</f>
        <v>Valid</v>
      </c>
      <c r="W593" t="str">
        <f>IF(OR(E593="",F593=""),"Missing Date/Time",IFERROR(IF(F593&gt;E593,"Arrival After Appointment","OK"),"Check Format"))</f>
        <v>OK</v>
      </c>
      <c r="X593" t="str">
        <f>IF(OR(F593="",G593=""),"Missing Date/Time",IFERROR(IF(G593&lt;F593,"Discharge Before Arrival","OK"),"Check Format"))</f>
        <v>OK</v>
      </c>
    </row>
    <row r="594" spans="1:24" x14ac:dyDescent="0.25">
      <c r="A594" s="2" t="s">
        <v>1091</v>
      </c>
      <c r="B594" s="2" t="s">
        <v>283</v>
      </c>
      <c r="C594" s="3" t="s">
        <v>46</v>
      </c>
      <c r="D594" s="3" t="s">
        <v>99</v>
      </c>
      <c r="E594" s="4">
        <v>45515.555555555555</v>
      </c>
      <c r="F594" s="4">
        <v>45515.552083333336</v>
      </c>
      <c r="I594" s="3" t="s">
        <v>95</v>
      </c>
      <c r="J594" s="3" t="s">
        <v>150</v>
      </c>
      <c r="K594" s="5">
        <v>81</v>
      </c>
      <c r="L594" s="5">
        <v>20</v>
      </c>
      <c r="N594" t="s">
        <v>100</v>
      </c>
      <c r="P594" s="3" t="s">
        <v>42</v>
      </c>
      <c r="Q594" s="2">
        <v>0</v>
      </c>
      <c r="R594" s="3" t="s">
        <v>26</v>
      </c>
      <c r="S594">
        <f>COUNTIF(A:A,A594)</f>
        <v>1</v>
      </c>
      <c r="T594" t="str">
        <f>IF(OR(H594="",LOWER(TRIM(H594&amp;""))="missing",LOWER(TRIM(H594&amp;""))=""),"Missing/",IFERROR(IF(OR(VALUE(H594)&lt;0,VALUE(H594)&gt;110),"Invalid","Valid"),"Check Format"))</f>
        <v>Missing/</v>
      </c>
      <c r="U594" t="str">
        <f>IF(Raw_Data[[#This Row],[Age_Check]]="Valid",H594,"")</f>
        <v/>
      </c>
      <c r="V594" t="str">
        <f>IF(OR(K594="",UPPER(TRIM(K594&amp;""))="",LOWER(TRIM(K594&amp;""))="",LOWER(TRIM(K594&amp;""))="",LOWER(TRIM(K594&amp;""))="missing"),"Missing/",IFERROR(IF(VALUE(K594)&lt;0,"Invalid","Valid"),"Check Format"))</f>
        <v>Valid</v>
      </c>
      <c r="W594" t="str">
        <f>IF(OR(E594="",F594=""),"Missing Date/Time",IFERROR(IF(F594&gt;E594,"Arrival After Appointment","OK"),"Check Format"))</f>
        <v>OK</v>
      </c>
      <c r="X594" t="str">
        <f>IF(OR(F594="",G594=""),"Missing Date/Time",IFERROR(IF(G594&lt;F594,"Discharge Before Arrival","OK"),"Check Format"))</f>
        <v>Missing Date/Time</v>
      </c>
    </row>
    <row r="595" spans="1:24" x14ac:dyDescent="0.25">
      <c r="A595" s="2" t="s">
        <v>1092</v>
      </c>
      <c r="B595" s="2" t="s">
        <v>385</v>
      </c>
      <c r="D595" s="3" t="s">
        <v>99</v>
      </c>
      <c r="E595" s="4">
        <v>46000.711805555555</v>
      </c>
      <c r="F595" s="4">
        <v>45912.705555555556</v>
      </c>
      <c r="G595" s="4">
        <v>45912.802777777775</v>
      </c>
      <c r="I595" s="3" t="s">
        <v>73</v>
      </c>
      <c r="J595" s="3" t="s">
        <v>22</v>
      </c>
      <c r="K595" s="5">
        <v>75</v>
      </c>
      <c r="L595" s="5">
        <v>56</v>
      </c>
      <c r="M595" s="3" t="s">
        <v>50</v>
      </c>
      <c r="P595" s="3" t="s">
        <v>25</v>
      </c>
      <c r="Q595" s="2">
        <v>134</v>
      </c>
      <c r="R595" s="3" t="s">
        <v>58</v>
      </c>
      <c r="S595">
        <f>COUNTIF(A:A,A595)</f>
        <v>1</v>
      </c>
      <c r="T595" t="str">
        <f>IF(OR(H595="",LOWER(TRIM(H595&amp;""))="missing",LOWER(TRIM(H595&amp;""))=""),"Missing/",IFERROR(IF(OR(VALUE(H595)&lt;0,VALUE(H595)&gt;110),"Invalid","Valid"),"Check Format"))</f>
        <v>Missing/</v>
      </c>
      <c r="U595" t="str">
        <f>IF(Raw_Data[[#This Row],[Age_Check]]="Valid",H595,"")</f>
        <v/>
      </c>
      <c r="V595" t="str">
        <f>IF(OR(K595="",UPPER(TRIM(K595&amp;""))="",LOWER(TRIM(K595&amp;""))="",LOWER(TRIM(K595&amp;""))="",LOWER(TRIM(K595&amp;""))="missing"),"Missing/",IFERROR(IF(VALUE(K595)&lt;0,"Invalid","Valid"),"Check Format"))</f>
        <v>Valid</v>
      </c>
      <c r="W595" t="str">
        <f>IF(OR(E595="",F595=""),"Missing Date/Time",IFERROR(IF(F595&gt;E595,"Arrival After Appointment","OK"),"Check Format"))</f>
        <v>OK</v>
      </c>
      <c r="X595" t="str">
        <f>IF(OR(F595="",G595=""),"Missing Date/Time",IFERROR(IF(G595&lt;F595,"Discharge Before Arrival","OK"),"Check Format"))</f>
        <v>OK</v>
      </c>
    </row>
    <row r="596" spans="1:24" x14ac:dyDescent="0.25">
      <c r="A596" s="2" t="s">
        <v>1093</v>
      </c>
      <c r="B596" s="2" t="s">
        <v>1094</v>
      </c>
      <c r="C596" s="3" t="s">
        <v>94</v>
      </c>
      <c r="D596" s="3" t="s">
        <v>55</v>
      </c>
      <c r="E596" s="4">
        <v>45704.607638888891</v>
      </c>
      <c r="F596" s="4">
        <v>45704.607638888891</v>
      </c>
      <c r="G596" s="4">
        <v>45704.713194444441</v>
      </c>
      <c r="I596" s="3" t="s">
        <v>95</v>
      </c>
      <c r="J596" s="3" t="s">
        <v>62</v>
      </c>
      <c r="K596" s="5">
        <v>91</v>
      </c>
      <c r="L596" s="5">
        <v>61</v>
      </c>
      <c r="N596" t="s">
        <v>91</v>
      </c>
      <c r="P596" s="3" t="s">
        <v>80</v>
      </c>
      <c r="Q596" s="2">
        <v>250.19</v>
      </c>
      <c r="R596" s="3" t="s">
        <v>43</v>
      </c>
      <c r="S596">
        <f>COUNTIF(A:A,A596)</f>
        <v>1</v>
      </c>
      <c r="T596" t="str">
        <f>IF(OR(H596="",LOWER(TRIM(H596&amp;""))="missing",LOWER(TRIM(H596&amp;""))=""),"Missing/",IFERROR(IF(OR(VALUE(H596)&lt;0,VALUE(H596)&gt;110),"Invalid","Valid"),"Check Format"))</f>
        <v>Missing/</v>
      </c>
      <c r="U596" t="str">
        <f>IF(Raw_Data[[#This Row],[Age_Check]]="Valid",H596,"")</f>
        <v/>
      </c>
      <c r="V596" t="str">
        <f>IF(OR(K596="",UPPER(TRIM(K596&amp;""))="",LOWER(TRIM(K596&amp;""))="",LOWER(TRIM(K596&amp;""))="",LOWER(TRIM(K596&amp;""))="missing"),"Missing/",IFERROR(IF(VALUE(K596)&lt;0,"Invalid","Valid"),"Check Format"))</f>
        <v>Valid</v>
      </c>
      <c r="W596" t="str">
        <f>IF(OR(E596="",F596=""),"Missing Date/Time",IFERROR(IF(F596&gt;E596,"Arrival After Appointment","OK"),"Check Format"))</f>
        <v>OK</v>
      </c>
      <c r="X596" t="str">
        <f>IF(OR(F596="",G596=""),"Missing Date/Time",IFERROR(IF(G596&lt;F596,"Discharge Before Arrival","OK"),"Check Format"))</f>
        <v>OK</v>
      </c>
    </row>
    <row r="597" spans="1:24" x14ac:dyDescent="0.25">
      <c r="A597" s="2" t="s">
        <v>1095</v>
      </c>
      <c r="B597" s="2" t="s">
        <v>143</v>
      </c>
      <c r="C597" s="3" t="s">
        <v>46</v>
      </c>
      <c r="D597" s="3" t="s">
        <v>174</v>
      </c>
      <c r="E597" s="4">
        <v>45569.510416666664</v>
      </c>
      <c r="F597" s="4">
        <v>45569.5</v>
      </c>
      <c r="G597" s="4">
        <v>45569.621527777781</v>
      </c>
      <c r="I597" s="3" t="s">
        <v>95</v>
      </c>
      <c r="J597" s="3" t="s">
        <v>67</v>
      </c>
      <c r="K597" s="5">
        <v>115</v>
      </c>
      <c r="L597" s="5">
        <v>45</v>
      </c>
      <c r="M597" s="3" t="s">
        <v>32</v>
      </c>
      <c r="N597" t="s">
        <v>74</v>
      </c>
      <c r="O597" s="5">
        <v>3</v>
      </c>
      <c r="P597" s="3" t="s">
        <v>25</v>
      </c>
      <c r="Q597" s="2">
        <v>151.03</v>
      </c>
      <c r="R597" s="3" t="s">
        <v>26</v>
      </c>
      <c r="S597">
        <f>COUNTIF(A:A,A597)</f>
        <v>1</v>
      </c>
      <c r="T597" t="str">
        <f>IF(OR(H597="",LOWER(TRIM(H597&amp;""))="missing",LOWER(TRIM(H597&amp;""))=""),"Missing/",IFERROR(IF(OR(VALUE(H597)&lt;0,VALUE(H597)&gt;110),"Invalid","Valid"),"Check Format"))</f>
        <v>Missing/</v>
      </c>
      <c r="U597" t="str">
        <f>IF(Raw_Data[[#This Row],[Age_Check]]="Valid",H597,"")</f>
        <v/>
      </c>
      <c r="V597" t="str">
        <f>IF(OR(K597="",UPPER(TRIM(K597&amp;""))="",LOWER(TRIM(K597&amp;""))="",LOWER(TRIM(K597&amp;""))="",LOWER(TRIM(K597&amp;""))="missing"),"Missing/",IFERROR(IF(VALUE(K597)&lt;0,"Invalid","Valid"),"Check Format"))</f>
        <v>Valid</v>
      </c>
      <c r="W597" t="str">
        <f>IF(OR(E597="",F597=""),"Missing Date/Time",IFERROR(IF(F597&gt;E597,"Arrival After Appointment","OK"),"Check Format"))</f>
        <v>OK</v>
      </c>
      <c r="X597" t="str">
        <f>IF(OR(F597="",G597=""),"Missing Date/Time",IFERROR(IF(G597&lt;F597,"Discharge Before Arrival","OK"),"Check Format"))</f>
        <v>OK</v>
      </c>
    </row>
    <row r="598" spans="1:24" x14ac:dyDescent="0.25">
      <c r="A598" s="2" t="s">
        <v>1096</v>
      </c>
      <c r="B598" s="2" t="s">
        <v>1097</v>
      </c>
      <c r="C598" s="3" t="s">
        <v>46</v>
      </c>
      <c r="D598" s="3" t="s">
        <v>61</v>
      </c>
      <c r="E598" s="4">
        <v>45513.565972222219</v>
      </c>
      <c r="F598" s="4">
        <v>45513.556944444441</v>
      </c>
      <c r="G598" s="4">
        <v>45513.585416666669</v>
      </c>
      <c r="H598" s="5">
        <v>145</v>
      </c>
      <c r="I598" s="3" t="s">
        <v>90</v>
      </c>
      <c r="J598" s="3" t="s">
        <v>67</v>
      </c>
      <c r="K598" s="5">
        <v>1</v>
      </c>
      <c r="L598" s="5">
        <v>27</v>
      </c>
      <c r="M598" s="3" t="s">
        <v>41</v>
      </c>
      <c r="N598" t="s">
        <v>91</v>
      </c>
      <c r="O598" s="5">
        <v>6</v>
      </c>
      <c r="P598" s="3" t="s">
        <v>80</v>
      </c>
      <c r="R598" s="3" t="s">
        <v>58</v>
      </c>
      <c r="S598">
        <f>COUNTIF(A:A,A598)</f>
        <v>1</v>
      </c>
      <c r="T598" t="str">
        <f>IF(OR(H598="",LOWER(TRIM(H598&amp;""))="missing",LOWER(TRIM(H598&amp;""))=""),"Missing/",IFERROR(IF(OR(VALUE(H598)&lt;0,VALUE(H598)&gt;110),"Invalid","Valid"),"Check Format"))</f>
        <v>Invalid</v>
      </c>
      <c r="U598" t="str">
        <f>IF(Raw_Data[[#This Row],[Age_Check]]="Valid",H598,"")</f>
        <v/>
      </c>
      <c r="V598" t="str">
        <f>IF(OR(K598="",UPPER(TRIM(K598&amp;""))="",LOWER(TRIM(K598&amp;""))="",LOWER(TRIM(K598&amp;""))="",LOWER(TRIM(K598&amp;""))="missing"),"Missing/",IFERROR(IF(VALUE(K598)&lt;0,"Invalid","Valid"),"Check Format"))</f>
        <v>Valid</v>
      </c>
      <c r="W598" t="str">
        <f>IF(OR(E598="",F598=""),"Missing Date/Time",IFERROR(IF(F598&gt;E598,"Arrival After Appointment","OK"),"Check Format"))</f>
        <v>OK</v>
      </c>
      <c r="X598" t="str">
        <f>IF(OR(F598="",G598=""),"Missing Date/Time",IFERROR(IF(G598&lt;F598,"Discharge Before Arrival","OK"),"Check Format"))</f>
        <v>OK</v>
      </c>
    </row>
    <row r="599" spans="1:24" x14ac:dyDescent="0.25">
      <c r="A599" s="2" t="s">
        <v>1098</v>
      </c>
      <c r="B599" s="2" t="s">
        <v>635</v>
      </c>
      <c r="C599" s="3" t="s">
        <v>29</v>
      </c>
      <c r="D599" s="3" t="s">
        <v>38</v>
      </c>
      <c r="E599" s="4">
        <v>45789.434027777781</v>
      </c>
      <c r="F599" s="4">
        <v>45996.414583333331</v>
      </c>
      <c r="H599" s="5">
        <v>145</v>
      </c>
      <c r="I599" s="3" t="s">
        <v>73</v>
      </c>
      <c r="J599" s="3" t="s">
        <v>62</v>
      </c>
      <c r="K599" s="5">
        <v>28</v>
      </c>
      <c r="L599" s="5">
        <v>71</v>
      </c>
      <c r="M599" s="3" t="s">
        <v>50</v>
      </c>
      <c r="N599" t="s">
        <v>24</v>
      </c>
      <c r="O599" s="5">
        <v>0</v>
      </c>
      <c r="P599" s="3" t="s">
        <v>25</v>
      </c>
      <c r="Q599" s="2">
        <v>130.93</v>
      </c>
      <c r="R599" s="3" t="s">
        <v>58</v>
      </c>
      <c r="S599">
        <f>COUNTIF(A:A,A599)</f>
        <v>1</v>
      </c>
      <c r="T599" t="str">
        <f>IF(OR(H599="",LOWER(TRIM(H599&amp;""))="missing",LOWER(TRIM(H599&amp;""))=""),"Missing/",IFERROR(IF(OR(VALUE(H599)&lt;0,VALUE(H599)&gt;110),"Invalid","Valid"),"Check Format"))</f>
        <v>Invalid</v>
      </c>
      <c r="U599" t="str">
        <f>IF(Raw_Data[[#This Row],[Age_Check]]="Valid",H599,"")</f>
        <v/>
      </c>
      <c r="V599" t="str">
        <f>IF(OR(K599="",UPPER(TRIM(K599&amp;""))="",LOWER(TRIM(K599&amp;""))="",LOWER(TRIM(K599&amp;""))="",LOWER(TRIM(K599&amp;""))="missing"),"Missing/",IFERROR(IF(VALUE(K599)&lt;0,"Invalid","Valid"),"Check Format"))</f>
        <v>Valid</v>
      </c>
      <c r="W599" t="str">
        <f>IF(OR(E599="",F599=""),"Missing Date/Time",IFERROR(IF(F599&gt;E599,"Arrival After Appointment","OK"),"Check Format"))</f>
        <v>Arrival After Appointment</v>
      </c>
      <c r="X599" t="str">
        <f>IF(OR(F599="",G599=""),"Missing Date/Time",IFERROR(IF(G599&lt;F599,"Discharge Before Arrival","OK"),"Check Format"))</f>
        <v>Missing Date/Time</v>
      </c>
    </row>
    <row r="600" spans="1:24" x14ac:dyDescent="0.25">
      <c r="A600" s="2" t="s">
        <v>1099</v>
      </c>
      <c r="B600" s="2" t="s">
        <v>512</v>
      </c>
      <c r="C600" s="3" t="s">
        <v>37</v>
      </c>
      <c r="D600" s="3" t="s">
        <v>66</v>
      </c>
      <c r="E600" s="4">
        <v>45833.607638888891</v>
      </c>
      <c r="F600" s="4">
        <v>45833.602083333331</v>
      </c>
      <c r="G600" s="4">
        <v>45833.679166666669</v>
      </c>
      <c r="I600" s="3" t="s">
        <v>73</v>
      </c>
      <c r="J600" s="3" t="s">
        <v>22</v>
      </c>
      <c r="K600" s="5">
        <v>62</v>
      </c>
      <c r="L600" s="5">
        <v>41</v>
      </c>
      <c r="M600" s="3" t="s">
        <v>50</v>
      </c>
      <c r="N600" t="s">
        <v>74</v>
      </c>
      <c r="O600" s="5">
        <v>6</v>
      </c>
      <c r="P600" s="3" t="s">
        <v>80</v>
      </c>
      <c r="Q600" s="2">
        <v>148.49</v>
      </c>
      <c r="R600" s="3" t="s">
        <v>75</v>
      </c>
      <c r="S600">
        <f>COUNTIF(A:A,A600)</f>
        <v>1</v>
      </c>
      <c r="T600" t="str">
        <f>IF(OR(H600="",LOWER(TRIM(H600&amp;""))="missing",LOWER(TRIM(H600&amp;""))=""),"Missing/",IFERROR(IF(OR(VALUE(H600)&lt;0,VALUE(H600)&gt;110),"Invalid","Valid"),"Check Format"))</f>
        <v>Missing/</v>
      </c>
      <c r="U600" t="str">
        <f>IF(Raw_Data[[#This Row],[Age_Check]]="Valid",H600,"")</f>
        <v/>
      </c>
      <c r="V600" t="str">
        <f>IF(OR(K600="",UPPER(TRIM(K600&amp;""))="",LOWER(TRIM(K600&amp;""))="",LOWER(TRIM(K600&amp;""))="",LOWER(TRIM(K600&amp;""))="missing"),"Missing/",IFERROR(IF(VALUE(K600)&lt;0,"Invalid","Valid"),"Check Format"))</f>
        <v>Valid</v>
      </c>
      <c r="W600" t="str">
        <f>IF(OR(E600="",F600=""),"Missing Date/Time",IFERROR(IF(F600&gt;E600,"Arrival After Appointment","OK"),"Check Format"))</f>
        <v>OK</v>
      </c>
      <c r="X600" t="str">
        <f>IF(OR(F600="",G600=""),"Missing Date/Time",IFERROR(IF(G600&lt;F600,"Discharge Before Arrival","OK"),"Check Format"))</f>
        <v>OK</v>
      </c>
    </row>
    <row r="601" spans="1:24" x14ac:dyDescent="0.25">
      <c r="A601" s="2" t="s">
        <v>1100</v>
      </c>
      <c r="B601" s="2" t="s">
        <v>1101</v>
      </c>
      <c r="C601" s="3" t="s">
        <v>46</v>
      </c>
      <c r="D601" s="3" t="s">
        <v>209</v>
      </c>
      <c r="E601" s="4">
        <v>45841.451388888891</v>
      </c>
      <c r="F601" s="4">
        <v>45841.447222222225</v>
      </c>
      <c r="G601" s="4">
        <v>45841.546527777777</v>
      </c>
      <c r="H601" s="5">
        <v>36</v>
      </c>
      <c r="I601" s="3" t="s">
        <v>95</v>
      </c>
      <c r="J601" s="3" t="s">
        <v>2639</v>
      </c>
      <c r="K601" s="5">
        <v>117</v>
      </c>
      <c r="L601" s="5">
        <v>20</v>
      </c>
      <c r="N601" t="s">
        <v>74</v>
      </c>
      <c r="O601" s="5">
        <v>3</v>
      </c>
      <c r="P601" s="3" t="s">
        <v>80</v>
      </c>
      <c r="Q601" s="2">
        <v>160.57</v>
      </c>
      <c r="R601" s="3" t="s">
        <v>58</v>
      </c>
      <c r="S601">
        <f>COUNTIF(A:A,A601)</f>
        <v>1</v>
      </c>
      <c r="T601" t="str">
        <f>IF(OR(H601="",LOWER(TRIM(H601&amp;""))="missing",LOWER(TRIM(H601&amp;""))=""),"Missing/",IFERROR(IF(OR(VALUE(H601)&lt;0,VALUE(H601)&gt;110),"Invalid","Valid"),"Check Format"))</f>
        <v>Valid</v>
      </c>
      <c r="U601">
        <f>IF(Raw_Data[[#This Row],[Age_Check]]="Valid",H601,"")</f>
        <v>36</v>
      </c>
      <c r="V601" t="str">
        <f>IF(OR(K601="",UPPER(TRIM(K601&amp;""))="",LOWER(TRIM(K601&amp;""))="",LOWER(TRIM(K601&amp;""))="",LOWER(TRIM(K601&amp;""))="missing"),"Missing/",IFERROR(IF(VALUE(K601)&lt;0,"Invalid","Valid"),"Check Format"))</f>
        <v>Valid</v>
      </c>
      <c r="W601" t="str">
        <f>IF(OR(E601="",F601=""),"Missing Date/Time",IFERROR(IF(F601&gt;E601,"Arrival After Appointment","OK"),"Check Format"))</f>
        <v>OK</v>
      </c>
      <c r="X601" t="str">
        <f>IF(OR(F601="",G601=""),"Missing Date/Time",IFERROR(IF(G601&lt;F601,"Discharge Before Arrival","OK"),"Check Format"))</f>
        <v>OK</v>
      </c>
    </row>
    <row r="602" spans="1:24" x14ac:dyDescent="0.25">
      <c r="A602" s="2" t="s">
        <v>1102</v>
      </c>
      <c r="B602" s="2" t="s">
        <v>467</v>
      </c>
      <c r="C602" s="3" t="s">
        <v>29</v>
      </c>
      <c r="D602" s="3" t="s">
        <v>115</v>
      </c>
      <c r="E602" s="4">
        <v>45768.399305555555</v>
      </c>
      <c r="F602" s="4">
        <v>45768.393750000003</v>
      </c>
      <c r="G602" s="4">
        <v>45768.427083333336</v>
      </c>
      <c r="H602" s="5">
        <v>145</v>
      </c>
      <c r="I602" s="3" t="s">
        <v>73</v>
      </c>
      <c r="J602" s="3" t="s">
        <v>67</v>
      </c>
      <c r="K602" s="5">
        <v>32</v>
      </c>
      <c r="L602" s="5">
        <v>8</v>
      </c>
      <c r="M602" s="3" t="s">
        <v>63</v>
      </c>
      <c r="N602" t="s">
        <v>69</v>
      </c>
      <c r="P602" s="3" t="s">
        <v>25</v>
      </c>
      <c r="Q602" s="2">
        <v>96.06</v>
      </c>
      <c r="R602" s="3" t="s">
        <v>75</v>
      </c>
      <c r="S602">
        <f>COUNTIF(A:A,A602)</f>
        <v>1</v>
      </c>
      <c r="T602" t="str">
        <f>IF(OR(H602="",LOWER(TRIM(H602&amp;""))="missing",LOWER(TRIM(H602&amp;""))=""),"Missing/",IFERROR(IF(OR(VALUE(H602)&lt;0,VALUE(H602)&gt;110),"Invalid","Valid"),"Check Format"))</f>
        <v>Invalid</v>
      </c>
      <c r="U602" t="str">
        <f>IF(Raw_Data[[#This Row],[Age_Check]]="Valid",H602,"")</f>
        <v/>
      </c>
      <c r="V602" t="str">
        <f>IF(OR(K602="",UPPER(TRIM(K602&amp;""))="",LOWER(TRIM(K602&amp;""))="",LOWER(TRIM(K602&amp;""))="",LOWER(TRIM(K602&amp;""))="missing"),"Missing/",IFERROR(IF(VALUE(K602)&lt;0,"Invalid","Valid"),"Check Format"))</f>
        <v>Valid</v>
      </c>
      <c r="W602" t="str">
        <f>IF(OR(E602="",F602=""),"Missing Date/Time",IFERROR(IF(F602&gt;E602,"Arrival After Appointment","OK"),"Check Format"))</f>
        <v>OK</v>
      </c>
      <c r="X602" t="str">
        <f>IF(OR(F602="",G602=""),"Missing Date/Time",IFERROR(IF(G602&lt;F602,"Discharge Before Arrival","OK"),"Check Format"))</f>
        <v>OK</v>
      </c>
    </row>
    <row r="603" spans="1:24" x14ac:dyDescent="0.25">
      <c r="A603" s="2" t="s">
        <v>1103</v>
      </c>
      <c r="B603" s="2" t="s">
        <v>435</v>
      </c>
      <c r="C603" s="3" t="s">
        <v>29</v>
      </c>
      <c r="D603" s="3" t="s">
        <v>47</v>
      </c>
      <c r="E603" s="4" t="s">
        <v>1104</v>
      </c>
      <c r="F603" s="4">
        <v>45676.60833333333</v>
      </c>
      <c r="H603" s="5">
        <v>145</v>
      </c>
      <c r="J603" s="3" t="s">
        <v>67</v>
      </c>
      <c r="K603" s="5">
        <v>56</v>
      </c>
      <c r="L603" s="5">
        <v>24</v>
      </c>
      <c r="M603" s="3" t="s">
        <v>87</v>
      </c>
      <c r="O603" s="5">
        <v>0</v>
      </c>
      <c r="P603" s="3" t="s">
        <v>25</v>
      </c>
      <c r="Q603" s="2">
        <v>89.61</v>
      </c>
      <c r="R603" s="3" t="s">
        <v>43</v>
      </c>
      <c r="S603">
        <f>COUNTIF(A:A,A603)</f>
        <v>1</v>
      </c>
      <c r="T603" t="str">
        <f>IF(OR(H603="",LOWER(TRIM(H603&amp;""))="missing",LOWER(TRIM(H603&amp;""))=""),"Missing/",IFERROR(IF(OR(VALUE(H603)&lt;0,VALUE(H603)&gt;110),"Invalid","Valid"),"Check Format"))</f>
        <v>Invalid</v>
      </c>
      <c r="U603" t="str">
        <f>IF(Raw_Data[[#This Row],[Age_Check]]="Valid",H603,"")</f>
        <v/>
      </c>
      <c r="V603" t="str">
        <f>IF(OR(K603="",UPPER(TRIM(K603&amp;""))="",LOWER(TRIM(K603&amp;""))="",LOWER(TRIM(K603&amp;""))="",LOWER(TRIM(K603&amp;""))="missing"),"Missing/",IFERROR(IF(VALUE(K603)&lt;0,"Invalid","Valid"),"Check Format"))</f>
        <v>Valid</v>
      </c>
      <c r="W603" t="str">
        <f>IF(OR(E603="",F603=""),"Missing Date/Time",IFERROR(IF(F603&gt;E603,"Arrival After Appointment","OK"),"Check Format"))</f>
        <v>OK</v>
      </c>
      <c r="X603" t="str">
        <f>IF(OR(F603="",G603=""),"Missing Date/Time",IFERROR(IF(G603&lt;F603,"Discharge Before Arrival","OK"),"Check Format"))</f>
        <v>Missing Date/Time</v>
      </c>
    </row>
    <row r="604" spans="1:24" x14ac:dyDescent="0.25">
      <c r="A604" s="2" t="s">
        <v>1105</v>
      </c>
      <c r="B604" s="2" t="s">
        <v>251</v>
      </c>
      <c r="C604" s="3" t="s">
        <v>19</v>
      </c>
      <c r="D604" s="3" t="s">
        <v>30</v>
      </c>
      <c r="E604" s="4">
        <v>45532.350694444445</v>
      </c>
      <c r="F604" s="4">
        <v>45532.338888888888</v>
      </c>
      <c r="I604" s="3" t="s">
        <v>95</v>
      </c>
      <c r="J604" s="3" t="s">
        <v>150</v>
      </c>
      <c r="K604" s="5">
        <v>8</v>
      </c>
      <c r="L604" s="5">
        <v>30</v>
      </c>
      <c r="M604" s="3" t="s">
        <v>23</v>
      </c>
      <c r="N604" t="s">
        <v>24</v>
      </c>
      <c r="O604" s="5">
        <v>4</v>
      </c>
      <c r="Q604" s="2">
        <v>24.62</v>
      </c>
      <c r="R604" s="3" t="s">
        <v>75</v>
      </c>
      <c r="S604">
        <f>COUNTIF(A:A,A604)</f>
        <v>1</v>
      </c>
      <c r="T604" t="str">
        <f>IF(OR(H604="",LOWER(TRIM(H604&amp;""))="missing",LOWER(TRIM(H604&amp;""))=""),"Missing/",IFERROR(IF(OR(VALUE(H604)&lt;0,VALUE(H604)&gt;110),"Invalid","Valid"),"Check Format"))</f>
        <v>Missing/</v>
      </c>
      <c r="U604" t="str">
        <f>IF(Raw_Data[[#This Row],[Age_Check]]="Valid",H604,"")</f>
        <v/>
      </c>
      <c r="V604" t="str">
        <f>IF(OR(K604="",UPPER(TRIM(K604&amp;""))="",LOWER(TRIM(K604&amp;""))="",LOWER(TRIM(K604&amp;""))="",LOWER(TRIM(K604&amp;""))="missing"),"Missing/",IFERROR(IF(VALUE(K604)&lt;0,"Invalid","Valid"),"Check Format"))</f>
        <v>Valid</v>
      </c>
      <c r="W604" t="str">
        <f>IF(OR(E604="",F604=""),"Missing Date/Time",IFERROR(IF(F604&gt;E604,"Arrival After Appointment","OK"),"Check Format"))</f>
        <v>OK</v>
      </c>
      <c r="X604" t="str">
        <f>IF(OR(F604="",G604=""),"Missing Date/Time",IFERROR(IF(G604&lt;F604,"Discharge Before Arrival","OK"),"Check Format"))</f>
        <v>Missing Date/Time</v>
      </c>
    </row>
    <row r="605" spans="1:24" x14ac:dyDescent="0.25">
      <c r="A605" s="2" t="s">
        <v>1106</v>
      </c>
      <c r="B605" s="2" t="s">
        <v>727</v>
      </c>
      <c r="C605" s="3" t="s">
        <v>37</v>
      </c>
      <c r="D605" s="3" t="s">
        <v>174</v>
      </c>
      <c r="E605" s="4">
        <v>45316.326388888891</v>
      </c>
      <c r="F605" s="4">
        <v>45316.305555555555</v>
      </c>
      <c r="G605" s="4">
        <v>45316.407638888886</v>
      </c>
      <c r="I605" s="3" t="s">
        <v>95</v>
      </c>
      <c r="J605" s="3" t="s">
        <v>2639</v>
      </c>
      <c r="K605" s="5">
        <v>84</v>
      </c>
      <c r="L605" s="5">
        <v>33</v>
      </c>
      <c r="N605" t="s">
        <v>74</v>
      </c>
      <c r="O605" s="5">
        <v>0</v>
      </c>
      <c r="P605" s="3" t="s">
        <v>25</v>
      </c>
      <c r="Q605" s="2">
        <v>28.4</v>
      </c>
      <c r="R605" s="3" t="s">
        <v>58</v>
      </c>
      <c r="S605">
        <f>COUNTIF(A:A,A605)</f>
        <v>1</v>
      </c>
      <c r="T605" t="str">
        <f>IF(OR(H605="",LOWER(TRIM(H605&amp;""))="missing",LOWER(TRIM(H605&amp;""))=""),"Missing/",IFERROR(IF(OR(VALUE(H605)&lt;0,VALUE(H605)&gt;110),"Invalid","Valid"),"Check Format"))</f>
        <v>Missing/</v>
      </c>
      <c r="U605" t="str">
        <f>IF(Raw_Data[[#This Row],[Age_Check]]="Valid",H605,"")</f>
        <v/>
      </c>
      <c r="V605" t="str">
        <f>IF(OR(K605="",UPPER(TRIM(K605&amp;""))="",LOWER(TRIM(K605&amp;""))="",LOWER(TRIM(K605&amp;""))="",LOWER(TRIM(K605&amp;""))="missing"),"Missing/",IFERROR(IF(VALUE(K605)&lt;0,"Invalid","Valid"),"Check Format"))</f>
        <v>Valid</v>
      </c>
      <c r="W605" t="str">
        <f>IF(OR(E605="",F605=""),"Missing Date/Time",IFERROR(IF(F605&gt;E605,"Arrival After Appointment","OK"),"Check Format"))</f>
        <v>OK</v>
      </c>
      <c r="X605" t="str">
        <f>IF(OR(F605="",G605=""),"Missing Date/Time",IFERROR(IF(G605&lt;F605,"Discharge Before Arrival","OK"),"Check Format"))</f>
        <v>OK</v>
      </c>
    </row>
    <row r="606" spans="1:24" x14ac:dyDescent="0.25">
      <c r="A606" s="2" t="s">
        <v>1107</v>
      </c>
      <c r="B606" s="2" t="s">
        <v>237</v>
      </c>
      <c r="C606" s="3" t="s">
        <v>29</v>
      </c>
      <c r="D606" s="3" t="s">
        <v>23</v>
      </c>
      <c r="E606" s="4">
        <v>45299.447916666664</v>
      </c>
      <c r="F606" s="4">
        <v>45505.429861111108</v>
      </c>
      <c r="G606" s="4">
        <v>45505.493055555555</v>
      </c>
      <c r="H606" s="5">
        <v>145</v>
      </c>
      <c r="I606" s="3" t="s">
        <v>95</v>
      </c>
      <c r="J606" s="3" t="s">
        <v>62</v>
      </c>
      <c r="K606" s="5">
        <v>47</v>
      </c>
      <c r="L606" s="5">
        <v>18</v>
      </c>
      <c r="M606" s="3" t="s">
        <v>63</v>
      </c>
      <c r="N606" t="s">
        <v>103</v>
      </c>
      <c r="O606" s="5">
        <v>6</v>
      </c>
      <c r="P606" s="3" t="s">
        <v>80</v>
      </c>
      <c r="Q606" s="2">
        <v>170.53</v>
      </c>
      <c r="R606" s="3" t="s">
        <v>43</v>
      </c>
      <c r="S606">
        <f>COUNTIF(A:A,A606)</f>
        <v>1</v>
      </c>
      <c r="T606" t="str">
        <f>IF(OR(H606="",LOWER(TRIM(H606&amp;""))="missing",LOWER(TRIM(H606&amp;""))=""),"Missing/",IFERROR(IF(OR(VALUE(H606)&lt;0,VALUE(H606)&gt;110),"Invalid","Valid"),"Check Format"))</f>
        <v>Invalid</v>
      </c>
      <c r="U606" t="str">
        <f>IF(Raw_Data[[#This Row],[Age_Check]]="Valid",H606,"")</f>
        <v/>
      </c>
      <c r="V606" t="str">
        <f>IF(OR(K606="",UPPER(TRIM(K606&amp;""))="",LOWER(TRIM(K606&amp;""))="",LOWER(TRIM(K606&amp;""))="",LOWER(TRIM(K606&amp;""))="missing"),"Missing/",IFERROR(IF(VALUE(K606)&lt;0,"Invalid","Valid"),"Check Format"))</f>
        <v>Valid</v>
      </c>
      <c r="W606" t="str">
        <f>IF(OR(E606="",F606=""),"Missing Date/Time",IFERROR(IF(F606&gt;E606,"Arrival After Appointment","OK"),"Check Format"))</f>
        <v>Arrival After Appointment</v>
      </c>
      <c r="X606" t="str">
        <f>IF(OR(F606="",G606=""),"Missing Date/Time",IFERROR(IF(G606&lt;F606,"Discharge Before Arrival","OK"),"Check Format"))</f>
        <v>OK</v>
      </c>
    </row>
    <row r="607" spans="1:24" x14ac:dyDescent="0.25">
      <c r="A607" s="2" t="s">
        <v>1108</v>
      </c>
      <c r="B607" s="2" t="s">
        <v>1109</v>
      </c>
      <c r="C607" s="3" t="s">
        <v>94</v>
      </c>
      <c r="D607" s="3" t="s">
        <v>174</v>
      </c>
      <c r="E607" s="4">
        <v>45558.545138888891</v>
      </c>
      <c r="F607" s="4">
        <v>45558.543055555558</v>
      </c>
      <c r="H607" s="5">
        <v>95</v>
      </c>
      <c r="I607" s="3" t="s">
        <v>73</v>
      </c>
      <c r="J607" s="3" t="s">
        <v>22</v>
      </c>
      <c r="K607" s="5">
        <v>104</v>
      </c>
      <c r="L607" s="5">
        <v>5</v>
      </c>
      <c r="M607" s="3" t="s">
        <v>63</v>
      </c>
      <c r="N607" t="s">
        <v>24</v>
      </c>
      <c r="P607" s="3" t="s">
        <v>80</v>
      </c>
      <c r="R607" s="3" t="s">
        <v>43</v>
      </c>
      <c r="S607">
        <f>COUNTIF(A:A,A607)</f>
        <v>1</v>
      </c>
      <c r="T607" t="str">
        <f>IF(OR(H607="",LOWER(TRIM(H607&amp;""))="missing",LOWER(TRIM(H607&amp;""))=""),"Missing/",IFERROR(IF(OR(VALUE(H607)&lt;0,VALUE(H607)&gt;110),"Invalid","Valid"),"Check Format"))</f>
        <v>Valid</v>
      </c>
      <c r="U607">
        <f>IF(Raw_Data[[#This Row],[Age_Check]]="Valid",H607,"")</f>
        <v>95</v>
      </c>
      <c r="V607" t="str">
        <f>IF(OR(K607="",UPPER(TRIM(K607&amp;""))="",LOWER(TRIM(K607&amp;""))="",LOWER(TRIM(K607&amp;""))="",LOWER(TRIM(K607&amp;""))="missing"),"Missing/",IFERROR(IF(VALUE(K607)&lt;0,"Invalid","Valid"),"Check Format"))</f>
        <v>Valid</v>
      </c>
      <c r="W607" t="str">
        <f>IF(OR(E607="",F607=""),"Missing Date/Time",IFERROR(IF(F607&gt;E607,"Arrival After Appointment","OK"),"Check Format"))</f>
        <v>OK</v>
      </c>
      <c r="X607" t="str">
        <f>IF(OR(F607="",G607=""),"Missing Date/Time",IFERROR(IF(G607&lt;F607,"Discharge Before Arrival","OK"),"Check Format"))</f>
        <v>Missing Date/Time</v>
      </c>
    </row>
    <row r="608" spans="1:24" x14ac:dyDescent="0.25">
      <c r="A608" s="2" t="s">
        <v>751</v>
      </c>
      <c r="B608" s="2" t="s">
        <v>45</v>
      </c>
      <c r="C608" s="3" t="s">
        <v>29</v>
      </c>
      <c r="D608" s="3" t="s">
        <v>47</v>
      </c>
      <c r="E608" s="4" t="s">
        <v>753</v>
      </c>
      <c r="F608" s="4">
        <v>45951.31527777778</v>
      </c>
      <c r="G608" s="4">
        <v>45951.350694444445</v>
      </c>
      <c r="I608" s="3" t="s">
        <v>73</v>
      </c>
      <c r="J608" s="3" t="s">
        <v>67</v>
      </c>
      <c r="K608" s="5">
        <v>40</v>
      </c>
      <c r="L608" s="5">
        <v>5</v>
      </c>
      <c r="O608" s="5">
        <v>0</v>
      </c>
      <c r="P608" s="3" t="s">
        <v>42</v>
      </c>
      <c r="R608" s="3" t="s">
        <v>58</v>
      </c>
      <c r="S608">
        <f>COUNTIF(A:A,A608)</f>
        <v>2</v>
      </c>
      <c r="T608" t="str">
        <f>IF(OR(H608="",LOWER(TRIM(H608&amp;""))="missing",LOWER(TRIM(H608&amp;""))=""),"Missing/",IFERROR(IF(OR(VALUE(H608)&lt;0,VALUE(H608)&gt;110),"Invalid","Valid"),"Check Format"))</f>
        <v>Missing/</v>
      </c>
      <c r="U608" t="str">
        <f>IF(Raw_Data[[#This Row],[Age_Check]]="Valid",H608,"")</f>
        <v/>
      </c>
      <c r="V608" t="str">
        <f>IF(OR(K608="",UPPER(TRIM(K608&amp;""))="",LOWER(TRIM(K608&amp;""))="",LOWER(TRIM(K608&amp;""))="",LOWER(TRIM(K608&amp;""))="missing"),"Missing/",IFERROR(IF(VALUE(K608)&lt;0,"Invalid","Valid"),"Check Format"))</f>
        <v>Valid</v>
      </c>
      <c r="W608" t="str">
        <f>IF(OR(E608="",F608=""),"Missing Date/Time",IFERROR(IF(F608&gt;E608,"Arrival After Appointment","OK"),"Check Format"))</f>
        <v>OK</v>
      </c>
      <c r="X608" t="str">
        <f>IF(OR(F608="",G608=""),"Missing Date/Time",IFERROR(IF(G608&lt;F608,"Discharge Before Arrival","OK"),"Check Format"))</f>
        <v>OK</v>
      </c>
    </row>
    <row r="609" spans="1:24" x14ac:dyDescent="0.25">
      <c r="A609" s="2" t="s">
        <v>774</v>
      </c>
      <c r="B609" s="2" t="s">
        <v>170</v>
      </c>
      <c r="C609" s="3" t="s">
        <v>46</v>
      </c>
      <c r="D609" s="3" t="s">
        <v>55</v>
      </c>
      <c r="E609" s="4" t="s">
        <v>775</v>
      </c>
      <c r="F609" s="4">
        <v>45595.43472222222</v>
      </c>
      <c r="G609" s="4">
        <v>45595.560416666667</v>
      </c>
      <c r="J609" s="3" t="s">
        <v>62</v>
      </c>
      <c r="K609" s="5">
        <v>142</v>
      </c>
      <c r="L609" s="5">
        <v>30</v>
      </c>
      <c r="M609" s="3" t="s">
        <v>32</v>
      </c>
      <c r="N609" t="s">
        <v>24</v>
      </c>
      <c r="P609" s="3" t="s">
        <v>80</v>
      </c>
      <c r="R609" s="3" t="s">
        <v>75</v>
      </c>
      <c r="S609">
        <f>COUNTIF(A:A,A609)</f>
        <v>1</v>
      </c>
      <c r="T609" t="str">
        <f>IF(OR(H609="",LOWER(TRIM(H609&amp;""))="missing",LOWER(TRIM(H609&amp;""))=""),"Missing/",IFERROR(IF(OR(VALUE(H609)&lt;0,VALUE(H609)&gt;110),"Invalid","Valid"),"Check Format"))</f>
        <v>Missing/</v>
      </c>
      <c r="U609" t="str">
        <f>IF(Raw_Data[[#This Row],[Age_Check]]="Valid",H609,"")</f>
        <v/>
      </c>
      <c r="V609" t="str">
        <f>IF(OR(K609="",UPPER(TRIM(K609&amp;""))="",LOWER(TRIM(K609&amp;""))="",LOWER(TRIM(K609&amp;""))="",LOWER(TRIM(K609&amp;""))="missing"),"Missing/",IFERROR(IF(VALUE(K609)&lt;0,"Invalid","Valid"),"Check Format"))</f>
        <v>Valid</v>
      </c>
      <c r="W609" t="str">
        <f>IF(OR(E609="",F609=""),"Missing Date/Time",IFERROR(IF(F609&gt;E609,"Arrival After Appointment","OK"),"Check Format"))</f>
        <v>OK</v>
      </c>
      <c r="X609" t="str">
        <f>IF(OR(F609="",G609=""),"Missing Date/Time",IFERROR(IF(G609&lt;F609,"Discharge Before Arrival","OK"),"Check Format"))</f>
        <v>OK</v>
      </c>
    </row>
    <row r="610" spans="1:24" x14ac:dyDescent="0.25">
      <c r="A610" s="2" t="s">
        <v>1111</v>
      </c>
      <c r="B610" s="2" t="s">
        <v>593</v>
      </c>
      <c r="C610" s="3" t="s">
        <v>19</v>
      </c>
      <c r="D610" s="3" t="s">
        <v>209</v>
      </c>
      <c r="E610" s="4">
        <v>45501.368055555555</v>
      </c>
      <c r="F610" s="4">
        <v>45501.363194444442</v>
      </c>
      <c r="G610" s="4">
        <v>45501.411805555559</v>
      </c>
      <c r="H610" s="5">
        <v>145</v>
      </c>
      <c r="I610" s="3" t="s">
        <v>90</v>
      </c>
      <c r="J610" s="3" t="s">
        <v>67</v>
      </c>
      <c r="K610" s="5">
        <v>46</v>
      </c>
      <c r="L610" s="5">
        <v>17</v>
      </c>
      <c r="M610" s="3" t="s">
        <v>63</v>
      </c>
      <c r="N610" t="s">
        <v>74</v>
      </c>
      <c r="O610" s="5">
        <v>5</v>
      </c>
      <c r="P610" s="3" t="s">
        <v>42</v>
      </c>
      <c r="Q610" s="2">
        <v>231.08</v>
      </c>
      <c r="R610" s="3" t="s">
        <v>43</v>
      </c>
      <c r="S610">
        <f>COUNTIF(A:A,A610)</f>
        <v>1</v>
      </c>
      <c r="T610" t="str">
        <f>IF(OR(H610="",LOWER(TRIM(H610&amp;""))="missing",LOWER(TRIM(H610&amp;""))=""),"Missing/",IFERROR(IF(OR(VALUE(H610)&lt;0,VALUE(H610)&gt;110),"Invalid","Valid"),"Check Format"))</f>
        <v>Invalid</v>
      </c>
      <c r="U610" t="str">
        <f>IF(Raw_Data[[#This Row],[Age_Check]]="Valid",H610,"")</f>
        <v/>
      </c>
      <c r="V610" t="str">
        <f>IF(OR(K610="",UPPER(TRIM(K610&amp;""))="",LOWER(TRIM(K610&amp;""))="",LOWER(TRIM(K610&amp;""))="",LOWER(TRIM(K610&amp;""))="missing"),"Missing/",IFERROR(IF(VALUE(K610)&lt;0,"Invalid","Valid"),"Check Format"))</f>
        <v>Valid</v>
      </c>
      <c r="W610" t="str">
        <f>IF(OR(E610="",F610=""),"Missing Date/Time",IFERROR(IF(F610&gt;E610,"Arrival After Appointment","OK"),"Check Format"))</f>
        <v>OK</v>
      </c>
      <c r="X610" t="str">
        <f>IF(OR(F610="",G610=""),"Missing Date/Time",IFERROR(IF(G610&lt;F610,"Discharge Before Arrival","OK"),"Check Format"))</f>
        <v>OK</v>
      </c>
    </row>
    <row r="611" spans="1:24" x14ac:dyDescent="0.25">
      <c r="A611" s="2" t="s">
        <v>1112</v>
      </c>
      <c r="B611" s="2" t="s">
        <v>1113</v>
      </c>
      <c r="C611" s="3" t="s">
        <v>19</v>
      </c>
      <c r="D611" s="3" t="s">
        <v>55</v>
      </c>
      <c r="E611" s="4">
        <v>45801.565972222219</v>
      </c>
      <c r="F611" s="4">
        <v>45801.546527777777</v>
      </c>
      <c r="G611" s="4">
        <v>45801.652083333334</v>
      </c>
      <c r="I611" s="3" t="s">
        <v>73</v>
      </c>
      <c r="J611" s="3" t="s">
        <v>67</v>
      </c>
      <c r="K611" s="5">
        <v>58</v>
      </c>
      <c r="L611" s="5">
        <v>66</v>
      </c>
      <c r="M611" s="3" t="s">
        <v>63</v>
      </c>
      <c r="N611" t="s">
        <v>74</v>
      </c>
      <c r="O611" s="5">
        <v>2</v>
      </c>
      <c r="P611" s="3" t="s">
        <v>42</v>
      </c>
      <c r="Q611" s="2">
        <v>140.15</v>
      </c>
      <c r="R611" s="3" t="s">
        <v>58</v>
      </c>
      <c r="S611">
        <f>COUNTIF(A:A,A611)</f>
        <v>1</v>
      </c>
      <c r="T611" t="str">
        <f>IF(OR(H611="",LOWER(TRIM(H611&amp;""))="missing",LOWER(TRIM(H611&amp;""))=""),"Missing/",IFERROR(IF(OR(VALUE(H611)&lt;0,VALUE(H611)&gt;110),"Invalid","Valid"),"Check Format"))</f>
        <v>Missing/</v>
      </c>
      <c r="U611" t="str">
        <f>IF(Raw_Data[[#This Row],[Age_Check]]="Valid",H611,"")</f>
        <v/>
      </c>
      <c r="V611" t="str">
        <f>IF(OR(K611="",UPPER(TRIM(K611&amp;""))="",LOWER(TRIM(K611&amp;""))="",LOWER(TRIM(K611&amp;""))="",LOWER(TRIM(K611&amp;""))="missing"),"Missing/",IFERROR(IF(VALUE(K611)&lt;0,"Invalid","Valid"),"Check Format"))</f>
        <v>Valid</v>
      </c>
      <c r="W611" t="str">
        <f>IF(OR(E611="",F611=""),"Missing Date/Time",IFERROR(IF(F611&gt;E611,"Arrival After Appointment","OK"),"Check Format"))</f>
        <v>OK</v>
      </c>
      <c r="X611" t="str">
        <f>IF(OR(F611="",G611=""),"Missing Date/Time",IFERROR(IF(G611&lt;F611,"Discharge Before Arrival","OK"),"Check Format"))</f>
        <v>OK</v>
      </c>
    </row>
    <row r="612" spans="1:24" x14ac:dyDescent="0.25">
      <c r="A612" s="2" t="s">
        <v>1114</v>
      </c>
      <c r="B612" s="2" t="s">
        <v>303</v>
      </c>
      <c r="C612" s="3" t="s">
        <v>46</v>
      </c>
      <c r="D612" s="3" t="s">
        <v>38</v>
      </c>
      <c r="E612" s="4">
        <v>45737.663194444445</v>
      </c>
      <c r="F612" s="4">
        <v>45737.661805555559</v>
      </c>
      <c r="G612" s="4">
        <v>45737.689583333333</v>
      </c>
      <c r="H612" s="5">
        <v>145</v>
      </c>
      <c r="I612" s="3" t="s">
        <v>95</v>
      </c>
      <c r="J612" s="3" t="s">
        <v>62</v>
      </c>
      <c r="K612" s="5">
        <v>33</v>
      </c>
      <c r="L612" s="5">
        <v>5</v>
      </c>
      <c r="M612" s="3" t="s">
        <v>41</v>
      </c>
      <c r="N612" t="s">
        <v>91</v>
      </c>
      <c r="O612" s="5">
        <v>5</v>
      </c>
      <c r="P612" s="3" t="s">
        <v>25</v>
      </c>
      <c r="Q612" s="2">
        <v>0.75</v>
      </c>
      <c r="R612" s="3" t="s">
        <v>75</v>
      </c>
      <c r="S612">
        <f>COUNTIF(A:A,A612)</f>
        <v>1</v>
      </c>
      <c r="T612" t="str">
        <f>IF(OR(H612="",LOWER(TRIM(H612&amp;""))="missing",LOWER(TRIM(H612&amp;""))=""),"Missing/",IFERROR(IF(OR(VALUE(H612)&lt;0,VALUE(H612)&gt;110),"Invalid","Valid"),"Check Format"))</f>
        <v>Invalid</v>
      </c>
      <c r="U612" t="str">
        <f>IF(Raw_Data[[#This Row],[Age_Check]]="Valid",H612,"")</f>
        <v/>
      </c>
      <c r="V612" t="str">
        <f>IF(OR(K612="",UPPER(TRIM(K612&amp;""))="",LOWER(TRIM(K612&amp;""))="",LOWER(TRIM(K612&amp;""))="",LOWER(TRIM(K612&amp;""))="missing"),"Missing/",IFERROR(IF(VALUE(K612)&lt;0,"Invalid","Valid"),"Check Format"))</f>
        <v>Valid</v>
      </c>
      <c r="W612" t="str">
        <f>IF(OR(E612="",F612=""),"Missing Date/Time",IFERROR(IF(F612&gt;E612,"Arrival After Appointment","OK"),"Check Format"))</f>
        <v>OK</v>
      </c>
      <c r="X612" t="str">
        <f>IF(OR(F612="",G612=""),"Missing Date/Time",IFERROR(IF(G612&lt;F612,"Discharge Before Arrival","OK"),"Check Format"))</f>
        <v>OK</v>
      </c>
    </row>
    <row r="613" spans="1:24" x14ac:dyDescent="0.25">
      <c r="A613" s="2" t="s">
        <v>1115</v>
      </c>
      <c r="B613" s="2" t="s">
        <v>729</v>
      </c>
      <c r="C613" s="3" t="s">
        <v>19</v>
      </c>
      <c r="D613" s="3" t="s">
        <v>47</v>
      </c>
      <c r="E613" s="4">
        <v>45647.465277777781</v>
      </c>
      <c r="F613" s="4">
        <v>45647.445833333331</v>
      </c>
      <c r="G613" s="4">
        <v>45647.491666666669</v>
      </c>
      <c r="I613" s="3" t="s">
        <v>73</v>
      </c>
      <c r="J613" s="3" t="s">
        <v>62</v>
      </c>
      <c r="K613" s="5">
        <v>2</v>
      </c>
      <c r="L613" s="5">
        <v>36</v>
      </c>
      <c r="M613" s="3" t="s">
        <v>68</v>
      </c>
      <c r="N613" t="s">
        <v>74</v>
      </c>
      <c r="P613" s="3" t="s">
        <v>80</v>
      </c>
      <c r="Q613" s="2">
        <v>185.7</v>
      </c>
      <c r="R613" s="3" t="s">
        <v>26</v>
      </c>
      <c r="S613">
        <f>COUNTIF(A:A,A613)</f>
        <v>1</v>
      </c>
      <c r="T613" t="str">
        <f>IF(OR(H613="",LOWER(TRIM(H613&amp;""))="missing",LOWER(TRIM(H613&amp;""))=""),"Missing/",IFERROR(IF(OR(VALUE(H613)&lt;0,VALUE(H613)&gt;110),"Invalid","Valid"),"Check Format"))</f>
        <v>Missing/</v>
      </c>
      <c r="U613" t="str">
        <f>IF(Raw_Data[[#This Row],[Age_Check]]="Valid",H613,"")</f>
        <v/>
      </c>
      <c r="V613" t="str">
        <f>IF(OR(K613="",UPPER(TRIM(K613&amp;""))="",LOWER(TRIM(K613&amp;""))="",LOWER(TRIM(K613&amp;""))="",LOWER(TRIM(K613&amp;""))="missing"),"Missing/",IFERROR(IF(VALUE(K613)&lt;0,"Invalid","Valid"),"Check Format"))</f>
        <v>Valid</v>
      </c>
      <c r="W613" t="str">
        <f>IF(OR(E613="",F613=""),"Missing Date/Time",IFERROR(IF(F613&gt;E613,"Arrival After Appointment","OK"),"Check Format"))</f>
        <v>OK</v>
      </c>
      <c r="X613" t="str">
        <f>IF(OR(F613="",G613=""),"Missing Date/Time",IFERROR(IF(G613&lt;F613,"Discharge Before Arrival","OK"),"Check Format"))</f>
        <v>OK</v>
      </c>
    </row>
    <row r="614" spans="1:24" x14ac:dyDescent="0.25">
      <c r="A614" s="2" t="s">
        <v>1116</v>
      </c>
      <c r="B614" s="2" t="s">
        <v>1117</v>
      </c>
      <c r="C614" s="3" t="s">
        <v>46</v>
      </c>
      <c r="D614" s="3" t="s">
        <v>66</v>
      </c>
      <c r="E614" s="4">
        <v>45879.385416666664</v>
      </c>
      <c r="F614" s="4">
        <v>45879.372916666667</v>
      </c>
      <c r="H614" s="5">
        <v>85</v>
      </c>
      <c r="I614" s="3" t="s">
        <v>73</v>
      </c>
      <c r="J614" s="3" t="s">
        <v>67</v>
      </c>
      <c r="K614" s="5">
        <v>2</v>
      </c>
      <c r="L614" s="5">
        <v>48</v>
      </c>
      <c r="M614" s="3" t="s">
        <v>41</v>
      </c>
      <c r="N614" t="s">
        <v>24</v>
      </c>
      <c r="Q614" s="2">
        <v>106.36</v>
      </c>
      <c r="R614" s="3" t="s">
        <v>26</v>
      </c>
      <c r="S614">
        <f>COUNTIF(A:A,A614)</f>
        <v>1</v>
      </c>
      <c r="T614" t="str">
        <f>IF(OR(H614="",LOWER(TRIM(H614&amp;""))="missing",LOWER(TRIM(H614&amp;""))=""),"Missing/",IFERROR(IF(OR(VALUE(H614)&lt;0,VALUE(H614)&gt;110),"Invalid","Valid"),"Check Format"))</f>
        <v>Valid</v>
      </c>
      <c r="U614">
        <f>IF(Raw_Data[[#This Row],[Age_Check]]="Valid",H614,"")</f>
        <v>85</v>
      </c>
      <c r="V614" t="str">
        <f>IF(OR(K614="",UPPER(TRIM(K614&amp;""))="",LOWER(TRIM(K614&amp;""))="",LOWER(TRIM(K614&amp;""))="",LOWER(TRIM(K614&amp;""))="missing"),"Missing/",IFERROR(IF(VALUE(K614)&lt;0,"Invalid","Valid"),"Check Format"))</f>
        <v>Valid</v>
      </c>
      <c r="W614" t="str">
        <f>IF(OR(E614="",F614=""),"Missing Date/Time",IFERROR(IF(F614&gt;E614,"Arrival After Appointment","OK"),"Check Format"))</f>
        <v>OK</v>
      </c>
      <c r="X614" t="str">
        <f>IF(OR(F614="",G614=""),"Missing Date/Time",IFERROR(IF(G614&lt;F614,"Discharge Before Arrival","OK"),"Check Format"))</f>
        <v>Missing Date/Time</v>
      </c>
    </row>
    <row r="615" spans="1:24" x14ac:dyDescent="0.25">
      <c r="A615" s="2" t="s">
        <v>1118</v>
      </c>
      <c r="B615" s="2" t="s">
        <v>719</v>
      </c>
      <c r="D615" s="3" t="s">
        <v>99</v>
      </c>
      <c r="E615" s="4">
        <v>45516.684027777781</v>
      </c>
      <c r="F615" s="4">
        <v>45516.668749999997</v>
      </c>
      <c r="G615" s="4">
        <v>45516.770138888889</v>
      </c>
      <c r="H615" s="5">
        <v>24</v>
      </c>
      <c r="J615" s="3" t="s">
        <v>67</v>
      </c>
      <c r="K615" s="5">
        <v>63</v>
      </c>
      <c r="L615" s="5">
        <v>61</v>
      </c>
      <c r="M615" s="3" t="s">
        <v>23</v>
      </c>
      <c r="N615" t="s">
        <v>24</v>
      </c>
      <c r="P615" s="3" t="s">
        <v>25</v>
      </c>
      <c r="Q615" s="2">
        <v>216.75</v>
      </c>
      <c r="R615" s="3" t="s">
        <v>58</v>
      </c>
      <c r="S615">
        <f>COUNTIF(A:A,A615)</f>
        <v>1</v>
      </c>
      <c r="T615" t="str">
        <f>IF(OR(H615="",LOWER(TRIM(H615&amp;""))="missing",LOWER(TRIM(H615&amp;""))=""),"Missing/",IFERROR(IF(OR(VALUE(H615)&lt;0,VALUE(H615)&gt;110),"Invalid","Valid"),"Check Format"))</f>
        <v>Valid</v>
      </c>
      <c r="U615">
        <f>IF(Raw_Data[[#This Row],[Age_Check]]="Valid",H615,"")</f>
        <v>24</v>
      </c>
      <c r="V615" t="str">
        <f>IF(OR(K615="",UPPER(TRIM(K615&amp;""))="",LOWER(TRIM(K615&amp;""))="",LOWER(TRIM(K615&amp;""))="",LOWER(TRIM(K615&amp;""))="missing"),"Missing/",IFERROR(IF(VALUE(K615)&lt;0,"Invalid","Valid"),"Check Format"))</f>
        <v>Valid</v>
      </c>
      <c r="W615" t="str">
        <f>IF(OR(E615="",F615=""),"Missing Date/Time",IFERROR(IF(F615&gt;E615,"Arrival After Appointment","OK"),"Check Format"))</f>
        <v>OK</v>
      </c>
      <c r="X615" t="str">
        <f>IF(OR(F615="",G615=""),"Missing Date/Time",IFERROR(IF(G615&lt;F615,"Discharge Before Arrival","OK"),"Check Format"))</f>
        <v>OK</v>
      </c>
    </row>
    <row r="616" spans="1:24" x14ac:dyDescent="0.25">
      <c r="A616" s="2" t="s">
        <v>1119</v>
      </c>
      <c r="B616" s="2" t="s">
        <v>1048</v>
      </c>
      <c r="C616" s="3" t="s">
        <v>19</v>
      </c>
      <c r="D616" s="3" t="s">
        <v>61</v>
      </c>
      <c r="E616" s="4">
        <v>45487.291666666664</v>
      </c>
      <c r="F616" s="4">
        <v>45487.281944444447</v>
      </c>
      <c r="G616" s="4">
        <v>45487.335416666669</v>
      </c>
      <c r="I616" s="3" t="s">
        <v>95</v>
      </c>
      <c r="J616" s="3" t="s">
        <v>67</v>
      </c>
      <c r="K616" s="5">
        <v>48</v>
      </c>
      <c r="L616" s="5">
        <v>15</v>
      </c>
      <c r="M616" s="3" t="s">
        <v>87</v>
      </c>
      <c r="O616" s="5">
        <v>0</v>
      </c>
      <c r="P616" s="3" t="s">
        <v>25</v>
      </c>
      <c r="Q616" s="2">
        <v>0</v>
      </c>
      <c r="R616" s="3" t="s">
        <v>58</v>
      </c>
      <c r="S616">
        <f>COUNTIF(A:A,A616)</f>
        <v>1</v>
      </c>
      <c r="T616" t="str">
        <f>IF(OR(H616="",LOWER(TRIM(H616&amp;""))="missing",LOWER(TRIM(H616&amp;""))=""),"Missing/",IFERROR(IF(OR(VALUE(H616)&lt;0,VALUE(H616)&gt;110),"Invalid","Valid"),"Check Format"))</f>
        <v>Missing/</v>
      </c>
      <c r="U616" t="str">
        <f>IF(Raw_Data[[#This Row],[Age_Check]]="Valid",H616,"")</f>
        <v/>
      </c>
      <c r="V616" t="str">
        <f>IF(OR(K616="",UPPER(TRIM(K616&amp;""))="",LOWER(TRIM(K616&amp;""))="",LOWER(TRIM(K616&amp;""))="",LOWER(TRIM(K616&amp;""))="missing"),"Missing/",IFERROR(IF(VALUE(K616)&lt;0,"Invalid","Valid"),"Check Format"))</f>
        <v>Valid</v>
      </c>
      <c r="W616" t="str">
        <f>IF(OR(E616="",F616=""),"Missing Date/Time",IFERROR(IF(F616&gt;E616,"Arrival After Appointment","OK"),"Check Format"))</f>
        <v>OK</v>
      </c>
      <c r="X616" t="str">
        <f>IF(OR(F616="",G616=""),"Missing Date/Time",IFERROR(IF(G616&lt;F616,"Discharge Before Arrival","OK"),"Check Format"))</f>
        <v>OK</v>
      </c>
    </row>
    <row r="617" spans="1:24" x14ac:dyDescent="0.25">
      <c r="A617" s="2" t="s">
        <v>1120</v>
      </c>
      <c r="B617" s="2" t="s">
        <v>1121</v>
      </c>
      <c r="C617" s="3" t="s">
        <v>46</v>
      </c>
      <c r="D617" s="3" t="s">
        <v>23</v>
      </c>
      <c r="F617" s="4">
        <v>45899.315972222219</v>
      </c>
      <c r="G617" s="4">
        <v>45899.368055555555</v>
      </c>
      <c r="H617" s="5">
        <v>49</v>
      </c>
      <c r="I617" s="3" t="s">
        <v>95</v>
      </c>
      <c r="J617" s="3" t="s">
        <v>62</v>
      </c>
      <c r="K617" s="5">
        <v>32</v>
      </c>
      <c r="L617" s="5">
        <v>28</v>
      </c>
      <c r="M617" s="3" t="s">
        <v>41</v>
      </c>
      <c r="N617" t="s">
        <v>24</v>
      </c>
      <c r="O617" s="5">
        <v>1</v>
      </c>
      <c r="P617" s="3" t="s">
        <v>80</v>
      </c>
      <c r="Q617" s="2">
        <v>66.03</v>
      </c>
      <c r="R617" s="3" t="s">
        <v>58</v>
      </c>
      <c r="S617">
        <f>COUNTIF(A:A,A617)</f>
        <v>1</v>
      </c>
      <c r="T617" t="str">
        <f>IF(OR(H617="",LOWER(TRIM(H617&amp;""))="missing",LOWER(TRIM(H617&amp;""))=""),"Missing/",IFERROR(IF(OR(VALUE(H617)&lt;0,VALUE(H617)&gt;110),"Invalid","Valid"),"Check Format"))</f>
        <v>Valid</v>
      </c>
      <c r="U617">
        <f>IF(Raw_Data[[#This Row],[Age_Check]]="Valid",H617,"")</f>
        <v>49</v>
      </c>
      <c r="V617" t="str">
        <f>IF(OR(K617="",UPPER(TRIM(K617&amp;""))="",LOWER(TRIM(K617&amp;""))="",LOWER(TRIM(K617&amp;""))="",LOWER(TRIM(K617&amp;""))="missing"),"Missing/",IFERROR(IF(VALUE(K617)&lt;0,"Invalid","Valid"),"Check Format"))</f>
        <v>Valid</v>
      </c>
      <c r="W617" t="str">
        <f>IF(OR(E617="",F617=""),"Missing Date/Time",IFERROR(IF(F617&gt;E617,"Arrival After Appointment","OK"),"Check Format"))</f>
        <v>Missing Date/Time</v>
      </c>
      <c r="X617" t="str">
        <f>IF(OR(F617="",G617=""),"Missing Date/Time",IFERROR(IF(G617&lt;F617,"Discharge Before Arrival","OK"),"Check Format"))</f>
        <v>OK</v>
      </c>
    </row>
    <row r="618" spans="1:24" x14ac:dyDescent="0.25">
      <c r="A618" s="2" t="s">
        <v>1122</v>
      </c>
      <c r="B618" s="2" t="s">
        <v>184</v>
      </c>
      <c r="D618" s="3" t="s">
        <v>99</v>
      </c>
      <c r="E618" s="4">
        <v>45879.357638888891</v>
      </c>
      <c r="G618" s="4">
        <v>45938.417361111111</v>
      </c>
      <c r="H618" s="5">
        <v>57</v>
      </c>
      <c r="J618" s="3" t="s">
        <v>67</v>
      </c>
      <c r="K618" s="5">
        <v>53</v>
      </c>
      <c r="L618" s="5">
        <v>33</v>
      </c>
      <c r="N618" t="s">
        <v>100</v>
      </c>
      <c r="O618" s="5">
        <v>6</v>
      </c>
      <c r="Q618" s="2">
        <v>127.01</v>
      </c>
      <c r="R618" s="3" t="s">
        <v>58</v>
      </c>
      <c r="S618">
        <f>COUNTIF(A:A,A618)</f>
        <v>1</v>
      </c>
      <c r="T618" t="str">
        <f>IF(OR(H618="",LOWER(TRIM(H618&amp;""))="missing",LOWER(TRIM(H618&amp;""))=""),"Missing/",IFERROR(IF(OR(VALUE(H618)&lt;0,VALUE(H618)&gt;110),"Invalid","Valid"),"Check Format"))</f>
        <v>Valid</v>
      </c>
      <c r="U618">
        <f>IF(Raw_Data[[#This Row],[Age_Check]]="Valid",H618,"")</f>
        <v>57</v>
      </c>
      <c r="V618" t="str">
        <f>IF(OR(K618="",UPPER(TRIM(K618&amp;""))="",LOWER(TRIM(K618&amp;""))="",LOWER(TRIM(K618&amp;""))="",LOWER(TRIM(K618&amp;""))="missing"),"Missing/",IFERROR(IF(VALUE(K618)&lt;0,"Invalid","Valid"),"Check Format"))</f>
        <v>Valid</v>
      </c>
      <c r="W618" t="str">
        <f>IF(OR(E618="",F618=""),"Missing Date/Time",IFERROR(IF(F618&gt;E618,"Arrival After Appointment","OK"),"Check Format"))</f>
        <v>Missing Date/Time</v>
      </c>
      <c r="X618" t="str">
        <f>IF(OR(F618="",G618=""),"Missing Date/Time",IFERROR(IF(G618&lt;F618,"Discharge Before Arrival","OK"),"Check Format"))</f>
        <v>Missing Date/Time</v>
      </c>
    </row>
    <row r="619" spans="1:24" x14ac:dyDescent="0.25">
      <c r="A619" s="2" t="s">
        <v>1123</v>
      </c>
      <c r="B619" s="2" t="s">
        <v>1006</v>
      </c>
      <c r="C619" s="3" t="s">
        <v>19</v>
      </c>
      <c r="D619" s="3" t="s">
        <v>38</v>
      </c>
      <c r="F619" s="4">
        <v>45766.486111111109</v>
      </c>
      <c r="G619" s="4">
        <v>45766.545138888891</v>
      </c>
      <c r="H619" s="5">
        <v>37</v>
      </c>
      <c r="I619" s="3" t="s">
        <v>95</v>
      </c>
      <c r="J619" s="3" t="s">
        <v>67</v>
      </c>
      <c r="K619" s="5">
        <v>35</v>
      </c>
      <c r="L619" s="5">
        <v>35</v>
      </c>
      <c r="M619" s="3" t="s">
        <v>63</v>
      </c>
      <c r="O619" s="5">
        <v>3</v>
      </c>
      <c r="P619" s="3" t="s">
        <v>42</v>
      </c>
      <c r="Q619" s="2">
        <v>180.36</v>
      </c>
      <c r="R619" s="3" t="s">
        <v>58</v>
      </c>
      <c r="S619">
        <f>COUNTIF(A:A,A619)</f>
        <v>1</v>
      </c>
      <c r="T619" t="str">
        <f>IF(OR(H619="",LOWER(TRIM(H619&amp;""))="missing",LOWER(TRIM(H619&amp;""))=""),"Missing/",IFERROR(IF(OR(VALUE(H619)&lt;0,VALUE(H619)&gt;110),"Invalid","Valid"),"Check Format"))</f>
        <v>Valid</v>
      </c>
      <c r="U619">
        <f>IF(Raw_Data[[#This Row],[Age_Check]]="Valid",H619,"")</f>
        <v>37</v>
      </c>
      <c r="V619" t="str">
        <f>IF(OR(K619="",UPPER(TRIM(K619&amp;""))="",LOWER(TRIM(K619&amp;""))="",LOWER(TRIM(K619&amp;""))="",LOWER(TRIM(K619&amp;""))="missing"),"Missing/",IFERROR(IF(VALUE(K619)&lt;0,"Invalid","Valid"),"Check Format"))</f>
        <v>Valid</v>
      </c>
      <c r="W619" t="str">
        <f>IF(OR(E619="",F619=""),"Missing Date/Time",IFERROR(IF(F619&gt;E619,"Arrival After Appointment","OK"),"Check Format"))</f>
        <v>Missing Date/Time</v>
      </c>
      <c r="X619" t="str">
        <f>IF(OR(F619="",G619=""),"Missing Date/Time",IFERROR(IF(G619&lt;F619,"Discharge Before Arrival","OK"),"Check Format"))</f>
        <v>OK</v>
      </c>
    </row>
    <row r="620" spans="1:24" x14ac:dyDescent="0.25">
      <c r="A620" s="2" t="s">
        <v>1124</v>
      </c>
      <c r="B620" s="2" t="s">
        <v>635</v>
      </c>
      <c r="D620" s="3" t="s">
        <v>61</v>
      </c>
      <c r="E620" s="4">
        <v>45961.395833333336</v>
      </c>
      <c r="F620" s="4">
        <v>45961.386111111111</v>
      </c>
      <c r="G620" s="4">
        <v>45961.448611111111</v>
      </c>
      <c r="H620" s="5">
        <v>12</v>
      </c>
      <c r="I620" s="3" t="s">
        <v>95</v>
      </c>
      <c r="J620" s="3" t="s">
        <v>67</v>
      </c>
      <c r="K620" s="5">
        <v>19</v>
      </c>
      <c r="L620" s="5">
        <v>57</v>
      </c>
      <c r="M620" s="3" t="s">
        <v>68</v>
      </c>
      <c r="O620" s="5">
        <v>0</v>
      </c>
      <c r="P620" s="3" t="s">
        <v>80</v>
      </c>
      <c r="Q620" s="2">
        <v>137.11000000000001</v>
      </c>
      <c r="R620" s="3" t="s">
        <v>58</v>
      </c>
      <c r="S620">
        <f>COUNTIF(A:A,A620)</f>
        <v>1</v>
      </c>
      <c r="T620" t="str">
        <f>IF(OR(H620="",LOWER(TRIM(H620&amp;""))="missing",LOWER(TRIM(H620&amp;""))=""),"Missing/",IFERROR(IF(OR(VALUE(H620)&lt;0,VALUE(H620)&gt;110),"Invalid","Valid"),"Check Format"))</f>
        <v>Valid</v>
      </c>
      <c r="U620">
        <f>IF(Raw_Data[[#This Row],[Age_Check]]="Valid",H620,"")</f>
        <v>12</v>
      </c>
      <c r="V620" t="str">
        <f>IF(OR(K620="",UPPER(TRIM(K620&amp;""))="",LOWER(TRIM(K620&amp;""))="",LOWER(TRIM(K620&amp;""))="",LOWER(TRIM(K620&amp;""))="missing"),"Missing/",IFERROR(IF(VALUE(K620)&lt;0,"Invalid","Valid"),"Check Format"))</f>
        <v>Valid</v>
      </c>
      <c r="W620" t="str">
        <f>IF(OR(E620="",F620=""),"Missing Date/Time",IFERROR(IF(F620&gt;E620,"Arrival After Appointment","OK"),"Check Format"))</f>
        <v>OK</v>
      </c>
      <c r="X620" t="str">
        <f>IF(OR(F620="",G620=""),"Missing Date/Time",IFERROR(IF(G620&lt;F620,"Discharge Before Arrival","OK"),"Check Format"))</f>
        <v>OK</v>
      </c>
    </row>
    <row r="621" spans="1:24" x14ac:dyDescent="0.25">
      <c r="A621" s="2" t="s">
        <v>1125</v>
      </c>
      <c r="B621" s="2" t="s">
        <v>616</v>
      </c>
      <c r="C621" s="3" t="s">
        <v>94</v>
      </c>
      <c r="D621" s="3" t="s">
        <v>174</v>
      </c>
      <c r="E621" s="4">
        <v>45942.628472222219</v>
      </c>
      <c r="F621" s="4">
        <v>45942.627083333333</v>
      </c>
      <c r="G621" s="4">
        <v>45942.699305555558</v>
      </c>
      <c r="I621" s="3" t="s">
        <v>95</v>
      </c>
      <c r="J621" s="3" t="s">
        <v>67</v>
      </c>
      <c r="K621" s="5">
        <v>58</v>
      </c>
      <c r="L621" s="5">
        <v>44</v>
      </c>
      <c r="M621" s="3" t="s">
        <v>50</v>
      </c>
      <c r="N621" t="s">
        <v>69</v>
      </c>
      <c r="O621" s="5">
        <v>1</v>
      </c>
      <c r="P621" s="3" t="s">
        <v>25</v>
      </c>
      <c r="Q621" s="2">
        <v>163.66</v>
      </c>
      <c r="R621" s="3" t="s">
        <v>43</v>
      </c>
      <c r="S621">
        <f>COUNTIF(A:A,A621)</f>
        <v>1</v>
      </c>
      <c r="T621" t="str">
        <f>IF(OR(H621="",LOWER(TRIM(H621&amp;""))="missing",LOWER(TRIM(H621&amp;""))=""),"Missing/",IFERROR(IF(OR(VALUE(H621)&lt;0,VALUE(H621)&gt;110),"Invalid","Valid"),"Check Format"))</f>
        <v>Missing/</v>
      </c>
      <c r="U621" t="str">
        <f>IF(Raw_Data[[#This Row],[Age_Check]]="Valid",H621,"")</f>
        <v/>
      </c>
      <c r="V621" t="str">
        <f>IF(OR(K621="",UPPER(TRIM(K621&amp;""))="",LOWER(TRIM(K621&amp;""))="",LOWER(TRIM(K621&amp;""))="",LOWER(TRIM(K621&amp;""))="missing"),"Missing/",IFERROR(IF(VALUE(K621)&lt;0,"Invalid","Valid"),"Check Format"))</f>
        <v>Valid</v>
      </c>
      <c r="W621" t="str">
        <f>IF(OR(E621="",F621=""),"Missing Date/Time",IFERROR(IF(F621&gt;E621,"Arrival After Appointment","OK"),"Check Format"))</f>
        <v>OK</v>
      </c>
      <c r="X621" t="str">
        <f>IF(OR(F621="",G621=""),"Missing Date/Time",IFERROR(IF(G621&lt;F621,"Discharge Before Arrival","OK"),"Check Format"))</f>
        <v>OK</v>
      </c>
    </row>
    <row r="622" spans="1:24" x14ac:dyDescent="0.25">
      <c r="A622" s="2" t="s">
        <v>1126</v>
      </c>
      <c r="B622" s="2" t="s">
        <v>1127</v>
      </c>
      <c r="C622" s="3" t="s">
        <v>46</v>
      </c>
      <c r="D622" s="3" t="s">
        <v>149</v>
      </c>
      <c r="E622" s="4">
        <v>45561.586805555555</v>
      </c>
      <c r="F622" s="4">
        <v>45561.584027777775</v>
      </c>
      <c r="G622" s="4">
        <v>45561.675694444442</v>
      </c>
      <c r="I622" s="3" t="s">
        <v>95</v>
      </c>
      <c r="J622" s="3" t="s">
        <v>171</v>
      </c>
      <c r="K622" s="5">
        <v>91</v>
      </c>
      <c r="L622" s="5">
        <v>37</v>
      </c>
      <c r="M622" s="3" t="s">
        <v>41</v>
      </c>
      <c r="N622" t="s">
        <v>74</v>
      </c>
      <c r="O622" s="5">
        <v>5</v>
      </c>
      <c r="P622" s="3" t="s">
        <v>25</v>
      </c>
      <c r="Q622" s="2">
        <v>96.01</v>
      </c>
      <c r="R622" s="3" t="s">
        <v>26</v>
      </c>
      <c r="S622">
        <f>COUNTIF(A:A,A622)</f>
        <v>1</v>
      </c>
      <c r="T622" t="str">
        <f>IF(OR(H622="",LOWER(TRIM(H622&amp;""))="missing",LOWER(TRIM(H622&amp;""))=""),"Missing/",IFERROR(IF(OR(VALUE(H622)&lt;0,VALUE(H622)&gt;110),"Invalid","Valid"),"Check Format"))</f>
        <v>Missing/</v>
      </c>
      <c r="U622" t="str">
        <f>IF(Raw_Data[[#This Row],[Age_Check]]="Valid",H622,"")</f>
        <v/>
      </c>
      <c r="V622" t="str">
        <f>IF(OR(K622="",UPPER(TRIM(K622&amp;""))="",LOWER(TRIM(K622&amp;""))="",LOWER(TRIM(K622&amp;""))="",LOWER(TRIM(K622&amp;""))="missing"),"Missing/",IFERROR(IF(VALUE(K622)&lt;0,"Invalid","Valid"),"Check Format"))</f>
        <v>Valid</v>
      </c>
      <c r="W622" t="str">
        <f>IF(OR(E622="",F622=""),"Missing Date/Time",IFERROR(IF(F622&gt;E622,"Arrival After Appointment","OK"),"Check Format"))</f>
        <v>OK</v>
      </c>
      <c r="X622" t="str">
        <f>IF(OR(F622="",G622=""),"Missing Date/Time",IFERROR(IF(G622&lt;F622,"Discharge Before Arrival","OK"),"Check Format"))</f>
        <v>OK</v>
      </c>
    </row>
    <row r="623" spans="1:24" x14ac:dyDescent="0.25">
      <c r="A623" s="2" t="s">
        <v>1128</v>
      </c>
      <c r="B623" s="2" t="s">
        <v>803</v>
      </c>
      <c r="C623" s="3" t="s">
        <v>37</v>
      </c>
      <c r="D623" s="3" t="s">
        <v>20</v>
      </c>
      <c r="E623" s="4">
        <v>45619.440972222219</v>
      </c>
      <c r="F623" s="4">
        <v>45619.432638888888</v>
      </c>
      <c r="G623" s="4">
        <v>45619.49722222222</v>
      </c>
      <c r="H623" s="5">
        <v>80</v>
      </c>
      <c r="I623" s="3" t="s">
        <v>95</v>
      </c>
      <c r="J623" s="3" t="s">
        <v>2639</v>
      </c>
      <c r="K623" s="5">
        <v>70</v>
      </c>
      <c r="L623" s="5">
        <v>11</v>
      </c>
      <c r="M623" s="3" t="s">
        <v>68</v>
      </c>
      <c r="O623" s="5">
        <v>0</v>
      </c>
      <c r="P623" s="3" t="s">
        <v>25</v>
      </c>
      <c r="Q623" s="2">
        <v>153.68</v>
      </c>
      <c r="R623" s="3" t="s">
        <v>58</v>
      </c>
      <c r="S623">
        <f>COUNTIF(A:A,A623)</f>
        <v>1</v>
      </c>
      <c r="T623" t="str">
        <f>IF(OR(H623="",LOWER(TRIM(H623&amp;""))="missing",LOWER(TRIM(H623&amp;""))=""),"Missing/",IFERROR(IF(OR(VALUE(H623)&lt;0,VALUE(H623)&gt;110),"Invalid","Valid"),"Check Format"))</f>
        <v>Valid</v>
      </c>
      <c r="U623">
        <f>IF(Raw_Data[[#This Row],[Age_Check]]="Valid",H623,"")</f>
        <v>80</v>
      </c>
      <c r="V623" t="str">
        <f>IF(OR(K623="",UPPER(TRIM(K623&amp;""))="",LOWER(TRIM(K623&amp;""))="",LOWER(TRIM(K623&amp;""))="",LOWER(TRIM(K623&amp;""))="missing"),"Missing/",IFERROR(IF(VALUE(K623)&lt;0,"Invalid","Valid"),"Check Format"))</f>
        <v>Valid</v>
      </c>
      <c r="W623" t="str">
        <f>IF(OR(E623="",F623=""),"Missing Date/Time",IFERROR(IF(F623&gt;E623,"Arrival After Appointment","OK"),"Check Format"))</f>
        <v>OK</v>
      </c>
      <c r="X623" t="str">
        <f>IF(OR(F623="",G623=""),"Missing Date/Time",IFERROR(IF(G623&lt;F623,"Discharge Before Arrival","OK"),"Check Format"))</f>
        <v>OK</v>
      </c>
    </row>
    <row r="624" spans="1:24" x14ac:dyDescent="0.25">
      <c r="A624" s="2" t="s">
        <v>1129</v>
      </c>
      <c r="B624" s="2" t="s">
        <v>909</v>
      </c>
      <c r="C624" s="3" t="s">
        <v>29</v>
      </c>
      <c r="D624" s="3" t="s">
        <v>72</v>
      </c>
      <c r="E624" s="4">
        <v>45932.510416666664</v>
      </c>
      <c r="F624" s="4">
        <v>45932.510416666664</v>
      </c>
      <c r="G624" s="4">
        <v>45932.568749999999</v>
      </c>
      <c r="I624" s="3" t="s">
        <v>73</v>
      </c>
      <c r="J624" s="3" t="s">
        <v>22</v>
      </c>
      <c r="K624" s="5">
        <v>56</v>
      </c>
      <c r="L624" s="5">
        <v>28</v>
      </c>
      <c r="M624" s="3" t="s">
        <v>50</v>
      </c>
      <c r="N624" t="s">
        <v>69</v>
      </c>
      <c r="O624" s="5">
        <v>6</v>
      </c>
      <c r="P624" s="3" t="s">
        <v>80</v>
      </c>
      <c r="Q624" s="2">
        <v>134.72</v>
      </c>
      <c r="R624" s="3" t="s">
        <v>43</v>
      </c>
      <c r="S624">
        <f>COUNTIF(A:A,A624)</f>
        <v>1</v>
      </c>
      <c r="T624" t="str">
        <f>IF(OR(H624="",LOWER(TRIM(H624&amp;""))="missing",LOWER(TRIM(H624&amp;""))=""),"Missing/",IFERROR(IF(OR(VALUE(H624)&lt;0,VALUE(H624)&gt;110),"Invalid","Valid"),"Check Format"))</f>
        <v>Missing/</v>
      </c>
      <c r="U624" t="str">
        <f>IF(Raw_Data[[#This Row],[Age_Check]]="Valid",H624,"")</f>
        <v/>
      </c>
      <c r="V624" t="str">
        <f>IF(OR(K624="",UPPER(TRIM(K624&amp;""))="",LOWER(TRIM(K624&amp;""))="",LOWER(TRIM(K624&amp;""))="",LOWER(TRIM(K624&amp;""))="missing"),"Missing/",IFERROR(IF(VALUE(K624)&lt;0,"Invalid","Valid"),"Check Format"))</f>
        <v>Valid</v>
      </c>
      <c r="W624" t="str">
        <f>IF(OR(E624="",F624=""),"Missing Date/Time",IFERROR(IF(F624&gt;E624,"Arrival After Appointment","OK"),"Check Format"))</f>
        <v>OK</v>
      </c>
      <c r="X624" t="str">
        <f>IF(OR(F624="",G624=""),"Missing Date/Time",IFERROR(IF(G624&lt;F624,"Discharge Before Arrival","OK"),"Check Format"))</f>
        <v>OK</v>
      </c>
    </row>
    <row r="625" spans="1:24" x14ac:dyDescent="0.25">
      <c r="A625" s="2" t="s">
        <v>1130</v>
      </c>
      <c r="B625" s="2" t="s">
        <v>500</v>
      </c>
      <c r="C625" s="3" t="s">
        <v>94</v>
      </c>
      <c r="D625" s="3" t="s">
        <v>72</v>
      </c>
      <c r="E625" s="4">
        <v>45368.572916666664</v>
      </c>
      <c r="F625" s="4">
        <v>45368.572222222225</v>
      </c>
      <c r="G625" s="4">
        <v>45368.588194444441</v>
      </c>
      <c r="I625" s="3" t="s">
        <v>39</v>
      </c>
      <c r="J625" s="3" t="s">
        <v>67</v>
      </c>
      <c r="K625" s="5">
        <v>0</v>
      </c>
      <c r="L625" s="5">
        <v>22</v>
      </c>
      <c r="M625" s="3" t="s">
        <v>63</v>
      </c>
      <c r="Q625" s="2">
        <v>152.43</v>
      </c>
      <c r="R625" s="3" t="s">
        <v>26</v>
      </c>
      <c r="S625">
        <f>COUNTIF(A:A,A625)</f>
        <v>1</v>
      </c>
      <c r="T625" t="str">
        <f>IF(OR(H625="",LOWER(TRIM(H625&amp;""))="missing",LOWER(TRIM(H625&amp;""))=""),"Missing/",IFERROR(IF(OR(VALUE(H625)&lt;0,VALUE(H625)&gt;110),"Invalid","Valid"),"Check Format"))</f>
        <v>Missing/</v>
      </c>
      <c r="U625" t="str">
        <f>IF(Raw_Data[[#This Row],[Age_Check]]="Valid",H625,"")</f>
        <v/>
      </c>
      <c r="V625" t="str">
        <f>IF(OR(K625="",UPPER(TRIM(K625&amp;""))="",LOWER(TRIM(K625&amp;""))="",LOWER(TRIM(K625&amp;""))="",LOWER(TRIM(K625&amp;""))="missing"),"Missing/",IFERROR(IF(VALUE(K625)&lt;0,"Invalid","Valid"),"Check Format"))</f>
        <v>Valid</v>
      </c>
      <c r="W625" t="str">
        <f>IF(OR(E625="",F625=""),"Missing Date/Time",IFERROR(IF(F625&gt;E625,"Arrival After Appointment","OK"),"Check Format"))</f>
        <v>OK</v>
      </c>
      <c r="X625" t="str">
        <f>IF(OR(F625="",G625=""),"Missing Date/Time",IFERROR(IF(G625&lt;F625,"Discharge Before Arrival","OK"),"Check Format"))</f>
        <v>OK</v>
      </c>
    </row>
    <row r="626" spans="1:24" x14ac:dyDescent="0.25">
      <c r="A626" s="2" t="s">
        <v>1131</v>
      </c>
      <c r="B626" s="2" t="s">
        <v>1069</v>
      </c>
      <c r="D626" s="3" t="s">
        <v>174</v>
      </c>
      <c r="E626" s="4" t="s">
        <v>1132</v>
      </c>
      <c r="F626" s="4">
        <v>45895.765972222223</v>
      </c>
      <c r="G626" s="4">
        <v>45895.830555555556</v>
      </c>
      <c r="I626" s="3" t="s">
        <v>90</v>
      </c>
      <c r="J626" s="3" t="s">
        <v>171</v>
      </c>
      <c r="K626" s="5">
        <v>63</v>
      </c>
      <c r="L626" s="5">
        <v>13</v>
      </c>
      <c r="M626" s="3" t="s">
        <v>63</v>
      </c>
      <c r="N626" t="s">
        <v>103</v>
      </c>
      <c r="O626" s="5">
        <v>5</v>
      </c>
      <c r="P626" s="3" t="s">
        <v>25</v>
      </c>
      <c r="Q626" s="2">
        <v>246.26</v>
      </c>
      <c r="R626" s="3" t="s">
        <v>75</v>
      </c>
      <c r="S626">
        <f>COUNTIF(A:A,A626)</f>
        <v>1</v>
      </c>
      <c r="T626" t="str">
        <f>IF(OR(H626="",LOWER(TRIM(H626&amp;""))="missing",LOWER(TRIM(H626&amp;""))=""),"Missing/",IFERROR(IF(OR(VALUE(H626)&lt;0,VALUE(H626)&gt;110),"Invalid","Valid"),"Check Format"))</f>
        <v>Missing/</v>
      </c>
      <c r="U626" t="str">
        <f>IF(Raw_Data[[#This Row],[Age_Check]]="Valid",H626,"")</f>
        <v/>
      </c>
      <c r="V626" t="str">
        <f>IF(OR(K626="",UPPER(TRIM(K626&amp;""))="",LOWER(TRIM(K626&amp;""))="",LOWER(TRIM(K626&amp;""))="",LOWER(TRIM(K626&amp;""))="missing"),"Missing/",IFERROR(IF(VALUE(K626)&lt;0,"Invalid","Valid"),"Check Format"))</f>
        <v>Valid</v>
      </c>
      <c r="W626" t="str">
        <f>IF(OR(E626="",F626=""),"Missing Date/Time",IFERROR(IF(F626&gt;E626,"Arrival After Appointment","OK"),"Check Format"))</f>
        <v>OK</v>
      </c>
      <c r="X626" t="str">
        <f>IF(OR(F626="",G626=""),"Missing Date/Time",IFERROR(IF(G626&lt;F626,"Discharge Before Arrival","OK"),"Check Format"))</f>
        <v>OK</v>
      </c>
    </row>
    <row r="627" spans="1:24" x14ac:dyDescent="0.25">
      <c r="A627" s="2" t="s">
        <v>1133</v>
      </c>
      <c r="B627" s="2" t="s">
        <v>93</v>
      </c>
      <c r="C627" s="3" t="s">
        <v>94</v>
      </c>
      <c r="D627" s="3" t="s">
        <v>47</v>
      </c>
      <c r="E627" s="4">
        <v>45605.434027777781</v>
      </c>
      <c r="F627" s="4">
        <v>45605.429861111108</v>
      </c>
      <c r="G627" s="4">
        <v>45605.486805555556</v>
      </c>
      <c r="I627" s="3" t="s">
        <v>73</v>
      </c>
      <c r="K627" s="5">
        <v>27</v>
      </c>
      <c r="L627" s="5">
        <v>49</v>
      </c>
      <c r="M627" s="3" t="s">
        <v>41</v>
      </c>
      <c r="O627" s="5">
        <v>3</v>
      </c>
      <c r="Q627" s="2">
        <v>179.18</v>
      </c>
      <c r="R627" s="3" t="s">
        <v>26</v>
      </c>
      <c r="S627">
        <f>COUNTIF(A:A,A627)</f>
        <v>1</v>
      </c>
      <c r="T627" t="str">
        <f>IF(OR(H627="",LOWER(TRIM(H627&amp;""))="missing",LOWER(TRIM(H627&amp;""))=""),"Missing/",IFERROR(IF(OR(VALUE(H627)&lt;0,VALUE(H627)&gt;110),"Invalid","Valid"),"Check Format"))</f>
        <v>Missing/</v>
      </c>
      <c r="U627" t="str">
        <f>IF(Raw_Data[[#This Row],[Age_Check]]="Valid",H627,"")</f>
        <v/>
      </c>
      <c r="V627" t="str">
        <f>IF(OR(K627="",UPPER(TRIM(K627&amp;""))="",LOWER(TRIM(K627&amp;""))="",LOWER(TRIM(K627&amp;""))="",LOWER(TRIM(K627&amp;""))="missing"),"Missing/",IFERROR(IF(VALUE(K627)&lt;0,"Invalid","Valid"),"Check Format"))</f>
        <v>Valid</v>
      </c>
      <c r="W627" t="str">
        <f>IF(OR(E627="",F627=""),"Missing Date/Time",IFERROR(IF(F627&gt;E627,"Arrival After Appointment","OK"),"Check Format"))</f>
        <v>OK</v>
      </c>
      <c r="X627" t="str">
        <f>IF(OR(F627="",G627=""),"Missing Date/Time",IFERROR(IF(G627&lt;F627,"Discharge Before Arrival","OK"),"Check Format"))</f>
        <v>OK</v>
      </c>
    </row>
    <row r="628" spans="1:24" x14ac:dyDescent="0.25">
      <c r="A628" s="2" t="s">
        <v>1134</v>
      </c>
      <c r="B628" s="2" t="s">
        <v>1135</v>
      </c>
      <c r="C628" s="3" t="s">
        <v>94</v>
      </c>
      <c r="D628" s="3" t="s">
        <v>55</v>
      </c>
      <c r="E628" s="4">
        <v>45945.427083333336</v>
      </c>
      <c r="F628" s="4">
        <v>45945.421527777777</v>
      </c>
      <c r="G628" s="4">
        <v>45945.495138888888</v>
      </c>
      <c r="I628" s="3" t="s">
        <v>95</v>
      </c>
      <c r="J628" s="3" t="s">
        <v>150</v>
      </c>
      <c r="K628" s="5">
        <v>999</v>
      </c>
      <c r="L628" s="5">
        <v>63</v>
      </c>
      <c r="M628" s="3" t="s">
        <v>63</v>
      </c>
      <c r="O628" s="5">
        <v>1</v>
      </c>
      <c r="P628" s="3" t="s">
        <v>80</v>
      </c>
      <c r="Q628" s="2">
        <v>49.51</v>
      </c>
      <c r="R628" s="3" t="s">
        <v>58</v>
      </c>
      <c r="S628">
        <f>COUNTIF(A:A,A628)</f>
        <v>1</v>
      </c>
      <c r="T628" t="str">
        <f>IF(OR(H628="",LOWER(TRIM(H628&amp;""))="missing",LOWER(TRIM(H628&amp;""))=""),"Missing/",IFERROR(IF(OR(VALUE(H628)&lt;0,VALUE(H628)&gt;110),"Invalid","Valid"),"Check Format"))</f>
        <v>Missing/</v>
      </c>
      <c r="U628" t="str">
        <f>IF(Raw_Data[[#This Row],[Age_Check]]="Valid",H628,"")</f>
        <v/>
      </c>
      <c r="V628" t="str">
        <f>IF(OR(K628="",UPPER(TRIM(K628&amp;""))="",LOWER(TRIM(K628&amp;""))="",LOWER(TRIM(K628&amp;""))="",LOWER(TRIM(K628&amp;""))="missing"),"Missing/",IFERROR(IF(VALUE(K628)&lt;0,"Invalid","Valid"),"Check Format"))</f>
        <v>Valid</v>
      </c>
      <c r="W628" t="str">
        <f>IF(OR(E628="",F628=""),"Missing Date/Time",IFERROR(IF(F628&gt;E628,"Arrival After Appointment","OK"),"Check Format"))</f>
        <v>OK</v>
      </c>
      <c r="X628" t="str">
        <f>IF(OR(F628="",G628=""),"Missing Date/Time",IFERROR(IF(G628&lt;F628,"Discharge Before Arrival","OK"),"Check Format"))</f>
        <v>OK</v>
      </c>
    </row>
    <row r="629" spans="1:24" x14ac:dyDescent="0.25">
      <c r="A629" s="2" t="s">
        <v>1136</v>
      </c>
      <c r="B629" s="2" t="s">
        <v>1137</v>
      </c>
      <c r="C629" s="3" t="s">
        <v>46</v>
      </c>
      <c r="D629" s="3" t="s">
        <v>115</v>
      </c>
      <c r="E629" s="4">
        <v>45798.611111111109</v>
      </c>
      <c r="F629" s="4">
        <v>45798.597222222219</v>
      </c>
      <c r="G629" s="4">
        <v>45798.708333333336</v>
      </c>
      <c r="I629" s="3" t="s">
        <v>95</v>
      </c>
      <c r="J629" s="3" t="s">
        <v>22</v>
      </c>
      <c r="K629" s="5">
        <v>90</v>
      </c>
      <c r="L629" s="5">
        <v>50</v>
      </c>
      <c r="N629" t="s">
        <v>91</v>
      </c>
      <c r="O629" s="5">
        <v>2</v>
      </c>
      <c r="P629" s="3" t="s">
        <v>25</v>
      </c>
      <c r="Q629" s="2">
        <v>91.35</v>
      </c>
      <c r="R629" s="3" t="s">
        <v>58</v>
      </c>
      <c r="S629">
        <f>COUNTIF(A:A,A629)</f>
        <v>1</v>
      </c>
      <c r="T629" t="str">
        <f>IF(OR(H629="",LOWER(TRIM(H629&amp;""))="missing",LOWER(TRIM(H629&amp;""))=""),"Missing/",IFERROR(IF(OR(VALUE(H629)&lt;0,VALUE(H629)&gt;110),"Invalid","Valid"),"Check Format"))</f>
        <v>Missing/</v>
      </c>
      <c r="U629" t="str">
        <f>IF(Raw_Data[[#This Row],[Age_Check]]="Valid",H629,"")</f>
        <v/>
      </c>
      <c r="V629" t="str">
        <f>IF(OR(K629="",UPPER(TRIM(K629&amp;""))="",LOWER(TRIM(K629&amp;""))="",LOWER(TRIM(K629&amp;""))="",LOWER(TRIM(K629&amp;""))="missing"),"Missing/",IFERROR(IF(VALUE(K629)&lt;0,"Invalid","Valid"),"Check Format"))</f>
        <v>Valid</v>
      </c>
      <c r="W629" t="str">
        <f>IF(OR(E629="",F629=""),"Missing Date/Time",IFERROR(IF(F629&gt;E629,"Arrival After Appointment","OK"),"Check Format"))</f>
        <v>OK</v>
      </c>
      <c r="X629" t="str">
        <f>IF(OR(F629="",G629=""),"Missing Date/Time",IFERROR(IF(G629&lt;F629,"Discharge Before Arrival","OK"),"Check Format"))</f>
        <v>OK</v>
      </c>
    </row>
    <row r="630" spans="1:24" x14ac:dyDescent="0.25">
      <c r="A630" s="2" t="s">
        <v>1138</v>
      </c>
      <c r="B630" s="2" t="s">
        <v>1139</v>
      </c>
      <c r="C630" s="3" t="s">
        <v>46</v>
      </c>
      <c r="D630" s="3" t="s">
        <v>209</v>
      </c>
      <c r="E630" s="4">
        <v>45840.465277777781</v>
      </c>
      <c r="G630" s="4">
        <v>45840.557638888888</v>
      </c>
      <c r="I630" s="3" t="s">
        <v>90</v>
      </c>
      <c r="J630" s="3" t="s">
        <v>62</v>
      </c>
      <c r="K630" s="5">
        <v>106</v>
      </c>
      <c r="L630" s="5">
        <v>27</v>
      </c>
      <c r="N630" t="s">
        <v>24</v>
      </c>
      <c r="O630" s="5">
        <v>6</v>
      </c>
      <c r="P630" s="3" t="s">
        <v>25</v>
      </c>
      <c r="Q630" s="2">
        <v>168.1</v>
      </c>
      <c r="R630" s="3" t="s">
        <v>75</v>
      </c>
      <c r="S630">
        <f>COUNTIF(A:A,A630)</f>
        <v>1</v>
      </c>
      <c r="T630" t="str">
        <f>IF(OR(H630="",LOWER(TRIM(H630&amp;""))="missing",LOWER(TRIM(H630&amp;""))=""),"Missing/",IFERROR(IF(OR(VALUE(H630)&lt;0,VALUE(H630)&gt;110),"Invalid","Valid"),"Check Format"))</f>
        <v>Missing/</v>
      </c>
      <c r="U630" t="str">
        <f>IF(Raw_Data[[#This Row],[Age_Check]]="Valid",H630,"")</f>
        <v/>
      </c>
      <c r="V630" t="str">
        <f>IF(OR(K630="",UPPER(TRIM(K630&amp;""))="",LOWER(TRIM(K630&amp;""))="",LOWER(TRIM(K630&amp;""))="",LOWER(TRIM(K630&amp;""))="missing"),"Missing/",IFERROR(IF(VALUE(K630)&lt;0,"Invalid","Valid"),"Check Format"))</f>
        <v>Valid</v>
      </c>
      <c r="W630" t="str">
        <f>IF(OR(E630="",F630=""),"Missing Date/Time",IFERROR(IF(F630&gt;E630,"Arrival After Appointment","OK"),"Check Format"))</f>
        <v>Missing Date/Time</v>
      </c>
      <c r="X630" t="str">
        <f>IF(OR(F630="",G630=""),"Missing Date/Time",IFERROR(IF(G630&lt;F630,"Discharge Before Arrival","OK"),"Check Format"))</f>
        <v>Missing Date/Time</v>
      </c>
    </row>
    <row r="631" spans="1:24" x14ac:dyDescent="0.25">
      <c r="A631" s="2" t="s">
        <v>1140</v>
      </c>
      <c r="B631" s="2" t="s">
        <v>554</v>
      </c>
      <c r="C631" s="3" t="s">
        <v>94</v>
      </c>
      <c r="D631" s="3" t="s">
        <v>38</v>
      </c>
      <c r="E631" s="4">
        <v>45315.65625</v>
      </c>
      <c r="F631" s="4">
        <v>45315.643055555556</v>
      </c>
      <c r="H631" s="5">
        <v>145</v>
      </c>
      <c r="J631" s="3" t="s">
        <v>150</v>
      </c>
      <c r="K631" s="5">
        <v>67</v>
      </c>
      <c r="L631" s="5">
        <v>29</v>
      </c>
      <c r="M631" s="3" t="s">
        <v>63</v>
      </c>
      <c r="N631" t="s">
        <v>24</v>
      </c>
      <c r="O631" s="5">
        <v>1</v>
      </c>
      <c r="Q631" s="2">
        <v>209.86</v>
      </c>
      <c r="R631" s="3" t="s">
        <v>43</v>
      </c>
      <c r="S631">
        <f>COUNTIF(A:A,A631)</f>
        <v>1</v>
      </c>
      <c r="T631" t="str">
        <f>IF(OR(H631="",LOWER(TRIM(H631&amp;""))="missing",LOWER(TRIM(H631&amp;""))=""),"Missing/",IFERROR(IF(OR(VALUE(H631)&lt;0,VALUE(H631)&gt;110),"Invalid","Valid"),"Check Format"))</f>
        <v>Invalid</v>
      </c>
      <c r="U631" t="str">
        <f>IF(Raw_Data[[#This Row],[Age_Check]]="Valid",H631,"")</f>
        <v/>
      </c>
      <c r="V631" t="str">
        <f>IF(OR(K631="",UPPER(TRIM(K631&amp;""))="",LOWER(TRIM(K631&amp;""))="",LOWER(TRIM(K631&amp;""))="",LOWER(TRIM(K631&amp;""))="missing"),"Missing/",IFERROR(IF(VALUE(K631)&lt;0,"Invalid","Valid"),"Check Format"))</f>
        <v>Valid</v>
      </c>
      <c r="W631" t="str">
        <f>IF(OR(E631="",F631=""),"Missing Date/Time",IFERROR(IF(F631&gt;E631,"Arrival After Appointment","OK"),"Check Format"))</f>
        <v>OK</v>
      </c>
      <c r="X631" t="str">
        <f>IF(OR(F631="",G631=""),"Missing Date/Time",IFERROR(IF(G631&lt;F631,"Discharge Before Arrival","OK"),"Check Format"))</f>
        <v>Missing Date/Time</v>
      </c>
    </row>
    <row r="632" spans="1:24" x14ac:dyDescent="0.25">
      <c r="A632" s="2" t="s">
        <v>1141</v>
      </c>
      <c r="B632" s="2" t="s">
        <v>158</v>
      </c>
      <c r="C632" s="3" t="s">
        <v>94</v>
      </c>
      <c r="D632" s="3" t="s">
        <v>20</v>
      </c>
      <c r="E632" s="4" t="s">
        <v>1142</v>
      </c>
      <c r="F632" s="4">
        <v>45517.456944444442</v>
      </c>
      <c r="I632" s="3" t="s">
        <v>73</v>
      </c>
      <c r="J632" s="3" t="s">
        <v>67</v>
      </c>
      <c r="K632" s="5">
        <v>85</v>
      </c>
      <c r="L632" s="5">
        <v>5</v>
      </c>
      <c r="M632" s="3" t="s">
        <v>32</v>
      </c>
      <c r="N632" t="s">
        <v>69</v>
      </c>
      <c r="O632" s="5">
        <v>0</v>
      </c>
      <c r="P632" s="3" t="s">
        <v>25</v>
      </c>
      <c r="Q632" s="2">
        <v>249.35</v>
      </c>
      <c r="R632" s="3" t="s">
        <v>75</v>
      </c>
      <c r="S632">
        <f>COUNTIF(A:A,A632)</f>
        <v>1</v>
      </c>
      <c r="T632" t="str">
        <f>IF(OR(H632="",LOWER(TRIM(H632&amp;""))="missing",LOWER(TRIM(H632&amp;""))=""),"Missing/",IFERROR(IF(OR(VALUE(H632)&lt;0,VALUE(H632)&gt;110),"Invalid","Valid"),"Check Format"))</f>
        <v>Missing/</v>
      </c>
      <c r="U632" t="str">
        <f>IF(Raw_Data[[#This Row],[Age_Check]]="Valid",H632,"")</f>
        <v/>
      </c>
      <c r="V632" t="str">
        <f>IF(OR(K632="",UPPER(TRIM(K632&amp;""))="",LOWER(TRIM(K632&amp;""))="",LOWER(TRIM(K632&amp;""))="",LOWER(TRIM(K632&amp;""))="missing"),"Missing/",IFERROR(IF(VALUE(K632)&lt;0,"Invalid","Valid"),"Check Format"))</f>
        <v>Valid</v>
      </c>
      <c r="W632" t="str">
        <f>IF(OR(E632="",F632=""),"Missing Date/Time",IFERROR(IF(F632&gt;E632,"Arrival After Appointment","OK"),"Check Format"))</f>
        <v>OK</v>
      </c>
      <c r="X632" t="str">
        <f>IF(OR(F632="",G632=""),"Missing Date/Time",IFERROR(IF(G632&lt;F632,"Discharge Before Arrival","OK"),"Check Format"))</f>
        <v>Missing Date/Time</v>
      </c>
    </row>
    <row r="633" spans="1:24" x14ac:dyDescent="0.25">
      <c r="A633" s="2" t="s">
        <v>1143</v>
      </c>
      <c r="B633" s="2" t="s">
        <v>1144</v>
      </c>
      <c r="C633" s="3" t="s">
        <v>37</v>
      </c>
      <c r="D633" s="3" t="s">
        <v>174</v>
      </c>
      <c r="E633" s="4">
        <v>45828.517361111109</v>
      </c>
      <c r="F633" s="4">
        <v>45828.502083333333</v>
      </c>
      <c r="I633" s="3" t="s">
        <v>95</v>
      </c>
      <c r="J633" s="3" t="s">
        <v>67</v>
      </c>
      <c r="K633" s="5">
        <v>0</v>
      </c>
      <c r="L633" s="5">
        <v>50</v>
      </c>
      <c r="N633" t="s">
        <v>24</v>
      </c>
      <c r="P633" s="3" t="s">
        <v>80</v>
      </c>
      <c r="Q633" s="2">
        <v>235.14</v>
      </c>
      <c r="R633" s="3" t="s">
        <v>75</v>
      </c>
      <c r="S633">
        <f>COUNTIF(A:A,A633)</f>
        <v>1</v>
      </c>
      <c r="T633" t="str">
        <f>IF(OR(H633="",LOWER(TRIM(H633&amp;""))="missing",LOWER(TRIM(H633&amp;""))=""),"Missing/",IFERROR(IF(OR(VALUE(H633)&lt;0,VALUE(H633)&gt;110),"Invalid","Valid"),"Check Format"))</f>
        <v>Missing/</v>
      </c>
      <c r="U633" t="str">
        <f>IF(Raw_Data[[#This Row],[Age_Check]]="Valid",H633,"")</f>
        <v/>
      </c>
      <c r="V633" t="str">
        <f>IF(OR(K633="",UPPER(TRIM(K633&amp;""))="",LOWER(TRIM(K633&amp;""))="",LOWER(TRIM(K633&amp;""))="",LOWER(TRIM(K633&amp;""))="missing"),"Missing/",IFERROR(IF(VALUE(K633)&lt;0,"Invalid","Valid"),"Check Format"))</f>
        <v>Valid</v>
      </c>
      <c r="W633" t="str">
        <f>IF(OR(E633="",F633=""),"Missing Date/Time",IFERROR(IF(F633&gt;E633,"Arrival After Appointment","OK"),"Check Format"))</f>
        <v>OK</v>
      </c>
      <c r="X633" t="str">
        <f>IF(OR(F633="",G633=""),"Missing Date/Time",IFERROR(IF(G633&lt;F633,"Discharge Before Arrival","OK"),"Check Format"))</f>
        <v>Missing Date/Time</v>
      </c>
    </row>
    <row r="634" spans="1:24" x14ac:dyDescent="0.25">
      <c r="A634" s="2" t="s">
        <v>1145</v>
      </c>
      <c r="B634" s="2" t="s">
        <v>412</v>
      </c>
      <c r="C634" s="3" t="s">
        <v>46</v>
      </c>
      <c r="D634" s="3" t="s">
        <v>47</v>
      </c>
      <c r="E634" s="4">
        <v>45316.739583333336</v>
      </c>
      <c r="F634" s="4">
        <v>45316.731944444444</v>
      </c>
      <c r="G634" s="4">
        <v>45316.769444444442</v>
      </c>
      <c r="I634" s="3" t="s">
        <v>73</v>
      </c>
      <c r="J634" s="3" t="s">
        <v>2639</v>
      </c>
      <c r="K634" s="5">
        <v>19</v>
      </c>
      <c r="L634" s="5">
        <v>24</v>
      </c>
      <c r="N634" t="s">
        <v>100</v>
      </c>
      <c r="P634" s="3" t="s">
        <v>80</v>
      </c>
      <c r="Q634" s="2">
        <v>56.54</v>
      </c>
      <c r="R634" s="3" t="s">
        <v>75</v>
      </c>
      <c r="S634">
        <f>COUNTIF(A:A,A634)</f>
        <v>1</v>
      </c>
      <c r="T634" t="str">
        <f>IF(OR(H634="",LOWER(TRIM(H634&amp;""))="missing",LOWER(TRIM(H634&amp;""))=""),"Missing/",IFERROR(IF(OR(VALUE(H634)&lt;0,VALUE(H634)&gt;110),"Invalid","Valid"),"Check Format"))</f>
        <v>Missing/</v>
      </c>
      <c r="U634" t="str">
        <f>IF(Raw_Data[[#This Row],[Age_Check]]="Valid",H634,"")</f>
        <v/>
      </c>
      <c r="V634" t="str">
        <f>IF(OR(K634="",UPPER(TRIM(K634&amp;""))="",LOWER(TRIM(K634&amp;""))="",LOWER(TRIM(K634&amp;""))="",LOWER(TRIM(K634&amp;""))="missing"),"Missing/",IFERROR(IF(VALUE(K634)&lt;0,"Invalid","Valid"),"Check Format"))</f>
        <v>Valid</v>
      </c>
      <c r="W634" t="str">
        <f>IF(OR(E634="",F634=""),"Missing Date/Time",IFERROR(IF(F634&gt;E634,"Arrival After Appointment","OK"),"Check Format"))</f>
        <v>OK</v>
      </c>
      <c r="X634" t="str">
        <f>IF(OR(F634="",G634=""),"Missing Date/Time",IFERROR(IF(G634&lt;F634,"Discharge Before Arrival","OK"),"Check Format"))</f>
        <v>OK</v>
      </c>
    </row>
    <row r="635" spans="1:24" x14ac:dyDescent="0.25">
      <c r="A635" s="2" t="s">
        <v>1146</v>
      </c>
      <c r="B635" s="2" t="s">
        <v>781</v>
      </c>
      <c r="C635" s="3" t="s">
        <v>29</v>
      </c>
      <c r="D635" s="3" t="s">
        <v>38</v>
      </c>
      <c r="E635" s="4">
        <v>45952.65625</v>
      </c>
      <c r="G635" s="4">
        <v>45952.709027777775</v>
      </c>
      <c r="H635" s="5">
        <v>90</v>
      </c>
      <c r="K635" s="5">
        <v>50</v>
      </c>
      <c r="L635" s="5">
        <v>26</v>
      </c>
      <c r="M635" s="3" t="s">
        <v>87</v>
      </c>
      <c r="N635" t="s">
        <v>103</v>
      </c>
      <c r="P635" s="3" t="s">
        <v>80</v>
      </c>
      <c r="Q635" s="2">
        <v>207.37</v>
      </c>
      <c r="R635" s="3" t="s">
        <v>43</v>
      </c>
      <c r="S635">
        <f>COUNTIF(A:A,A635)</f>
        <v>1</v>
      </c>
      <c r="T635" t="str">
        <f>IF(OR(H635="",LOWER(TRIM(H635&amp;""))="missing",LOWER(TRIM(H635&amp;""))=""),"Missing/",IFERROR(IF(OR(VALUE(H635)&lt;0,VALUE(H635)&gt;110),"Invalid","Valid"),"Check Format"))</f>
        <v>Valid</v>
      </c>
      <c r="U635">
        <f>IF(Raw_Data[[#This Row],[Age_Check]]="Valid",H635,"")</f>
        <v>90</v>
      </c>
      <c r="V635" t="str">
        <f>IF(OR(K635="",UPPER(TRIM(K635&amp;""))="",LOWER(TRIM(K635&amp;""))="",LOWER(TRIM(K635&amp;""))="",LOWER(TRIM(K635&amp;""))="missing"),"Missing/",IFERROR(IF(VALUE(K635)&lt;0,"Invalid","Valid"),"Check Format"))</f>
        <v>Valid</v>
      </c>
      <c r="W635" t="str">
        <f>IF(OR(E635="",F635=""),"Missing Date/Time",IFERROR(IF(F635&gt;E635,"Arrival After Appointment","OK"),"Check Format"))</f>
        <v>Missing Date/Time</v>
      </c>
      <c r="X635" t="str">
        <f>IF(OR(F635="",G635=""),"Missing Date/Time",IFERROR(IF(G635&lt;F635,"Discharge Before Arrival","OK"),"Check Format"))</f>
        <v>Missing Date/Time</v>
      </c>
    </row>
    <row r="636" spans="1:24" x14ac:dyDescent="0.25">
      <c r="A636" s="2" t="s">
        <v>1147</v>
      </c>
      <c r="B636" s="2" t="s">
        <v>1148</v>
      </c>
      <c r="C636" s="3" t="s">
        <v>19</v>
      </c>
      <c r="D636" s="3" t="s">
        <v>115</v>
      </c>
      <c r="E636" s="4">
        <v>45526.555555555555</v>
      </c>
      <c r="F636" s="4">
        <v>45526.543055555558</v>
      </c>
      <c r="G636" s="4">
        <v>45526.666666666664</v>
      </c>
      <c r="J636" s="3" t="s">
        <v>171</v>
      </c>
      <c r="K636" s="5">
        <v>103</v>
      </c>
      <c r="L636" s="5">
        <v>57</v>
      </c>
      <c r="M636" s="3" t="s">
        <v>32</v>
      </c>
      <c r="N636" t="s">
        <v>69</v>
      </c>
      <c r="O636" s="5">
        <v>2</v>
      </c>
      <c r="Q636" s="2">
        <v>100.03</v>
      </c>
      <c r="R636" s="3" t="s">
        <v>26</v>
      </c>
      <c r="S636">
        <f>COUNTIF(A:A,A636)</f>
        <v>1</v>
      </c>
      <c r="T636" t="str">
        <f>IF(OR(H636="",LOWER(TRIM(H636&amp;""))="missing",LOWER(TRIM(H636&amp;""))=""),"Missing/",IFERROR(IF(OR(VALUE(H636)&lt;0,VALUE(H636)&gt;110),"Invalid","Valid"),"Check Format"))</f>
        <v>Missing/</v>
      </c>
      <c r="U636" t="str">
        <f>IF(Raw_Data[[#This Row],[Age_Check]]="Valid",H636,"")</f>
        <v/>
      </c>
      <c r="V636" t="str">
        <f>IF(OR(K636="",UPPER(TRIM(K636&amp;""))="",LOWER(TRIM(K636&amp;""))="",LOWER(TRIM(K636&amp;""))="",LOWER(TRIM(K636&amp;""))="missing"),"Missing/",IFERROR(IF(VALUE(K636)&lt;0,"Invalid","Valid"),"Check Format"))</f>
        <v>Valid</v>
      </c>
      <c r="W636" t="str">
        <f>IF(OR(E636="",F636=""),"Missing Date/Time",IFERROR(IF(F636&gt;E636,"Arrival After Appointment","OK"),"Check Format"))</f>
        <v>OK</v>
      </c>
      <c r="X636" t="str">
        <f>IF(OR(F636="",G636=""),"Missing Date/Time",IFERROR(IF(G636&lt;F636,"Discharge Before Arrival","OK"),"Check Format"))</f>
        <v>OK</v>
      </c>
    </row>
    <row r="637" spans="1:24" x14ac:dyDescent="0.25">
      <c r="A637" s="2" t="s">
        <v>1149</v>
      </c>
      <c r="B637" s="2" t="s">
        <v>435</v>
      </c>
      <c r="C637" s="3" t="s">
        <v>94</v>
      </c>
      <c r="D637" s="3" t="s">
        <v>115</v>
      </c>
      <c r="E637" s="4">
        <v>45329.628472222219</v>
      </c>
      <c r="F637" s="4">
        <v>45475.625</v>
      </c>
      <c r="G637" s="4">
        <v>45475.666666666664</v>
      </c>
      <c r="H637" s="5">
        <v>41</v>
      </c>
      <c r="I637" s="3" t="s">
        <v>90</v>
      </c>
      <c r="J637" s="3" t="s">
        <v>62</v>
      </c>
      <c r="K637" s="5">
        <v>50</v>
      </c>
      <c r="L637" s="5">
        <v>5</v>
      </c>
      <c r="M637" s="3" t="s">
        <v>87</v>
      </c>
      <c r="O637" s="5">
        <v>0</v>
      </c>
      <c r="P637" s="3" t="s">
        <v>80</v>
      </c>
      <c r="Q637" s="2">
        <v>80.53</v>
      </c>
      <c r="R637" s="3" t="s">
        <v>58</v>
      </c>
      <c r="S637">
        <f>COUNTIF(A:A,A637)</f>
        <v>1</v>
      </c>
      <c r="T637" t="str">
        <f>IF(OR(H637="",LOWER(TRIM(H637&amp;""))="missing",LOWER(TRIM(H637&amp;""))=""),"Missing/",IFERROR(IF(OR(VALUE(H637)&lt;0,VALUE(H637)&gt;110),"Invalid","Valid"),"Check Format"))</f>
        <v>Valid</v>
      </c>
      <c r="U637">
        <f>IF(Raw_Data[[#This Row],[Age_Check]]="Valid",H637,"")</f>
        <v>41</v>
      </c>
      <c r="V637" t="str">
        <f>IF(OR(K637="",UPPER(TRIM(K637&amp;""))="",LOWER(TRIM(K637&amp;""))="",LOWER(TRIM(K637&amp;""))="",LOWER(TRIM(K637&amp;""))="missing"),"Missing/",IFERROR(IF(VALUE(K637)&lt;0,"Invalid","Valid"),"Check Format"))</f>
        <v>Valid</v>
      </c>
      <c r="W637" t="str">
        <f>IF(OR(E637="",F637=""),"Missing Date/Time",IFERROR(IF(F637&gt;E637,"Arrival After Appointment","OK"),"Check Format"))</f>
        <v>Arrival After Appointment</v>
      </c>
      <c r="X637" t="str">
        <f>IF(OR(F637="",G637=""),"Missing Date/Time",IFERROR(IF(G637&lt;F637,"Discharge Before Arrival","OK"),"Check Format"))</f>
        <v>OK</v>
      </c>
    </row>
    <row r="638" spans="1:24" x14ac:dyDescent="0.25">
      <c r="A638" s="2" t="s">
        <v>1150</v>
      </c>
      <c r="B638" s="2" t="s">
        <v>1151</v>
      </c>
      <c r="C638" s="3" t="s">
        <v>19</v>
      </c>
      <c r="D638" s="3" t="s">
        <v>20</v>
      </c>
      <c r="E638" s="4">
        <v>45668.680555555555</v>
      </c>
      <c r="F638" s="4">
        <v>45668.677083333336</v>
      </c>
      <c r="G638" s="4">
        <v>45668.786111111112</v>
      </c>
      <c r="I638" s="3" t="s">
        <v>95</v>
      </c>
      <c r="J638" s="3" t="s">
        <v>62</v>
      </c>
      <c r="K638" s="5">
        <v>91</v>
      </c>
      <c r="L638" s="5">
        <v>61</v>
      </c>
      <c r="M638" s="3" t="s">
        <v>87</v>
      </c>
      <c r="N638" t="s">
        <v>103</v>
      </c>
      <c r="O638" s="5">
        <v>0</v>
      </c>
      <c r="P638" s="3" t="s">
        <v>42</v>
      </c>
      <c r="Q638" s="2">
        <v>46.25</v>
      </c>
      <c r="R638" s="3" t="s">
        <v>26</v>
      </c>
      <c r="S638">
        <f>COUNTIF(A:A,A638)</f>
        <v>1</v>
      </c>
      <c r="T638" t="str">
        <f>IF(OR(H638="",LOWER(TRIM(H638&amp;""))="missing",LOWER(TRIM(H638&amp;""))=""),"Missing/",IFERROR(IF(OR(VALUE(H638)&lt;0,VALUE(H638)&gt;110),"Invalid","Valid"),"Check Format"))</f>
        <v>Missing/</v>
      </c>
      <c r="U638" t="str">
        <f>IF(Raw_Data[[#This Row],[Age_Check]]="Valid",H638,"")</f>
        <v/>
      </c>
      <c r="V638" t="str">
        <f>IF(OR(K638="",UPPER(TRIM(K638&amp;""))="",LOWER(TRIM(K638&amp;""))="",LOWER(TRIM(K638&amp;""))="",LOWER(TRIM(K638&amp;""))="missing"),"Missing/",IFERROR(IF(VALUE(K638)&lt;0,"Invalid","Valid"),"Check Format"))</f>
        <v>Valid</v>
      </c>
      <c r="W638" t="str">
        <f>IF(OR(E638="",F638=""),"Missing Date/Time",IFERROR(IF(F638&gt;E638,"Arrival After Appointment","OK"),"Check Format"))</f>
        <v>OK</v>
      </c>
      <c r="X638" t="str">
        <f>IF(OR(F638="",G638=""),"Missing Date/Time",IFERROR(IF(G638&lt;F638,"Discharge Before Arrival","OK"),"Check Format"))</f>
        <v>OK</v>
      </c>
    </row>
    <row r="639" spans="1:24" x14ac:dyDescent="0.25">
      <c r="A639" s="2" t="s">
        <v>1152</v>
      </c>
      <c r="B639" s="2" t="s">
        <v>136</v>
      </c>
      <c r="C639" s="3" t="s">
        <v>94</v>
      </c>
      <c r="D639" s="3" t="s">
        <v>38</v>
      </c>
      <c r="E639" s="4" t="s">
        <v>1153</v>
      </c>
      <c r="F639" s="4">
        <v>45954.631944444445</v>
      </c>
      <c r="H639" s="5">
        <v>4</v>
      </c>
      <c r="J639" s="3" t="s">
        <v>67</v>
      </c>
      <c r="K639" s="5">
        <v>37</v>
      </c>
      <c r="L639" s="5">
        <v>31</v>
      </c>
      <c r="M639" s="3" t="s">
        <v>41</v>
      </c>
      <c r="N639" t="s">
        <v>103</v>
      </c>
      <c r="O639" s="5">
        <v>0</v>
      </c>
      <c r="P639" s="3" t="s">
        <v>80</v>
      </c>
      <c r="Q639" s="2">
        <v>167.41</v>
      </c>
      <c r="R639" s="3" t="s">
        <v>75</v>
      </c>
      <c r="S639">
        <f>COUNTIF(A:A,A639)</f>
        <v>1</v>
      </c>
      <c r="T639" t="str">
        <f>IF(OR(H639="",LOWER(TRIM(H639&amp;""))="missing",LOWER(TRIM(H639&amp;""))=""),"Missing/",IFERROR(IF(OR(VALUE(H639)&lt;0,VALUE(H639)&gt;110),"Invalid","Valid"),"Check Format"))</f>
        <v>Valid</v>
      </c>
      <c r="U639">
        <f>IF(Raw_Data[[#This Row],[Age_Check]]="Valid",H639,"")</f>
        <v>4</v>
      </c>
      <c r="V639" t="str">
        <f>IF(OR(K639="",UPPER(TRIM(K639&amp;""))="",LOWER(TRIM(K639&amp;""))="",LOWER(TRIM(K639&amp;""))="",LOWER(TRIM(K639&amp;""))="missing"),"Missing/",IFERROR(IF(VALUE(K639)&lt;0,"Invalid","Valid"),"Check Format"))</f>
        <v>Valid</v>
      </c>
      <c r="W639" t="str">
        <f>IF(OR(E639="",F639=""),"Missing Date/Time",IFERROR(IF(F639&gt;E639,"Arrival After Appointment","OK"),"Check Format"))</f>
        <v>OK</v>
      </c>
      <c r="X639" t="str">
        <f>IF(OR(F639="",G639=""),"Missing Date/Time",IFERROR(IF(G639&lt;F639,"Discharge Before Arrival","OK"),"Check Format"))</f>
        <v>Missing Date/Time</v>
      </c>
    </row>
    <row r="640" spans="1:24" x14ac:dyDescent="0.25">
      <c r="A640" s="2" t="s">
        <v>1154</v>
      </c>
      <c r="B640" s="2" t="s">
        <v>1155</v>
      </c>
      <c r="C640" s="3" t="s">
        <v>46</v>
      </c>
      <c r="D640" s="3" t="s">
        <v>174</v>
      </c>
      <c r="E640" s="4">
        <v>45512.576388888891</v>
      </c>
      <c r="F640" s="4">
        <v>45512.573611111111</v>
      </c>
      <c r="I640" s="3" t="s">
        <v>73</v>
      </c>
      <c r="J640" s="3" t="s">
        <v>171</v>
      </c>
      <c r="K640" s="5">
        <v>29</v>
      </c>
      <c r="L640" s="5">
        <v>39</v>
      </c>
      <c r="N640" t="s">
        <v>24</v>
      </c>
      <c r="O640" s="5">
        <v>3</v>
      </c>
      <c r="P640" s="3" t="s">
        <v>80</v>
      </c>
      <c r="Q640" s="2">
        <v>107.09</v>
      </c>
      <c r="R640" s="3" t="s">
        <v>58</v>
      </c>
      <c r="S640">
        <f>COUNTIF(A:A,A640)</f>
        <v>1</v>
      </c>
      <c r="T640" t="str">
        <f>IF(OR(H640="",LOWER(TRIM(H640&amp;""))="missing",LOWER(TRIM(H640&amp;""))=""),"Missing/",IFERROR(IF(OR(VALUE(H640)&lt;0,VALUE(H640)&gt;110),"Invalid","Valid"),"Check Format"))</f>
        <v>Missing/</v>
      </c>
      <c r="U640" t="str">
        <f>IF(Raw_Data[[#This Row],[Age_Check]]="Valid",H640,"")</f>
        <v/>
      </c>
      <c r="V640" t="str">
        <f>IF(OR(K640="",UPPER(TRIM(K640&amp;""))="",LOWER(TRIM(K640&amp;""))="",LOWER(TRIM(K640&amp;""))="",LOWER(TRIM(K640&amp;""))="missing"),"Missing/",IFERROR(IF(VALUE(K640)&lt;0,"Invalid","Valid"),"Check Format"))</f>
        <v>Valid</v>
      </c>
      <c r="W640" t="str">
        <f>IF(OR(E640="",F640=""),"Missing Date/Time",IFERROR(IF(F640&gt;E640,"Arrival After Appointment","OK"),"Check Format"))</f>
        <v>OK</v>
      </c>
      <c r="X640" t="str">
        <f>IF(OR(F640="",G640=""),"Missing Date/Time",IFERROR(IF(G640&lt;F640,"Discharge Before Arrival","OK"),"Check Format"))</f>
        <v>Missing Date/Time</v>
      </c>
    </row>
    <row r="641" spans="1:24" x14ac:dyDescent="0.25">
      <c r="A641" s="2" t="s">
        <v>1156</v>
      </c>
      <c r="B641" s="2" t="s">
        <v>1157</v>
      </c>
      <c r="C641" s="3" t="s">
        <v>94</v>
      </c>
      <c r="D641" s="3" t="s">
        <v>30</v>
      </c>
      <c r="E641" s="4">
        <v>45395.475694444445</v>
      </c>
      <c r="F641" s="4">
        <v>45395.469444444447</v>
      </c>
      <c r="G641" s="4">
        <v>45395.543749999997</v>
      </c>
      <c r="I641" s="3" t="s">
        <v>95</v>
      </c>
      <c r="J641" s="3" t="s">
        <v>67</v>
      </c>
      <c r="L641" s="5">
        <v>41</v>
      </c>
      <c r="M641" s="3" t="s">
        <v>32</v>
      </c>
      <c r="N641" t="s">
        <v>100</v>
      </c>
      <c r="O641" s="5">
        <v>3</v>
      </c>
      <c r="P641" s="3" t="s">
        <v>25</v>
      </c>
      <c r="Q641" s="2">
        <v>145.51</v>
      </c>
      <c r="R641" s="3" t="s">
        <v>43</v>
      </c>
      <c r="S641">
        <f>COUNTIF(A:A,A641)</f>
        <v>1</v>
      </c>
      <c r="T641" t="str">
        <f>IF(OR(H641="",LOWER(TRIM(H641&amp;""))="missing",LOWER(TRIM(H641&amp;""))=""),"Missing/",IFERROR(IF(OR(VALUE(H641)&lt;0,VALUE(H641)&gt;110),"Invalid","Valid"),"Check Format"))</f>
        <v>Missing/</v>
      </c>
      <c r="U641" t="str">
        <f>IF(Raw_Data[[#This Row],[Age_Check]]="Valid",H641,"")</f>
        <v/>
      </c>
      <c r="V641" t="str">
        <f>IF(OR(K641="",UPPER(TRIM(K641&amp;""))="",LOWER(TRIM(K641&amp;""))="",LOWER(TRIM(K641&amp;""))="",LOWER(TRIM(K641&amp;""))="missing"),"Missing/",IFERROR(IF(VALUE(K641)&lt;0,"Invalid","Valid"),"Check Format"))</f>
        <v>Missing/</v>
      </c>
      <c r="W641" t="str">
        <f>IF(OR(E641="",F641=""),"Missing Date/Time",IFERROR(IF(F641&gt;E641,"Arrival After Appointment","OK"),"Check Format"))</f>
        <v>OK</v>
      </c>
      <c r="X641" t="str">
        <f>IF(OR(F641="",G641=""),"Missing Date/Time",IFERROR(IF(G641&lt;F641,"Discharge Before Arrival","OK"),"Check Format"))</f>
        <v>OK</v>
      </c>
    </row>
    <row r="642" spans="1:24" x14ac:dyDescent="0.25">
      <c r="A642" s="2" t="s">
        <v>1158</v>
      </c>
      <c r="B642" s="2" t="s">
        <v>1063</v>
      </c>
      <c r="C642" s="3" t="s">
        <v>94</v>
      </c>
      <c r="D642" s="3" t="s">
        <v>20</v>
      </c>
      <c r="E642" s="4">
        <v>45361.291666666664</v>
      </c>
      <c r="F642" s="4">
        <v>45568.27847222222</v>
      </c>
      <c r="G642" s="4">
        <v>45568.341666666667</v>
      </c>
      <c r="I642" s="3" t="s">
        <v>39</v>
      </c>
      <c r="K642" s="5">
        <v>42</v>
      </c>
      <c r="L642" s="5">
        <v>30</v>
      </c>
      <c r="M642" s="3" t="s">
        <v>87</v>
      </c>
      <c r="O642" s="5">
        <v>0</v>
      </c>
      <c r="Q642" s="2">
        <v>137.93</v>
      </c>
      <c r="R642" s="3" t="s">
        <v>26</v>
      </c>
      <c r="S642">
        <f>COUNTIF(A:A,A642)</f>
        <v>1</v>
      </c>
      <c r="T642" t="str">
        <f>IF(OR(H642="",LOWER(TRIM(H642&amp;""))="missing",LOWER(TRIM(H642&amp;""))=""),"Missing/",IFERROR(IF(OR(VALUE(H642)&lt;0,VALUE(H642)&gt;110),"Invalid","Valid"),"Check Format"))</f>
        <v>Missing/</v>
      </c>
      <c r="U642" t="str">
        <f>IF(Raw_Data[[#This Row],[Age_Check]]="Valid",H642,"")</f>
        <v/>
      </c>
      <c r="V642" t="str">
        <f>IF(OR(K642="",UPPER(TRIM(K642&amp;""))="",LOWER(TRIM(K642&amp;""))="",LOWER(TRIM(K642&amp;""))="",LOWER(TRIM(K642&amp;""))="missing"),"Missing/",IFERROR(IF(VALUE(K642)&lt;0,"Invalid","Valid"),"Check Format"))</f>
        <v>Valid</v>
      </c>
      <c r="W642" t="str">
        <f>IF(OR(E642="",F642=""),"Missing Date/Time",IFERROR(IF(F642&gt;E642,"Arrival After Appointment","OK"),"Check Format"))</f>
        <v>Arrival After Appointment</v>
      </c>
      <c r="X642" t="str">
        <f>IF(OR(F642="",G642=""),"Missing Date/Time",IFERROR(IF(G642&lt;F642,"Discharge Before Arrival","OK"),"Check Format"))</f>
        <v>OK</v>
      </c>
    </row>
    <row r="643" spans="1:24" x14ac:dyDescent="0.25">
      <c r="A643" s="2" t="s">
        <v>1159</v>
      </c>
      <c r="B643" s="2" t="s">
        <v>1160</v>
      </c>
      <c r="D643" s="3" t="s">
        <v>209</v>
      </c>
      <c r="E643" s="4">
        <v>45871.628472222219</v>
      </c>
      <c r="F643" s="4">
        <v>45871.614583333336</v>
      </c>
      <c r="G643" s="4">
        <v>45871.678472222222</v>
      </c>
      <c r="H643" s="5">
        <v>18</v>
      </c>
      <c r="J643" s="3" t="s">
        <v>171</v>
      </c>
      <c r="K643" s="5">
        <v>45</v>
      </c>
      <c r="L643" s="5">
        <v>27</v>
      </c>
      <c r="N643" t="s">
        <v>103</v>
      </c>
      <c r="O643" s="5">
        <v>4</v>
      </c>
      <c r="P643" s="3" t="s">
        <v>25</v>
      </c>
      <c r="Q643" s="2">
        <v>272.89</v>
      </c>
      <c r="R643" s="3" t="s">
        <v>43</v>
      </c>
      <c r="S643">
        <f>COUNTIF(A:A,A643)</f>
        <v>1</v>
      </c>
      <c r="T643" t="str">
        <f>IF(OR(H643="",LOWER(TRIM(H643&amp;""))="missing",LOWER(TRIM(H643&amp;""))=""),"Missing/",IFERROR(IF(OR(VALUE(H643)&lt;0,VALUE(H643)&gt;110),"Invalid","Valid"),"Check Format"))</f>
        <v>Valid</v>
      </c>
      <c r="U643">
        <f>IF(Raw_Data[[#This Row],[Age_Check]]="Valid",H643,"")</f>
        <v>18</v>
      </c>
      <c r="V643" t="str">
        <f>IF(OR(K643="",UPPER(TRIM(K643&amp;""))="",LOWER(TRIM(K643&amp;""))="",LOWER(TRIM(K643&amp;""))="",LOWER(TRIM(K643&amp;""))="missing"),"Missing/",IFERROR(IF(VALUE(K643)&lt;0,"Invalid","Valid"),"Check Format"))</f>
        <v>Valid</v>
      </c>
      <c r="W643" t="str">
        <f>IF(OR(E643="",F643=""),"Missing Date/Time",IFERROR(IF(F643&gt;E643,"Arrival After Appointment","OK"),"Check Format"))</f>
        <v>OK</v>
      </c>
      <c r="X643" t="str">
        <f>IF(OR(F643="",G643=""),"Missing Date/Time",IFERROR(IF(G643&lt;F643,"Discharge Before Arrival","OK"),"Check Format"))</f>
        <v>OK</v>
      </c>
    </row>
    <row r="644" spans="1:24" x14ac:dyDescent="0.25">
      <c r="A644" s="2" t="s">
        <v>1161</v>
      </c>
      <c r="B644" s="2" t="s">
        <v>710</v>
      </c>
      <c r="C644" s="3" t="s">
        <v>94</v>
      </c>
      <c r="D644" s="3" t="s">
        <v>209</v>
      </c>
      <c r="E644" s="4">
        <v>45447.569444444445</v>
      </c>
      <c r="F644" s="4">
        <v>45447.563888888886</v>
      </c>
      <c r="G644" s="4">
        <v>45447.640972222223</v>
      </c>
      <c r="I644" s="3" t="s">
        <v>95</v>
      </c>
      <c r="J644" s="3" t="s">
        <v>22</v>
      </c>
      <c r="K644" s="5">
        <v>77</v>
      </c>
      <c r="L644" s="5">
        <v>26</v>
      </c>
      <c r="M644" s="3" t="s">
        <v>32</v>
      </c>
      <c r="N644" t="s">
        <v>100</v>
      </c>
      <c r="P644" s="3" t="s">
        <v>25</v>
      </c>
      <c r="Q644" s="2">
        <v>200.76</v>
      </c>
      <c r="R644" s="3" t="s">
        <v>75</v>
      </c>
      <c r="S644">
        <f>COUNTIF(A:A,A644)</f>
        <v>1</v>
      </c>
      <c r="T644" t="str">
        <f>IF(OR(H644="",LOWER(TRIM(H644&amp;""))="missing",LOWER(TRIM(H644&amp;""))=""),"Missing/",IFERROR(IF(OR(VALUE(H644)&lt;0,VALUE(H644)&gt;110),"Invalid","Valid"),"Check Format"))</f>
        <v>Missing/</v>
      </c>
      <c r="U644" t="str">
        <f>IF(Raw_Data[[#This Row],[Age_Check]]="Valid",H644,"")</f>
        <v/>
      </c>
      <c r="V644" t="str">
        <f>IF(OR(K644="",UPPER(TRIM(K644&amp;""))="",LOWER(TRIM(K644&amp;""))="",LOWER(TRIM(K644&amp;""))="",LOWER(TRIM(K644&amp;""))="missing"),"Missing/",IFERROR(IF(VALUE(K644)&lt;0,"Invalid","Valid"),"Check Format"))</f>
        <v>Valid</v>
      </c>
      <c r="W644" t="str">
        <f>IF(OR(E644="",F644=""),"Missing Date/Time",IFERROR(IF(F644&gt;E644,"Arrival After Appointment","OK"),"Check Format"))</f>
        <v>OK</v>
      </c>
      <c r="X644" t="str">
        <f>IF(OR(F644="",G644=""),"Missing Date/Time",IFERROR(IF(G644&lt;F644,"Discharge Before Arrival","OK"),"Check Format"))</f>
        <v>OK</v>
      </c>
    </row>
    <row r="645" spans="1:24" x14ac:dyDescent="0.25">
      <c r="A645" s="2" t="s">
        <v>1162</v>
      </c>
      <c r="B645" s="2" t="s">
        <v>469</v>
      </c>
      <c r="C645" s="3" t="s">
        <v>46</v>
      </c>
      <c r="D645" s="3" t="s">
        <v>47</v>
      </c>
      <c r="E645" s="4" t="s">
        <v>1163</v>
      </c>
      <c r="F645" s="4">
        <v>45863.646527777775</v>
      </c>
      <c r="G645" s="4">
        <v>45863.731944444444</v>
      </c>
      <c r="I645" s="3" t="s">
        <v>73</v>
      </c>
      <c r="J645" s="3" t="s">
        <v>150</v>
      </c>
      <c r="K645" s="5">
        <v>46</v>
      </c>
      <c r="L645" s="5">
        <v>53</v>
      </c>
      <c r="M645" s="3" t="s">
        <v>63</v>
      </c>
      <c r="N645" t="s">
        <v>91</v>
      </c>
      <c r="O645" s="5">
        <v>0</v>
      </c>
      <c r="P645" s="3" t="s">
        <v>42</v>
      </c>
      <c r="Q645" s="2">
        <v>174.57</v>
      </c>
      <c r="R645" s="3" t="s">
        <v>58</v>
      </c>
      <c r="S645">
        <f>COUNTIF(A:A,A645)</f>
        <v>1</v>
      </c>
      <c r="T645" t="str">
        <f>IF(OR(H645="",LOWER(TRIM(H645&amp;""))="missing",LOWER(TRIM(H645&amp;""))=""),"Missing/",IFERROR(IF(OR(VALUE(H645)&lt;0,VALUE(H645)&gt;110),"Invalid","Valid"),"Check Format"))</f>
        <v>Missing/</v>
      </c>
      <c r="U645" t="str">
        <f>IF(Raw_Data[[#This Row],[Age_Check]]="Valid",H645,"")</f>
        <v/>
      </c>
      <c r="V645" t="str">
        <f>IF(OR(K645="",UPPER(TRIM(K645&amp;""))="",LOWER(TRIM(K645&amp;""))="",LOWER(TRIM(K645&amp;""))="",LOWER(TRIM(K645&amp;""))="missing"),"Missing/",IFERROR(IF(VALUE(K645)&lt;0,"Invalid","Valid"),"Check Format"))</f>
        <v>Valid</v>
      </c>
      <c r="W645" t="str">
        <f>IF(OR(E645="",F645=""),"Missing Date/Time",IFERROR(IF(F645&gt;E645,"Arrival After Appointment","OK"),"Check Format"))</f>
        <v>OK</v>
      </c>
      <c r="X645" t="str">
        <f>IF(OR(F645="",G645=""),"Missing Date/Time",IFERROR(IF(G645&lt;F645,"Discharge Before Arrival","OK"),"Check Format"))</f>
        <v>OK</v>
      </c>
    </row>
    <row r="646" spans="1:24" x14ac:dyDescent="0.25">
      <c r="A646" s="2" t="s">
        <v>1164</v>
      </c>
      <c r="B646" s="2" t="s">
        <v>596</v>
      </c>
      <c r="C646" s="3" t="s">
        <v>94</v>
      </c>
      <c r="D646" s="3" t="s">
        <v>106</v>
      </c>
      <c r="E646" s="4">
        <v>45401.402777777781</v>
      </c>
      <c r="F646" s="4">
        <v>45401.387499999997</v>
      </c>
      <c r="G646" s="4">
        <v>45401.468055555553</v>
      </c>
      <c r="I646" s="3" t="s">
        <v>95</v>
      </c>
      <c r="J646" s="3" t="s">
        <v>2639</v>
      </c>
      <c r="K646" s="5">
        <v>54</v>
      </c>
      <c r="L646" s="5">
        <v>40</v>
      </c>
      <c r="O646" s="5">
        <v>3</v>
      </c>
      <c r="P646" s="3" t="s">
        <v>80</v>
      </c>
      <c r="Q646" s="2">
        <v>19.329999999999998</v>
      </c>
      <c r="R646" s="3" t="s">
        <v>58</v>
      </c>
      <c r="S646">
        <f>COUNTIF(A:A,A646)</f>
        <v>1</v>
      </c>
      <c r="T646" t="str">
        <f>IF(OR(H646="",LOWER(TRIM(H646&amp;""))="missing",LOWER(TRIM(H646&amp;""))=""),"Missing/",IFERROR(IF(OR(VALUE(H646)&lt;0,VALUE(H646)&gt;110),"Invalid","Valid"),"Check Format"))</f>
        <v>Missing/</v>
      </c>
      <c r="U646" t="str">
        <f>IF(Raw_Data[[#This Row],[Age_Check]]="Valid",H646,"")</f>
        <v/>
      </c>
      <c r="V646" t="str">
        <f>IF(OR(K646="",UPPER(TRIM(K646&amp;""))="",LOWER(TRIM(K646&amp;""))="",LOWER(TRIM(K646&amp;""))="",LOWER(TRIM(K646&amp;""))="missing"),"Missing/",IFERROR(IF(VALUE(K646)&lt;0,"Invalid","Valid"),"Check Format"))</f>
        <v>Valid</v>
      </c>
      <c r="W646" t="str">
        <f>IF(OR(E646="",F646=""),"Missing Date/Time",IFERROR(IF(F646&gt;E646,"Arrival After Appointment","OK"),"Check Format"))</f>
        <v>OK</v>
      </c>
      <c r="X646" t="str">
        <f>IF(OR(F646="",G646=""),"Missing Date/Time",IFERROR(IF(G646&lt;F646,"Discharge Before Arrival","OK"),"Check Format"))</f>
        <v>OK</v>
      </c>
    </row>
    <row r="647" spans="1:24" x14ac:dyDescent="0.25">
      <c r="A647" s="2" t="s">
        <v>1165</v>
      </c>
      <c r="B647" s="2" t="s">
        <v>1166</v>
      </c>
      <c r="C647" s="3" t="s">
        <v>29</v>
      </c>
      <c r="D647" s="3" t="s">
        <v>55</v>
      </c>
      <c r="E647" s="4">
        <v>45350.5625</v>
      </c>
      <c r="F647" s="4">
        <v>45350.560416666667</v>
      </c>
      <c r="G647" s="4">
        <v>45350.581944444442</v>
      </c>
      <c r="J647" s="3" t="s">
        <v>67</v>
      </c>
      <c r="K647" s="5">
        <v>18</v>
      </c>
      <c r="L647" s="5">
        <v>10</v>
      </c>
      <c r="M647" s="3" t="s">
        <v>50</v>
      </c>
      <c r="N647" t="s">
        <v>69</v>
      </c>
      <c r="P647" s="3" t="s">
        <v>80</v>
      </c>
      <c r="Q647" s="2">
        <v>156.44</v>
      </c>
      <c r="R647" s="3" t="s">
        <v>43</v>
      </c>
      <c r="S647">
        <f>COUNTIF(A:A,A647)</f>
        <v>1</v>
      </c>
      <c r="T647" t="str">
        <f>IF(OR(H647="",LOWER(TRIM(H647&amp;""))="missing",LOWER(TRIM(H647&amp;""))=""),"Missing/",IFERROR(IF(OR(VALUE(H647)&lt;0,VALUE(H647)&gt;110),"Invalid","Valid"),"Check Format"))</f>
        <v>Missing/</v>
      </c>
      <c r="U647" t="str">
        <f>IF(Raw_Data[[#This Row],[Age_Check]]="Valid",H647,"")</f>
        <v/>
      </c>
      <c r="V647" t="str">
        <f>IF(OR(K647="",UPPER(TRIM(K647&amp;""))="",LOWER(TRIM(K647&amp;""))="",LOWER(TRIM(K647&amp;""))="",LOWER(TRIM(K647&amp;""))="missing"),"Missing/",IFERROR(IF(VALUE(K647)&lt;0,"Invalid","Valid"),"Check Format"))</f>
        <v>Valid</v>
      </c>
      <c r="W647" t="str">
        <f>IF(OR(E647="",F647=""),"Missing Date/Time",IFERROR(IF(F647&gt;E647,"Arrival After Appointment","OK"),"Check Format"))</f>
        <v>OK</v>
      </c>
      <c r="X647" t="str">
        <f>IF(OR(F647="",G647=""),"Missing Date/Time",IFERROR(IF(G647&lt;F647,"Discharge Before Arrival","OK"),"Check Format"))</f>
        <v>OK</v>
      </c>
    </row>
    <row r="648" spans="1:24" x14ac:dyDescent="0.25">
      <c r="A648" s="2" t="s">
        <v>1167</v>
      </c>
      <c r="B648" s="2" t="s">
        <v>82</v>
      </c>
      <c r="C648" s="3" t="s">
        <v>94</v>
      </c>
      <c r="D648" s="3" t="s">
        <v>38</v>
      </c>
      <c r="E648" s="4">
        <v>45376.336805555555</v>
      </c>
      <c r="F648" s="4">
        <v>45376.335416666669</v>
      </c>
      <c r="G648" s="4">
        <v>45376.46875</v>
      </c>
      <c r="H648" s="5">
        <v>82</v>
      </c>
      <c r="I648" s="3" t="s">
        <v>95</v>
      </c>
      <c r="J648" s="3" t="s">
        <v>62</v>
      </c>
      <c r="K648" s="5">
        <v>118</v>
      </c>
      <c r="L648" s="5">
        <v>72</v>
      </c>
      <c r="M648" s="3" t="s">
        <v>87</v>
      </c>
      <c r="N648" t="s">
        <v>24</v>
      </c>
      <c r="O648" s="5">
        <v>1</v>
      </c>
      <c r="P648" s="3" t="s">
        <v>25</v>
      </c>
      <c r="Q648" s="2">
        <v>196.04</v>
      </c>
      <c r="R648" s="3" t="s">
        <v>75</v>
      </c>
      <c r="S648">
        <f>COUNTIF(A:A,A648)</f>
        <v>1</v>
      </c>
      <c r="T648" t="str">
        <f>IF(OR(H648="",LOWER(TRIM(H648&amp;""))="missing",LOWER(TRIM(H648&amp;""))=""),"Missing/",IFERROR(IF(OR(VALUE(H648)&lt;0,VALUE(H648)&gt;110),"Invalid","Valid"),"Check Format"))</f>
        <v>Valid</v>
      </c>
      <c r="U648">
        <f>IF(Raw_Data[[#This Row],[Age_Check]]="Valid",H648,"")</f>
        <v>82</v>
      </c>
      <c r="V648" t="str">
        <f>IF(OR(K648="",UPPER(TRIM(K648&amp;""))="",LOWER(TRIM(K648&amp;""))="",LOWER(TRIM(K648&amp;""))="",LOWER(TRIM(K648&amp;""))="missing"),"Missing/",IFERROR(IF(VALUE(K648)&lt;0,"Invalid","Valid"),"Check Format"))</f>
        <v>Valid</v>
      </c>
      <c r="W648" t="str">
        <f>IF(OR(E648="",F648=""),"Missing Date/Time",IFERROR(IF(F648&gt;E648,"Arrival After Appointment","OK"),"Check Format"))</f>
        <v>OK</v>
      </c>
      <c r="X648" t="str">
        <f>IF(OR(F648="",G648=""),"Missing Date/Time",IFERROR(IF(G648&lt;F648,"Discharge Before Arrival","OK"),"Check Format"))</f>
        <v>OK</v>
      </c>
    </row>
    <row r="649" spans="1:24" x14ac:dyDescent="0.25">
      <c r="A649" s="2" t="s">
        <v>1168</v>
      </c>
      <c r="B649" s="2" t="s">
        <v>357</v>
      </c>
      <c r="C649" s="3" t="s">
        <v>46</v>
      </c>
      <c r="D649" s="3" t="s">
        <v>55</v>
      </c>
      <c r="E649" s="4" t="s">
        <v>1169</v>
      </c>
      <c r="F649" s="4">
        <v>45974.668749999997</v>
      </c>
      <c r="G649" s="4">
        <v>45974.725694444445</v>
      </c>
      <c r="H649" s="5">
        <v>0</v>
      </c>
      <c r="I649" s="3" t="s">
        <v>95</v>
      </c>
      <c r="J649" s="3" t="s">
        <v>67</v>
      </c>
      <c r="K649" s="5">
        <v>75</v>
      </c>
      <c r="L649" s="5">
        <v>5</v>
      </c>
      <c r="N649" t="s">
        <v>24</v>
      </c>
      <c r="O649" s="5">
        <v>6</v>
      </c>
      <c r="P649" s="3" t="s">
        <v>25</v>
      </c>
      <c r="Q649" s="2">
        <v>101.59</v>
      </c>
      <c r="R649" s="3" t="s">
        <v>26</v>
      </c>
      <c r="S649">
        <f>COUNTIF(A:A,A649)</f>
        <v>1</v>
      </c>
      <c r="T649" t="str">
        <f>IF(OR(H649="",LOWER(TRIM(H649&amp;""))="missing",LOWER(TRIM(H649&amp;""))=""),"Missing/",IFERROR(IF(OR(VALUE(H649)&lt;0,VALUE(H649)&gt;110),"Invalid","Valid"),"Check Format"))</f>
        <v>Valid</v>
      </c>
      <c r="U649">
        <f>IF(Raw_Data[[#This Row],[Age_Check]]="Valid",H649,"")</f>
        <v>0</v>
      </c>
      <c r="V649" t="str">
        <f>IF(OR(K649="",UPPER(TRIM(K649&amp;""))="",LOWER(TRIM(K649&amp;""))="",LOWER(TRIM(K649&amp;""))="",LOWER(TRIM(K649&amp;""))="missing"),"Missing/",IFERROR(IF(VALUE(K649)&lt;0,"Invalid","Valid"),"Check Format"))</f>
        <v>Valid</v>
      </c>
      <c r="W649" t="str">
        <f>IF(OR(E649="",F649=""),"Missing Date/Time",IFERROR(IF(F649&gt;E649,"Arrival After Appointment","OK"),"Check Format"))</f>
        <v>OK</v>
      </c>
      <c r="X649" t="str">
        <f>IF(OR(F649="",G649=""),"Missing Date/Time",IFERROR(IF(G649&lt;F649,"Discharge Before Arrival","OK"),"Check Format"))</f>
        <v>OK</v>
      </c>
    </row>
    <row r="650" spans="1:24" x14ac:dyDescent="0.25">
      <c r="A650" s="2" t="s">
        <v>1170</v>
      </c>
      <c r="B650" s="2" t="s">
        <v>1144</v>
      </c>
      <c r="C650" s="3" t="s">
        <v>37</v>
      </c>
      <c r="D650" s="3" t="s">
        <v>47</v>
      </c>
      <c r="E650" s="4">
        <v>45765.680555555555</v>
      </c>
      <c r="F650" s="4">
        <v>45765.679861111108</v>
      </c>
      <c r="G650" s="4">
        <v>45765.715277777781</v>
      </c>
      <c r="H650" s="5">
        <v>85</v>
      </c>
      <c r="I650" s="3" t="s">
        <v>73</v>
      </c>
      <c r="J650" s="3" t="s">
        <v>171</v>
      </c>
      <c r="K650" s="5">
        <v>30</v>
      </c>
      <c r="L650" s="5">
        <v>20</v>
      </c>
      <c r="M650" s="3" t="s">
        <v>32</v>
      </c>
      <c r="N650" t="s">
        <v>91</v>
      </c>
      <c r="P650" s="3" t="s">
        <v>42</v>
      </c>
      <c r="Q650" s="2">
        <v>131.55000000000001</v>
      </c>
      <c r="R650" s="3" t="s">
        <v>58</v>
      </c>
      <c r="S650">
        <f>COUNTIF(A:A,A650)</f>
        <v>1</v>
      </c>
      <c r="T650" t="str">
        <f>IF(OR(H650="",LOWER(TRIM(H650&amp;""))="missing",LOWER(TRIM(H650&amp;""))=""),"Missing/",IFERROR(IF(OR(VALUE(H650)&lt;0,VALUE(H650)&gt;110),"Invalid","Valid"),"Check Format"))</f>
        <v>Valid</v>
      </c>
      <c r="U650">
        <f>IF(Raw_Data[[#This Row],[Age_Check]]="Valid",H650,"")</f>
        <v>85</v>
      </c>
      <c r="V650" t="str">
        <f>IF(OR(K650="",UPPER(TRIM(K650&amp;""))="",LOWER(TRIM(K650&amp;""))="",LOWER(TRIM(K650&amp;""))="",LOWER(TRIM(K650&amp;""))="missing"),"Missing/",IFERROR(IF(VALUE(K650)&lt;0,"Invalid","Valid"),"Check Format"))</f>
        <v>Valid</v>
      </c>
      <c r="W650" t="str">
        <f>IF(OR(E650="",F650=""),"Missing Date/Time",IFERROR(IF(F650&gt;E650,"Arrival After Appointment","OK"),"Check Format"))</f>
        <v>OK</v>
      </c>
      <c r="X650" t="str">
        <f>IF(OR(F650="",G650=""),"Missing Date/Time",IFERROR(IF(G650&lt;F650,"Discharge Before Arrival","OK"),"Check Format"))</f>
        <v>OK</v>
      </c>
    </row>
    <row r="651" spans="1:24" x14ac:dyDescent="0.25">
      <c r="A651" s="2" t="s">
        <v>1171</v>
      </c>
      <c r="B651" s="2" t="s">
        <v>316</v>
      </c>
      <c r="C651" s="3" t="s">
        <v>94</v>
      </c>
      <c r="D651" s="3" t="s">
        <v>20</v>
      </c>
      <c r="E651" s="4">
        <v>45608.725694444445</v>
      </c>
      <c r="H651" s="5">
        <v>15</v>
      </c>
      <c r="I651" s="3" t="s">
        <v>73</v>
      </c>
      <c r="J651" s="3" t="s">
        <v>2639</v>
      </c>
      <c r="K651" s="5">
        <v>41</v>
      </c>
      <c r="L651" s="5">
        <v>5</v>
      </c>
      <c r="M651" s="3" t="s">
        <v>68</v>
      </c>
      <c r="N651" t="s">
        <v>69</v>
      </c>
      <c r="P651" s="3" t="s">
        <v>42</v>
      </c>
      <c r="Q651" s="2">
        <v>204.83</v>
      </c>
      <c r="R651" s="3" t="s">
        <v>43</v>
      </c>
      <c r="S651">
        <f>COUNTIF(A:A,A651)</f>
        <v>1</v>
      </c>
      <c r="T651" t="str">
        <f>IF(OR(H651="",LOWER(TRIM(H651&amp;""))="missing",LOWER(TRIM(H651&amp;""))=""),"Missing/",IFERROR(IF(OR(VALUE(H651)&lt;0,VALUE(H651)&gt;110),"Invalid","Valid"),"Check Format"))</f>
        <v>Valid</v>
      </c>
      <c r="U651">
        <f>IF(Raw_Data[[#This Row],[Age_Check]]="Valid",H651,"")</f>
        <v>15</v>
      </c>
      <c r="V651" t="str">
        <f>IF(OR(K651="",UPPER(TRIM(K651&amp;""))="",LOWER(TRIM(K651&amp;""))="",LOWER(TRIM(K651&amp;""))="",LOWER(TRIM(K651&amp;""))="missing"),"Missing/",IFERROR(IF(VALUE(K651)&lt;0,"Invalid","Valid"),"Check Format"))</f>
        <v>Valid</v>
      </c>
      <c r="W651" t="str">
        <f>IF(OR(E651="",F651=""),"Missing Date/Time",IFERROR(IF(F651&gt;E651,"Arrival After Appointment","OK"),"Check Format"))</f>
        <v>Missing Date/Time</v>
      </c>
      <c r="X651" t="str">
        <f>IF(OR(F651="",G651=""),"Missing Date/Time",IFERROR(IF(G651&lt;F651,"Discharge Before Arrival","OK"),"Check Format"))</f>
        <v>Missing Date/Time</v>
      </c>
    </row>
    <row r="652" spans="1:24" x14ac:dyDescent="0.25">
      <c r="A652" s="2" t="s">
        <v>1172</v>
      </c>
      <c r="B652" s="2" t="s">
        <v>537</v>
      </c>
      <c r="D652" s="3" t="s">
        <v>99</v>
      </c>
      <c r="E652" s="4" t="s">
        <v>1173</v>
      </c>
      <c r="F652" s="4">
        <v>45951.73541666667</v>
      </c>
      <c r="G652" s="4">
        <v>45951.781944444447</v>
      </c>
      <c r="H652" s="5">
        <v>24</v>
      </c>
      <c r="I652" s="3" t="s">
        <v>95</v>
      </c>
      <c r="K652" s="5">
        <v>20</v>
      </c>
      <c r="L652" s="5">
        <v>36</v>
      </c>
      <c r="M652" s="3" t="s">
        <v>87</v>
      </c>
      <c r="N652" t="s">
        <v>103</v>
      </c>
      <c r="O652" s="5">
        <v>0</v>
      </c>
      <c r="P652" s="3" t="s">
        <v>80</v>
      </c>
      <c r="Q652" s="2">
        <v>310.93</v>
      </c>
      <c r="R652" s="3" t="s">
        <v>58</v>
      </c>
      <c r="S652">
        <f>COUNTIF(A:A,A652)</f>
        <v>1</v>
      </c>
      <c r="T652" t="str">
        <f>IF(OR(H652="",LOWER(TRIM(H652&amp;""))="missing",LOWER(TRIM(H652&amp;""))=""),"Missing/",IFERROR(IF(OR(VALUE(H652)&lt;0,VALUE(H652)&gt;110),"Invalid","Valid"),"Check Format"))</f>
        <v>Valid</v>
      </c>
      <c r="U652">
        <f>IF(Raw_Data[[#This Row],[Age_Check]]="Valid",H652,"")</f>
        <v>24</v>
      </c>
      <c r="V652" t="str">
        <f>IF(OR(K652="",UPPER(TRIM(K652&amp;""))="",LOWER(TRIM(K652&amp;""))="",LOWER(TRIM(K652&amp;""))="",LOWER(TRIM(K652&amp;""))="missing"),"Missing/",IFERROR(IF(VALUE(K652)&lt;0,"Invalid","Valid"),"Check Format"))</f>
        <v>Valid</v>
      </c>
      <c r="W652" t="str">
        <f>IF(OR(E652="",F652=""),"Missing Date/Time",IFERROR(IF(F652&gt;E652,"Arrival After Appointment","OK"),"Check Format"))</f>
        <v>OK</v>
      </c>
      <c r="X652" t="str">
        <f>IF(OR(F652="",G652=""),"Missing Date/Time",IFERROR(IF(G652&lt;F652,"Discharge Before Arrival","OK"),"Check Format"))</f>
        <v>OK</v>
      </c>
    </row>
    <row r="653" spans="1:24" x14ac:dyDescent="0.25">
      <c r="A653" s="2" t="s">
        <v>1174</v>
      </c>
      <c r="B653" s="2" t="s">
        <v>1175</v>
      </c>
      <c r="C653" s="3" t="s">
        <v>94</v>
      </c>
      <c r="D653" s="3" t="s">
        <v>47</v>
      </c>
      <c r="E653" s="4" t="s">
        <v>1176</v>
      </c>
      <c r="G653" s="4">
        <v>45626.809027777781</v>
      </c>
      <c r="H653" s="5">
        <v>32</v>
      </c>
      <c r="I653" s="3" t="s">
        <v>73</v>
      </c>
      <c r="J653" s="3" t="s">
        <v>67</v>
      </c>
      <c r="K653" s="5">
        <v>25</v>
      </c>
      <c r="L653" s="5">
        <v>5</v>
      </c>
      <c r="M653" s="3" t="s">
        <v>41</v>
      </c>
      <c r="N653" t="s">
        <v>69</v>
      </c>
      <c r="O653" s="5">
        <v>2</v>
      </c>
      <c r="P653" s="3" t="s">
        <v>25</v>
      </c>
      <c r="Q653" s="2">
        <v>122.12</v>
      </c>
      <c r="R653" s="3" t="s">
        <v>75</v>
      </c>
      <c r="S653">
        <f>COUNTIF(A:A,A653)</f>
        <v>1</v>
      </c>
      <c r="T653" t="str">
        <f>IF(OR(H653="",LOWER(TRIM(H653&amp;""))="missing",LOWER(TRIM(H653&amp;""))=""),"Missing/",IFERROR(IF(OR(VALUE(H653)&lt;0,VALUE(H653)&gt;110),"Invalid","Valid"),"Check Format"))</f>
        <v>Valid</v>
      </c>
      <c r="U653">
        <f>IF(Raw_Data[[#This Row],[Age_Check]]="Valid",H653,"")</f>
        <v>32</v>
      </c>
      <c r="V653" t="str">
        <f>IF(OR(K653="",UPPER(TRIM(K653&amp;""))="",LOWER(TRIM(K653&amp;""))="",LOWER(TRIM(K653&amp;""))="",LOWER(TRIM(K653&amp;""))="missing"),"Missing/",IFERROR(IF(VALUE(K653)&lt;0,"Invalid","Valid"),"Check Format"))</f>
        <v>Valid</v>
      </c>
      <c r="W653" t="str">
        <f>IF(OR(E653="",F653=""),"Missing Date/Time",IFERROR(IF(F653&gt;E653,"Arrival After Appointment","OK"),"Check Format"))</f>
        <v>Missing Date/Time</v>
      </c>
      <c r="X653" t="str">
        <f>IF(OR(F653="",G653=""),"Missing Date/Time",IFERROR(IF(G653&lt;F653,"Discharge Before Arrival","OK"),"Check Format"))</f>
        <v>Missing Date/Time</v>
      </c>
    </row>
    <row r="654" spans="1:24" x14ac:dyDescent="0.25">
      <c r="A654" s="2" t="s">
        <v>1177</v>
      </c>
      <c r="B654" s="2" t="s">
        <v>769</v>
      </c>
      <c r="C654" s="3" t="s">
        <v>19</v>
      </c>
      <c r="D654" s="3" t="s">
        <v>38</v>
      </c>
      <c r="E654" s="4">
        <v>45566.725694444445</v>
      </c>
      <c r="F654" s="4">
        <v>45301.707638888889</v>
      </c>
      <c r="G654" s="4">
        <v>45301.838888888888</v>
      </c>
      <c r="H654" s="5">
        <v>27</v>
      </c>
      <c r="I654" s="3" t="s">
        <v>39</v>
      </c>
      <c r="J654" s="3" t="s">
        <v>150</v>
      </c>
      <c r="K654" s="5">
        <v>96</v>
      </c>
      <c r="L654" s="5">
        <v>67</v>
      </c>
      <c r="M654" s="3" t="s">
        <v>63</v>
      </c>
      <c r="O654" s="5">
        <v>6</v>
      </c>
      <c r="P654" s="3" t="s">
        <v>25</v>
      </c>
      <c r="Q654" s="2">
        <v>46.64</v>
      </c>
      <c r="R654" s="3" t="s">
        <v>43</v>
      </c>
      <c r="S654">
        <f>COUNTIF(A:A,A654)</f>
        <v>1</v>
      </c>
      <c r="T654" t="str">
        <f>IF(OR(H654="",LOWER(TRIM(H654&amp;""))="missing",LOWER(TRIM(H654&amp;""))=""),"Missing/",IFERROR(IF(OR(VALUE(H654)&lt;0,VALUE(H654)&gt;110),"Invalid","Valid"),"Check Format"))</f>
        <v>Valid</v>
      </c>
      <c r="U654">
        <f>IF(Raw_Data[[#This Row],[Age_Check]]="Valid",H654,"")</f>
        <v>27</v>
      </c>
      <c r="V654" t="str">
        <f>IF(OR(K654="",UPPER(TRIM(K654&amp;""))="",LOWER(TRIM(K654&amp;""))="",LOWER(TRIM(K654&amp;""))="",LOWER(TRIM(K654&amp;""))="missing"),"Missing/",IFERROR(IF(VALUE(K654)&lt;0,"Invalid","Valid"),"Check Format"))</f>
        <v>Valid</v>
      </c>
      <c r="W654" t="str">
        <f>IF(OR(E654="",F654=""),"Missing Date/Time",IFERROR(IF(F654&gt;E654,"Arrival After Appointment","OK"),"Check Format"))</f>
        <v>OK</v>
      </c>
      <c r="X654" t="str">
        <f>IF(OR(F654="",G654=""),"Missing Date/Time",IFERROR(IF(G654&lt;F654,"Discharge Before Arrival","OK"),"Check Format"))</f>
        <v>OK</v>
      </c>
    </row>
    <row r="655" spans="1:24" x14ac:dyDescent="0.25">
      <c r="A655" s="2" t="s">
        <v>1178</v>
      </c>
      <c r="B655" s="2" t="s">
        <v>1179</v>
      </c>
      <c r="C655" s="3" t="s">
        <v>29</v>
      </c>
      <c r="D655" s="3" t="s">
        <v>61</v>
      </c>
      <c r="E655" s="4">
        <v>45757.78125</v>
      </c>
      <c r="G655" s="4">
        <v>45757.849305555559</v>
      </c>
      <c r="I655" s="3" t="s">
        <v>73</v>
      </c>
      <c r="K655" s="5">
        <v>75</v>
      </c>
      <c r="L655" s="5">
        <v>23</v>
      </c>
      <c r="M655" s="3" t="s">
        <v>50</v>
      </c>
      <c r="N655" t="s">
        <v>91</v>
      </c>
      <c r="O655" s="5">
        <v>0</v>
      </c>
      <c r="P655" s="3" t="s">
        <v>25</v>
      </c>
      <c r="Q655" s="2">
        <v>136.52000000000001</v>
      </c>
      <c r="R655" s="3" t="s">
        <v>58</v>
      </c>
      <c r="S655">
        <f>COUNTIF(A:A,A655)</f>
        <v>1</v>
      </c>
      <c r="T655" t="str">
        <f>IF(OR(H655="",LOWER(TRIM(H655&amp;""))="missing",LOWER(TRIM(H655&amp;""))=""),"Missing/",IFERROR(IF(OR(VALUE(H655)&lt;0,VALUE(H655)&gt;110),"Invalid","Valid"),"Check Format"))</f>
        <v>Missing/</v>
      </c>
      <c r="U655" t="str">
        <f>IF(Raw_Data[[#This Row],[Age_Check]]="Valid",H655,"")</f>
        <v/>
      </c>
      <c r="V655" t="str">
        <f>IF(OR(K655="",UPPER(TRIM(K655&amp;""))="",LOWER(TRIM(K655&amp;""))="",LOWER(TRIM(K655&amp;""))="",LOWER(TRIM(K655&amp;""))="missing"),"Missing/",IFERROR(IF(VALUE(K655)&lt;0,"Invalid","Valid"),"Check Format"))</f>
        <v>Valid</v>
      </c>
      <c r="W655" t="str">
        <f>IF(OR(E655="",F655=""),"Missing Date/Time",IFERROR(IF(F655&gt;E655,"Arrival After Appointment","OK"),"Check Format"))</f>
        <v>Missing Date/Time</v>
      </c>
      <c r="X655" t="str">
        <f>IF(OR(F655="",G655=""),"Missing Date/Time",IFERROR(IF(G655&lt;F655,"Discharge Before Arrival","OK"),"Check Format"))</f>
        <v>Missing Date/Time</v>
      </c>
    </row>
    <row r="656" spans="1:24" x14ac:dyDescent="0.25">
      <c r="A656" s="2" t="s">
        <v>1180</v>
      </c>
      <c r="B656" s="2" t="s">
        <v>1181</v>
      </c>
      <c r="D656" s="3" t="s">
        <v>20</v>
      </c>
      <c r="E656" s="4">
        <v>45696.458333333336</v>
      </c>
      <c r="F656" s="4">
        <v>45696.458333333336</v>
      </c>
      <c r="G656" s="4">
        <v>45696.565972222219</v>
      </c>
      <c r="H656" s="5">
        <v>145</v>
      </c>
      <c r="K656" s="5">
        <v>150</v>
      </c>
      <c r="L656" s="5">
        <v>5</v>
      </c>
      <c r="N656" t="s">
        <v>74</v>
      </c>
      <c r="O656" s="5">
        <v>6</v>
      </c>
      <c r="P656" s="3" t="s">
        <v>42</v>
      </c>
      <c r="R656" s="3" t="s">
        <v>26</v>
      </c>
      <c r="S656">
        <f>COUNTIF(A:A,A656)</f>
        <v>1</v>
      </c>
      <c r="T656" t="str">
        <f>IF(OR(H656="",LOWER(TRIM(H656&amp;""))="missing",LOWER(TRIM(H656&amp;""))=""),"Missing/",IFERROR(IF(OR(VALUE(H656)&lt;0,VALUE(H656)&gt;110),"Invalid","Valid"),"Check Format"))</f>
        <v>Invalid</v>
      </c>
      <c r="U656" t="str">
        <f>IF(Raw_Data[[#This Row],[Age_Check]]="Valid",H656,"")</f>
        <v/>
      </c>
      <c r="V656" t="str">
        <f>IF(OR(K656="",UPPER(TRIM(K656&amp;""))="",LOWER(TRIM(K656&amp;""))="",LOWER(TRIM(K656&amp;""))="",LOWER(TRIM(K656&amp;""))="missing"),"Missing/",IFERROR(IF(VALUE(K656)&lt;0,"Invalid","Valid"),"Check Format"))</f>
        <v>Valid</v>
      </c>
      <c r="W656" t="str">
        <f>IF(OR(E656="",F656=""),"Missing Date/Time",IFERROR(IF(F656&gt;E656,"Arrival After Appointment","OK"),"Check Format"))</f>
        <v>OK</v>
      </c>
      <c r="X656" t="str">
        <f>IF(OR(F656="",G656=""),"Missing Date/Time",IFERROR(IF(G656&lt;F656,"Discharge Before Arrival","OK"),"Check Format"))</f>
        <v>OK</v>
      </c>
    </row>
    <row r="657" spans="1:24" x14ac:dyDescent="0.25">
      <c r="A657" s="2" t="s">
        <v>1182</v>
      </c>
      <c r="B657" s="2" t="s">
        <v>631</v>
      </c>
      <c r="C657" s="3" t="s">
        <v>37</v>
      </c>
      <c r="D657" s="3" t="s">
        <v>99</v>
      </c>
      <c r="E657" s="4" t="s">
        <v>1183</v>
      </c>
      <c r="G657" s="4">
        <v>45410.511111111111</v>
      </c>
      <c r="H657" s="5">
        <v>82</v>
      </c>
      <c r="I657" s="3" t="s">
        <v>73</v>
      </c>
      <c r="K657" s="5">
        <v>66</v>
      </c>
      <c r="L657" s="5">
        <v>40</v>
      </c>
      <c r="M657" s="3" t="s">
        <v>87</v>
      </c>
      <c r="N657" t="s">
        <v>100</v>
      </c>
      <c r="O657" s="5">
        <v>3</v>
      </c>
      <c r="P657" s="3" t="s">
        <v>42</v>
      </c>
      <c r="Q657" s="2">
        <v>231.86</v>
      </c>
      <c r="R657" s="3" t="s">
        <v>75</v>
      </c>
      <c r="S657">
        <f>COUNTIF(A:A,A657)</f>
        <v>1</v>
      </c>
      <c r="T657" t="str">
        <f>IF(OR(H657="",LOWER(TRIM(H657&amp;""))="missing",LOWER(TRIM(H657&amp;""))=""),"Missing/",IFERROR(IF(OR(VALUE(H657)&lt;0,VALUE(H657)&gt;110),"Invalid","Valid"),"Check Format"))</f>
        <v>Valid</v>
      </c>
      <c r="U657">
        <f>IF(Raw_Data[[#This Row],[Age_Check]]="Valid",H657,"")</f>
        <v>82</v>
      </c>
      <c r="V657" t="str">
        <f>IF(OR(K657="",UPPER(TRIM(K657&amp;""))="",LOWER(TRIM(K657&amp;""))="",LOWER(TRIM(K657&amp;""))="",LOWER(TRIM(K657&amp;""))="missing"),"Missing/",IFERROR(IF(VALUE(K657)&lt;0,"Invalid","Valid"),"Check Format"))</f>
        <v>Valid</v>
      </c>
      <c r="W657" t="str">
        <f>IF(OR(E657="",F657=""),"Missing Date/Time",IFERROR(IF(F657&gt;E657,"Arrival After Appointment","OK"),"Check Format"))</f>
        <v>Missing Date/Time</v>
      </c>
      <c r="X657" t="str">
        <f>IF(OR(F657="",G657=""),"Missing Date/Time",IFERROR(IF(G657&lt;F657,"Discharge Before Arrival","OK"),"Check Format"))</f>
        <v>Missing Date/Time</v>
      </c>
    </row>
    <row r="658" spans="1:24" x14ac:dyDescent="0.25">
      <c r="A658" s="2" t="s">
        <v>1184</v>
      </c>
      <c r="B658" s="2" t="s">
        <v>469</v>
      </c>
      <c r="C658" s="3" t="s">
        <v>19</v>
      </c>
      <c r="D658" s="3" t="s">
        <v>61</v>
      </c>
      <c r="E658" s="4">
        <v>45459.503472222219</v>
      </c>
      <c r="F658" s="4">
        <v>45459.503472222219</v>
      </c>
      <c r="G658" s="4">
        <v>45459.571527777778</v>
      </c>
      <c r="H658" s="5">
        <v>34</v>
      </c>
      <c r="I658" s="3" t="s">
        <v>73</v>
      </c>
      <c r="J658" s="3" t="s">
        <v>22</v>
      </c>
      <c r="K658" s="5">
        <v>61</v>
      </c>
      <c r="L658" s="5">
        <v>37</v>
      </c>
      <c r="M658" s="3" t="s">
        <v>32</v>
      </c>
      <c r="N658" t="s">
        <v>91</v>
      </c>
      <c r="O658" s="5">
        <v>6</v>
      </c>
      <c r="P658" s="3" t="s">
        <v>80</v>
      </c>
      <c r="Q658" s="2">
        <v>113.67</v>
      </c>
      <c r="R658" s="3" t="s">
        <v>58</v>
      </c>
      <c r="S658">
        <f>COUNTIF(A:A,A658)</f>
        <v>1</v>
      </c>
      <c r="T658" t="str">
        <f>IF(OR(H658="",LOWER(TRIM(H658&amp;""))="missing",LOWER(TRIM(H658&amp;""))=""),"Missing/",IFERROR(IF(OR(VALUE(H658)&lt;0,VALUE(H658)&gt;110),"Invalid","Valid"),"Check Format"))</f>
        <v>Valid</v>
      </c>
      <c r="U658">
        <f>IF(Raw_Data[[#This Row],[Age_Check]]="Valid",H658,"")</f>
        <v>34</v>
      </c>
      <c r="V658" t="str">
        <f>IF(OR(K658="",UPPER(TRIM(K658&amp;""))="",LOWER(TRIM(K658&amp;""))="",LOWER(TRIM(K658&amp;""))="",LOWER(TRIM(K658&amp;""))="missing"),"Missing/",IFERROR(IF(VALUE(K658)&lt;0,"Invalid","Valid"),"Check Format"))</f>
        <v>Valid</v>
      </c>
      <c r="W658" t="str">
        <f>IF(OR(E658="",F658=""),"Missing Date/Time",IFERROR(IF(F658&gt;E658,"Arrival After Appointment","OK"),"Check Format"))</f>
        <v>OK</v>
      </c>
      <c r="X658" t="str">
        <f>IF(OR(F658="",G658=""),"Missing Date/Time",IFERROR(IF(G658&lt;F658,"Discharge Before Arrival","OK"),"Check Format"))</f>
        <v>OK</v>
      </c>
    </row>
    <row r="659" spans="1:24" x14ac:dyDescent="0.25">
      <c r="A659" s="2" t="s">
        <v>1185</v>
      </c>
      <c r="B659" s="2" t="s">
        <v>167</v>
      </c>
      <c r="C659" s="3" t="s">
        <v>46</v>
      </c>
      <c r="D659" s="3" t="s">
        <v>38</v>
      </c>
      <c r="E659" s="4">
        <v>45386.506944444445</v>
      </c>
      <c r="F659" s="4">
        <v>45386.493750000001</v>
      </c>
      <c r="G659" s="4">
        <v>45386.570833333331</v>
      </c>
      <c r="H659" s="5">
        <v>8</v>
      </c>
      <c r="I659" s="3" t="s">
        <v>95</v>
      </c>
      <c r="J659" s="3" t="s">
        <v>67</v>
      </c>
      <c r="K659" s="5">
        <v>67</v>
      </c>
      <c r="L659" s="5">
        <v>25</v>
      </c>
      <c r="M659" s="3" t="s">
        <v>41</v>
      </c>
      <c r="N659" t="s">
        <v>69</v>
      </c>
      <c r="O659" s="5">
        <v>5</v>
      </c>
      <c r="P659" s="3" t="s">
        <v>80</v>
      </c>
      <c r="Q659" s="2">
        <v>194.73</v>
      </c>
      <c r="R659" s="3" t="s">
        <v>75</v>
      </c>
      <c r="S659">
        <f>COUNTIF(A:A,A659)</f>
        <v>1</v>
      </c>
      <c r="T659" t="str">
        <f>IF(OR(H659="",LOWER(TRIM(H659&amp;""))="missing",LOWER(TRIM(H659&amp;""))=""),"Missing/",IFERROR(IF(OR(VALUE(H659)&lt;0,VALUE(H659)&gt;110),"Invalid","Valid"),"Check Format"))</f>
        <v>Valid</v>
      </c>
      <c r="U659">
        <f>IF(Raw_Data[[#This Row],[Age_Check]]="Valid",H659,"")</f>
        <v>8</v>
      </c>
      <c r="V659" t="str">
        <f>IF(OR(K659="",UPPER(TRIM(K659&amp;""))="",LOWER(TRIM(K659&amp;""))="",LOWER(TRIM(K659&amp;""))="",LOWER(TRIM(K659&amp;""))="missing"),"Missing/",IFERROR(IF(VALUE(K659)&lt;0,"Invalid","Valid"),"Check Format"))</f>
        <v>Valid</v>
      </c>
      <c r="W659" t="str">
        <f>IF(OR(E659="",F659=""),"Missing Date/Time",IFERROR(IF(F659&gt;E659,"Arrival After Appointment","OK"),"Check Format"))</f>
        <v>OK</v>
      </c>
      <c r="X659" t="str">
        <f>IF(OR(F659="",G659=""),"Missing Date/Time",IFERROR(IF(G659&lt;F659,"Discharge Before Arrival","OK"),"Check Format"))</f>
        <v>OK</v>
      </c>
    </row>
    <row r="660" spans="1:24" x14ac:dyDescent="0.25">
      <c r="A660" s="2" t="s">
        <v>1186</v>
      </c>
      <c r="B660" s="2" t="s">
        <v>657</v>
      </c>
      <c r="D660" s="3" t="s">
        <v>20</v>
      </c>
      <c r="E660" s="4">
        <v>45734.361111111109</v>
      </c>
      <c r="F660" s="4">
        <v>45734.345138888886</v>
      </c>
      <c r="G660" s="4">
        <v>45734.418749999997</v>
      </c>
      <c r="I660" s="3" t="s">
        <v>73</v>
      </c>
      <c r="J660" s="3" t="s">
        <v>67</v>
      </c>
      <c r="K660" s="5">
        <v>1440</v>
      </c>
      <c r="L660" s="5">
        <v>38</v>
      </c>
      <c r="M660" s="3" t="s">
        <v>32</v>
      </c>
      <c r="N660" t="s">
        <v>69</v>
      </c>
      <c r="O660" s="5">
        <v>3</v>
      </c>
      <c r="P660" s="3" t="s">
        <v>25</v>
      </c>
      <c r="R660" s="3" t="s">
        <v>43</v>
      </c>
      <c r="S660">
        <f>COUNTIF(A:A,A660)</f>
        <v>1</v>
      </c>
      <c r="T660" t="str">
        <f>IF(OR(H660="",LOWER(TRIM(H660&amp;""))="missing",LOWER(TRIM(H660&amp;""))=""),"Missing/",IFERROR(IF(OR(VALUE(H660)&lt;0,VALUE(H660)&gt;110),"Invalid","Valid"),"Check Format"))</f>
        <v>Missing/</v>
      </c>
      <c r="U660" t="str">
        <f>IF(Raw_Data[[#This Row],[Age_Check]]="Valid",H660,"")</f>
        <v/>
      </c>
      <c r="V660" t="str">
        <f>IF(OR(K660="",UPPER(TRIM(K660&amp;""))="",LOWER(TRIM(K660&amp;""))="",LOWER(TRIM(K660&amp;""))="",LOWER(TRIM(K660&amp;""))="missing"),"Missing/",IFERROR(IF(VALUE(K660)&lt;0,"Invalid","Valid"),"Check Format"))</f>
        <v>Valid</v>
      </c>
      <c r="W660" t="str">
        <f>IF(OR(E660="",F660=""),"Missing Date/Time",IFERROR(IF(F660&gt;E660,"Arrival After Appointment","OK"),"Check Format"))</f>
        <v>OK</v>
      </c>
      <c r="X660" t="str">
        <f>IF(OR(F660="",G660=""),"Missing Date/Time",IFERROR(IF(G660&lt;F660,"Discharge Before Arrival","OK"),"Check Format"))</f>
        <v>OK</v>
      </c>
    </row>
    <row r="661" spans="1:24" x14ac:dyDescent="0.25">
      <c r="A661" s="2" t="s">
        <v>1187</v>
      </c>
      <c r="B661" s="2" t="s">
        <v>564</v>
      </c>
      <c r="D661" s="3" t="s">
        <v>99</v>
      </c>
      <c r="E661" s="4">
        <v>45673.725694444445</v>
      </c>
      <c r="F661" s="4">
        <v>45673.707638888889</v>
      </c>
      <c r="H661" s="5">
        <v>66</v>
      </c>
      <c r="J661" s="3" t="s">
        <v>67</v>
      </c>
      <c r="K661" s="5">
        <v>56</v>
      </c>
      <c r="L661" s="5">
        <v>52</v>
      </c>
      <c r="M661" s="3" t="s">
        <v>68</v>
      </c>
      <c r="N661" t="s">
        <v>24</v>
      </c>
      <c r="O661" s="5">
        <v>6</v>
      </c>
      <c r="P661" s="3" t="s">
        <v>42</v>
      </c>
      <c r="Q661" s="2">
        <v>140.88999999999999</v>
      </c>
      <c r="R661" s="3" t="s">
        <v>58</v>
      </c>
      <c r="S661">
        <f>COUNTIF(A:A,A661)</f>
        <v>1</v>
      </c>
      <c r="T661" t="str">
        <f>IF(OR(H661="",LOWER(TRIM(H661&amp;""))="missing",LOWER(TRIM(H661&amp;""))=""),"Missing/",IFERROR(IF(OR(VALUE(H661)&lt;0,VALUE(H661)&gt;110),"Invalid","Valid"),"Check Format"))</f>
        <v>Valid</v>
      </c>
      <c r="U661">
        <f>IF(Raw_Data[[#This Row],[Age_Check]]="Valid",H661,"")</f>
        <v>66</v>
      </c>
      <c r="V661" t="str">
        <f>IF(OR(K661="",UPPER(TRIM(K661&amp;""))="",LOWER(TRIM(K661&amp;""))="",LOWER(TRIM(K661&amp;""))="",LOWER(TRIM(K661&amp;""))="missing"),"Missing/",IFERROR(IF(VALUE(K661)&lt;0,"Invalid","Valid"),"Check Format"))</f>
        <v>Valid</v>
      </c>
      <c r="W661" t="str">
        <f>IF(OR(E661="",F661=""),"Missing Date/Time",IFERROR(IF(F661&gt;E661,"Arrival After Appointment","OK"),"Check Format"))</f>
        <v>OK</v>
      </c>
      <c r="X661" t="str">
        <f>IF(OR(F661="",G661=""),"Missing Date/Time",IFERROR(IF(G661&lt;F661,"Discharge Before Arrival","OK"),"Check Format"))</f>
        <v>Missing Date/Time</v>
      </c>
    </row>
    <row r="662" spans="1:24" x14ac:dyDescent="0.25">
      <c r="A662" s="2" t="s">
        <v>1188</v>
      </c>
      <c r="B662" s="2" t="s">
        <v>556</v>
      </c>
      <c r="C662" s="3" t="s">
        <v>19</v>
      </c>
      <c r="D662" s="3" t="s">
        <v>106</v>
      </c>
      <c r="E662" s="4">
        <v>45616.430555555555</v>
      </c>
      <c r="G662" s="4">
        <v>45616.468055555553</v>
      </c>
      <c r="I662" s="3" t="s">
        <v>95</v>
      </c>
      <c r="K662" s="5">
        <v>0</v>
      </c>
      <c r="L662" s="5">
        <v>54</v>
      </c>
      <c r="M662" s="3" t="s">
        <v>68</v>
      </c>
      <c r="N662" t="s">
        <v>103</v>
      </c>
      <c r="O662" s="5">
        <v>3</v>
      </c>
      <c r="P662" s="3" t="s">
        <v>25</v>
      </c>
      <c r="Q662" s="2">
        <v>72.540000000000006</v>
      </c>
      <c r="R662" s="3" t="s">
        <v>58</v>
      </c>
      <c r="S662">
        <f>COUNTIF(A:A,A662)</f>
        <v>1</v>
      </c>
      <c r="T662" t="str">
        <f>IF(OR(H662="",LOWER(TRIM(H662&amp;""))="missing",LOWER(TRIM(H662&amp;""))=""),"Missing/",IFERROR(IF(OR(VALUE(H662)&lt;0,VALUE(H662)&gt;110),"Invalid","Valid"),"Check Format"))</f>
        <v>Missing/</v>
      </c>
      <c r="U662" t="str">
        <f>IF(Raw_Data[[#This Row],[Age_Check]]="Valid",H662,"")</f>
        <v/>
      </c>
      <c r="V662" t="str">
        <f>IF(OR(K662="",UPPER(TRIM(K662&amp;""))="",LOWER(TRIM(K662&amp;""))="",LOWER(TRIM(K662&amp;""))="",LOWER(TRIM(K662&amp;""))="missing"),"Missing/",IFERROR(IF(VALUE(K662)&lt;0,"Invalid","Valid"),"Check Format"))</f>
        <v>Valid</v>
      </c>
      <c r="W662" t="str">
        <f>IF(OR(E662="",F662=""),"Missing Date/Time",IFERROR(IF(F662&gt;E662,"Arrival After Appointment","OK"),"Check Format"))</f>
        <v>Missing Date/Time</v>
      </c>
      <c r="X662" t="str">
        <f>IF(OR(F662="",G662=""),"Missing Date/Time",IFERROR(IF(G662&lt;F662,"Discharge Before Arrival","OK"),"Check Format"))</f>
        <v>Missing Date/Time</v>
      </c>
    </row>
    <row r="663" spans="1:24" x14ac:dyDescent="0.25">
      <c r="A663" s="2" t="s">
        <v>1189</v>
      </c>
      <c r="B663" s="2" t="s">
        <v>1109</v>
      </c>
      <c r="C663" s="3" t="s">
        <v>19</v>
      </c>
      <c r="D663" s="3" t="s">
        <v>106</v>
      </c>
      <c r="E663" s="4">
        <v>45583.506944444445</v>
      </c>
      <c r="F663" s="4">
        <v>45583.504861111112</v>
      </c>
      <c r="G663" s="4">
        <v>45583.54583333333</v>
      </c>
      <c r="H663" s="5">
        <v>42</v>
      </c>
      <c r="I663" s="3" t="s">
        <v>95</v>
      </c>
      <c r="J663" s="3" t="s">
        <v>62</v>
      </c>
      <c r="K663" s="5">
        <v>35</v>
      </c>
      <c r="L663" s="5">
        <v>21</v>
      </c>
      <c r="M663" s="3" t="s">
        <v>50</v>
      </c>
      <c r="O663" s="5">
        <v>1</v>
      </c>
      <c r="P663" s="3" t="s">
        <v>25</v>
      </c>
      <c r="Q663" s="2">
        <v>254.96</v>
      </c>
      <c r="R663" s="3" t="s">
        <v>26</v>
      </c>
      <c r="S663">
        <f>COUNTIF(A:A,A663)</f>
        <v>1</v>
      </c>
      <c r="T663" t="str">
        <f>IF(OR(H663="",LOWER(TRIM(H663&amp;""))="missing",LOWER(TRIM(H663&amp;""))=""),"Missing/",IFERROR(IF(OR(VALUE(H663)&lt;0,VALUE(H663)&gt;110),"Invalid","Valid"),"Check Format"))</f>
        <v>Valid</v>
      </c>
      <c r="U663">
        <f>IF(Raw_Data[[#This Row],[Age_Check]]="Valid",H663,"")</f>
        <v>42</v>
      </c>
      <c r="V663" t="str">
        <f>IF(OR(K663="",UPPER(TRIM(K663&amp;""))="",LOWER(TRIM(K663&amp;""))="",LOWER(TRIM(K663&amp;""))="",LOWER(TRIM(K663&amp;""))="missing"),"Missing/",IFERROR(IF(VALUE(K663)&lt;0,"Invalid","Valid"),"Check Format"))</f>
        <v>Valid</v>
      </c>
      <c r="W663" t="str">
        <f>IF(OR(E663="",F663=""),"Missing Date/Time",IFERROR(IF(F663&gt;E663,"Arrival After Appointment","OK"),"Check Format"))</f>
        <v>OK</v>
      </c>
      <c r="X663" t="str">
        <f>IF(OR(F663="",G663=""),"Missing Date/Time",IFERROR(IF(G663&lt;F663,"Discharge Before Arrival","OK"),"Check Format"))</f>
        <v>OK</v>
      </c>
    </row>
    <row r="664" spans="1:24" x14ac:dyDescent="0.25">
      <c r="A664" s="2" t="s">
        <v>1190</v>
      </c>
      <c r="B664" s="2" t="s">
        <v>988</v>
      </c>
      <c r="C664" s="3" t="s">
        <v>46</v>
      </c>
      <c r="D664" s="3" t="s">
        <v>61</v>
      </c>
      <c r="E664" s="4" t="s">
        <v>1191</v>
      </c>
      <c r="F664" s="4">
        <v>46021.636805555558</v>
      </c>
      <c r="G664" s="4">
        <v>46021.717361111114</v>
      </c>
      <c r="I664" s="3" t="s">
        <v>95</v>
      </c>
      <c r="K664" s="5">
        <v>0</v>
      </c>
      <c r="L664" s="5">
        <v>88</v>
      </c>
      <c r="M664" s="3" t="s">
        <v>68</v>
      </c>
      <c r="N664" t="s">
        <v>100</v>
      </c>
      <c r="O664" s="5">
        <v>1</v>
      </c>
      <c r="P664" s="3" t="s">
        <v>25</v>
      </c>
      <c r="Q664" s="2">
        <v>229.48</v>
      </c>
      <c r="R664" s="3" t="s">
        <v>58</v>
      </c>
      <c r="S664">
        <f>COUNTIF(A:A,A664)</f>
        <v>1</v>
      </c>
      <c r="T664" t="str">
        <f>IF(OR(H664="",LOWER(TRIM(H664&amp;""))="missing",LOWER(TRIM(H664&amp;""))=""),"Missing/",IFERROR(IF(OR(VALUE(H664)&lt;0,VALUE(H664)&gt;110),"Invalid","Valid"),"Check Format"))</f>
        <v>Missing/</v>
      </c>
      <c r="U664" t="str">
        <f>IF(Raw_Data[[#This Row],[Age_Check]]="Valid",H664,"")</f>
        <v/>
      </c>
      <c r="V664" t="str">
        <f>IF(OR(K664="",UPPER(TRIM(K664&amp;""))="",LOWER(TRIM(K664&amp;""))="",LOWER(TRIM(K664&amp;""))="",LOWER(TRIM(K664&amp;""))="missing"),"Missing/",IFERROR(IF(VALUE(K664)&lt;0,"Invalid","Valid"),"Check Format"))</f>
        <v>Valid</v>
      </c>
      <c r="W664" t="str">
        <f>IF(OR(E664="",F664=""),"Missing Date/Time",IFERROR(IF(F664&gt;E664,"Arrival After Appointment","OK"),"Check Format"))</f>
        <v>OK</v>
      </c>
      <c r="X664" t="str">
        <f>IF(OR(F664="",G664=""),"Missing Date/Time",IFERROR(IF(G664&lt;F664,"Discharge Before Arrival","OK"),"Check Format"))</f>
        <v>OK</v>
      </c>
    </row>
    <row r="665" spans="1:24" x14ac:dyDescent="0.25">
      <c r="A665" s="2" t="s">
        <v>1192</v>
      </c>
      <c r="B665" s="2" t="s">
        <v>1193</v>
      </c>
      <c r="C665" s="3" t="s">
        <v>94</v>
      </c>
      <c r="D665" s="3" t="s">
        <v>209</v>
      </c>
      <c r="E665" s="4">
        <v>45562.40625</v>
      </c>
      <c r="F665" s="4">
        <v>45562.386111111111</v>
      </c>
      <c r="G665" s="4">
        <v>45562.472916666666</v>
      </c>
      <c r="H665" s="5">
        <v>13</v>
      </c>
      <c r="I665" s="3" t="s">
        <v>73</v>
      </c>
      <c r="K665" s="5">
        <v>65</v>
      </c>
      <c r="L665" s="5">
        <v>31</v>
      </c>
      <c r="M665" s="3" t="s">
        <v>50</v>
      </c>
      <c r="N665" t="s">
        <v>69</v>
      </c>
      <c r="O665" s="5">
        <v>5</v>
      </c>
      <c r="P665" s="3" t="s">
        <v>80</v>
      </c>
      <c r="R665" s="3" t="s">
        <v>26</v>
      </c>
      <c r="S665">
        <f>COUNTIF(A:A,A665)</f>
        <v>1</v>
      </c>
      <c r="T665" t="str">
        <f>IF(OR(H665="",LOWER(TRIM(H665&amp;""))="missing",LOWER(TRIM(H665&amp;""))=""),"Missing/",IFERROR(IF(OR(VALUE(H665)&lt;0,VALUE(H665)&gt;110),"Invalid","Valid"),"Check Format"))</f>
        <v>Valid</v>
      </c>
      <c r="U665">
        <f>IF(Raw_Data[[#This Row],[Age_Check]]="Valid",H665,"")</f>
        <v>13</v>
      </c>
      <c r="V665" t="str">
        <f>IF(OR(K665="",UPPER(TRIM(K665&amp;""))="",LOWER(TRIM(K665&amp;""))="",LOWER(TRIM(K665&amp;""))="",LOWER(TRIM(K665&amp;""))="missing"),"Missing/",IFERROR(IF(VALUE(K665)&lt;0,"Invalid","Valid"),"Check Format"))</f>
        <v>Valid</v>
      </c>
      <c r="W665" t="str">
        <f>IF(OR(E665="",F665=""),"Missing Date/Time",IFERROR(IF(F665&gt;E665,"Arrival After Appointment","OK"),"Check Format"))</f>
        <v>OK</v>
      </c>
      <c r="X665" t="str">
        <f>IF(OR(F665="",G665=""),"Missing Date/Time",IFERROR(IF(G665&lt;F665,"Discharge Before Arrival","OK"),"Check Format"))</f>
        <v>OK</v>
      </c>
    </row>
    <row r="666" spans="1:24" x14ac:dyDescent="0.25">
      <c r="A666" s="2" t="s">
        <v>1194</v>
      </c>
      <c r="B666" s="2" t="s">
        <v>517</v>
      </c>
      <c r="C666" s="3" t="s">
        <v>94</v>
      </c>
      <c r="D666" s="3" t="s">
        <v>23</v>
      </c>
      <c r="E666" s="4">
        <v>45484.611111111109</v>
      </c>
      <c r="F666" s="4">
        <v>45484.6</v>
      </c>
      <c r="G666" s="4">
        <v>45484.686111111114</v>
      </c>
      <c r="H666" s="5">
        <v>145</v>
      </c>
      <c r="I666" s="3" t="s">
        <v>95</v>
      </c>
      <c r="J666" s="3" t="s">
        <v>2639</v>
      </c>
      <c r="K666" s="5">
        <v>67</v>
      </c>
      <c r="L666" s="5">
        <v>41</v>
      </c>
      <c r="M666" s="3" t="s">
        <v>63</v>
      </c>
      <c r="N666" t="s">
        <v>103</v>
      </c>
      <c r="O666" s="5">
        <v>2</v>
      </c>
      <c r="P666" s="3" t="s">
        <v>42</v>
      </c>
      <c r="Q666" s="2">
        <v>196.62</v>
      </c>
      <c r="R666" s="3" t="s">
        <v>26</v>
      </c>
      <c r="S666">
        <f>COUNTIF(A:A,A666)</f>
        <v>1</v>
      </c>
      <c r="T666" t="str">
        <f>IF(OR(H666="",LOWER(TRIM(H666&amp;""))="missing",LOWER(TRIM(H666&amp;""))=""),"Missing/",IFERROR(IF(OR(VALUE(H666)&lt;0,VALUE(H666)&gt;110),"Invalid","Valid"),"Check Format"))</f>
        <v>Invalid</v>
      </c>
      <c r="U666" t="str">
        <f>IF(Raw_Data[[#This Row],[Age_Check]]="Valid",H666,"")</f>
        <v/>
      </c>
      <c r="V666" t="str">
        <f>IF(OR(K666="",UPPER(TRIM(K666&amp;""))="",LOWER(TRIM(K666&amp;""))="",LOWER(TRIM(K666&amp;""))="",LOWER(TRIM(K666&amp;""))="missing"),"Missing/",IFERROR(IF(VALUE(K666)&lt;0,"Invalid","Valid"),"Check Format"))</f>
        <v>Valid</v>
      </c>
      <c r="W666" t="str">
        <f>IF(OR(E666="",F666=""),"Missing Date/Time",IFERROR(IF(F666&gt;E666,"Arrival After Appointment","OK"),"Check Format"))</f>
        <v>OK</v>
      </c>
      <c r="X666" t="str">
        <f>IF(OR(F666="",G666=""),"Missing Date/Time",IFERROR(IF(G666&lt;F666,"Discharge Before Arrival","OK"),"Check Format"))</f>
        <v>OK</v>
      </c>
    </row>
    <row r="667" spans="1:24" x14ac:dyDescent="0.25">
      <c r="A667" s="2" t="s">
        <v>1195</v>
      </c>
      <c r="B667" s="2" t="s">
        <v>855</v>
      </c>
      <c r="C667" s="3" t="s">
        <v>19</v>
      </c>
      <c r="D667" s="3" t="s">
        <v>149</v>
      </c>
      <c r="E667" s="4">
        <v>45487.763888888891</v>
      </c>
      <c r="F667" s="4">
        <v>45487.759027777778</v>
      </c>
      <c r="G667" s="4">
        <v>45487.840277777781</v>
      </c>
      <c r="H667" s="5">
        <v>29</v>
      </c>
      <c r="I667" s="3" t="s">
        <v>95</v>
      </c>
      <c r="J667" s="3" t="s">
        <v>171</v>
      </c>
      <c r="K667" s="5">
        <v>77</v>
      </c>
      <c r="L667" s="5">
        <v>33</v>
      </c>
      <c r="M667" s="3" t="s">
        <v>23</v>
      </c>
      <c r="N667" t="s">
        <v>69</v>
      </c>
      <c r="P667" s="3" t="s">
        <v>25</v>
      </c>
      <c r="Q667" s="2">
        <v>129.21</v>
      </c>
      <c r="R667" s="3" t="s">
        <v>43</v>
      </c>
      <c r="S667">
        <f>COUNTIF(A:A,A667)</f>
        <v>1</v>
      </c>
      <c r="T667" t="str">
        <f>IF(OR(H667="",LOWER(TRIM(H667&amp;""))="missing",LOWER(TRIM(H667&amp;""))=""),"Missing/",IFERROR(IF(OR(VALUE(H667)&lt;0,VALUE(H667)&gt;110),"Invalid","Valid"),"Check Format"))</f>
        <v>Valid</v>
      </c>
      <c r="U667">
        <f>IF(Raw_Data[[#This Row],[Age_Check]]="Valid",H667,"")</f>
        <v>29</v>
      </c>
      <c r="V667" t="str">
        <f>IF(OR(K667="",UPPER(TRIM(K667&amp;""))="",LOWER(TRIM(K667&amp;""))="",LOWER(TRIM(K667&amp;""))="",LOWER(TRIM(K667&amp;""))="missing"),"Missing/",IFERROR(IF(VALUE(K667)&lt;0,"Invalid","Valid"),"Check Format"))</f>
        <v>Valid</v>
      </c>
      <c r="W667" t="str">
        <f>IF(OR(E667="",F667=""),"Missing Date/Time",IFERROR(IF(F667&gt;E667,"Arrival After Appointment","OK"),"Check Format"))</f>
        <v>OK</v>
      </c>
      <c r="X667" t="str">
        <f>IF(OR(F667="",G667=""),"Missing Date/Time",IFERROR(IF(G667&lt;F667,"Discharge Before Arrival","OK"),"Check Format"))</f>
        <v>OK</v>
      </c>
    </row>
    <row r="668" spans="1:24" x14ac:dyDescent="0.25">
      <c r="A668" s="2" t="s">
        <v>1196</v>
      </c>
      <c r="B668" s="2" t="s">
        <v>400</v>
      </c>
      <c r="C668" s="3" t="s">
        <v>19</v>
      </c>
      <c r="D668" s="3" t="s">
        <v>55</v>
      </c>
      <c r="E668" s="4">
        <v>45401.510416666664</v>
      </c>
      <c r="F668" s="4">
        <v>45401.503472222219</v>
      </c>
      <c r="G668" s="4">
        <v>45401.565972222219</v>
      </c>
      <c r="H668" s="5">
        <v>145</v>
      </c>
      <c r="I668" s="3" t="s">
        <v>90</v>
      </c>
      <c r="J668" s="3" t="s">
        <v>62</v>
      </c>
      <c r="K668" s="5">
        <v>52</v>
      </c>
      <c r="L668" s="5">
        <v>28</v>
      </c>
      <c r="M668" s="3" t="s">
        <v>32</v>
      </c>
      <c r="N668" t="s">
        <v>24</v>
      </c>
      <c r="O668" s="5">
        <v>0</v>
      </c>
      <c r="P668" s="3" t="s">
        <v>25</v>
      </c>
      <c r="Q668" s="2">
        <v>235.7</v>
      </c>
      <c r="R668" s="3" t="s">
        <v>43</v>
      </c>
      <c r="S668">
        <f>COUNTIF(A:A,A668)</f>
        <v>1</v>
      </c>
      <c r="T668" t="str">
        <f>IF(OR(H668="",LOWER(TRIM(H668&amp;""))="missing",LOWER(TRIM(H668&amp;""))=""),"Missing/",IFERROR(IF(OR(VALUE(H668)&lt;0,VALUE(H668)&gt;110),"Invalid","Valid"),"Check Format"))</f>
        <v>Invalid</v>
      </c>
      <c r="U668" t="str">
        <f>IF(Raw_Data[[#This Row],[Age_Check]]="Valid",H668,"")</f>
        <v/>
      </c>
      <c r="V668" t="str">
        <f>IF(OR(K668="",UPPER(TRIM(K668&amp;""))="",LOWER(TRIM(K668&amp;""))="",LOWER(TRIM(K668&amp;""))="",LOWER(TRIM(K668&amp;""))="missing"),"Missing/",IFERROR(IF(VALUE(K668)&lt;0,"Invalid","Valid"),"Check Format"))</f>
        <v>Valid</v>
      </c>
      <c r="W668" t="str">
        <f>IF(OR(E668="",F668=""),"Missing Date/Time",IFERROR(IF(F668&gt;E668,"Arrival After Appointment","OK"),"Check Format"))</f>
        <v>OK</v>
      </c>
      <c r="X668" t="str">
        <f>IF(OR(F668="",G668=""),"Missing Date/Time",IFERROR(IF(G668&lt;F668,"Discharge Before Arrival","OK"),"Check Format"))</f>
        <v>OK</v>
      </c>
    </row>
    <row r="669" spans="1:24" x14ac:dyDescent="0.25">
      <c r="A669" s="2" t="s">
        <v>1197</v>
      </c>
      <c r="B669" s="2" t="s">
        <v>526</v>
      </c>
      <c r="D669" s="3" t="s">
        <v>55</v>
      </c>
      <c r="E669" s="4">
        <v>45550.3125</v>
      </c>
      <c r="F669" s="4">
        <v>45550.308333333334</v>
      </c>
      <c r="G669" s="4">
        <v>45550.370138888888</v>
      </c>
      <c r="I669" s="3" t="s">
        <v>90</v>
      </c>
      <c r="J669" s="3" t="s">
        <v>62</v>
      </c>
      <c r="K669" s="5">
        <v>78</v>
      </c>
      <c r="L669" s="5">
        <v>5</v>
      </c>
      <c r="M669" s="3" t="s">
        <v>68</v>
      </c>
      <c r="N669" t="s">
        <v>69</v>
      </c>
      <c r="O669" s="5">
        <v>6</v>
      </c>
      <c r="P669" s="3" t="s">
        <v>25</v>
      </c>
      <c r="Q669" s="2">
        <v>197.47</v>
      </c>
      <c r="R669" s="3" t="s">
        <v>75</v>
      </c>
      <c r="S669">
        <f>COUNTIF(A:A,A669)</f>
        <v>1</v>
      </c>
      <c r="T669" t="str">
        <f>IF(OR(H669="",LOWER(TRIM(H669&amp;""))="missing",LOWER(TRIM(H669&amp;""))=""),"Missing/",IFERROR(IF(OR(VALUE(H669)&lt;0,VALUE(H669)&gt;110),"Invalid","Valid"),"Check Format"))</f>
        <v>Missing/</v>
      </c>
      <c r="U669" t="str">
        <f>IF(Raw_Data[[#This Row],[Age_Check]]="Valid",H669,"")</f>
        <v/>
      </c>
      <c r="V669" t="str">
        <f>IF(OR(K669="",UPPER(TRIM(K669&amp;""))="",LOWER(TRIM(K669&amp;""))="",LOWER(TRIM(K669&amp;""))="",LOWER(TRIM(K669&amp;""))="missing"),"Missing/",IFERROR(IF(VALUE(K669)&lt;0,"Invalid","Valid"),"Check Format"))</f>
        <v>Valid</v>
      </c>
      <c r="W669" t="str">
        <f>IF(OR(E669="",F669=""),"Missing Date/Time",IFERROR(IF(F669&gt;E669,"Arrival After Appointment","OK"),"Check Format"))</f>
        <v>OK</v>
      </c>
      <c r="X669" t="str">
        <f>IF(OR(F669="",G669=""),"Missing Date/Time",IFERROR(IF(G669&lt;F669,"Discharge Before Arrival","OK"),"Check Format"))</f>
        <v>OK</v>
      </c>
    </row>
    <row r="670" spans="1:24" x14ac:dyDescent="0.25">
      <c r="A670" s="2" t="s">
        <v>1198</v>
      </c>
      <c r="B670" s="2" t="s">
        <v>1023</v>
      </c>
      <c r="C670" s="3" t="s">
        <v>94</v>
      </c>
      <c r="D670" s="3" t="s">
        <v>55</v>
      </c>
      <c r="E670" s="4">
        <v>45574.604166666664</v>
      </c>
      <c r="G670" s="4">
        <v>45574.670138888891</v>
      </c>
      <c r="H670" s="5">
        <v>49</v>
      </c>
      <c r="J670" s="3" t="s">
        <v>22</v>
      </c>
      <c r="K670" s="5">
        <v>64</v>
      </c>
      <c r="L670" s="5">
        <v>31</v>
      </c>
      <c r="M670" s="3" t="s">
        <v>68</v>
      </c>
      <c r="N670" t="s">
        <v>100</v>
      </c>
      <c r="O670" s="5">
        <v>6</v>
      </c>
      <c r="P670" s="3" t="s">
        <v>25</v>
      </c>
      <c r="Q670" s="2">
        <v>113.92</v>
      </c>
      <c r="R670" s="3" t="s">
        <v>75</v>
      </c>
      <c r="S670">
        <f>COUNTIF(A:A,A670)</f>
        <v>1</v>
      </c>
      <c r="T670" t="str">
        <f>IF(OR(H670="",LOWER(TRIM(H670&amp;""))="missing",LOWER(TRIM(H670&amp;""))=""),"Missing/",IFERROR(IF(OR(VALUE(H670)&lt;0,VALUE(H670)&gt;110),"Invalid","Valid"),"Check Format"))</f>
        <v>Valid</v>
      </c>
      <c r="U670">
        <f>IF(Raw_Data[[#This Row],[Age_Check]]="Valid",H670,"")</f>
        <v>49</v>
      </c>
      <c r="V670" t="str">
        <f>IF(OR(K670="",UPPER(TRIM(K670&amp;""))="",LOWER(TRIM(K670&amp;""))="",LOWER(TRIM(K670&amp;""))="",LOWER(TRIM(K670&amp;""))="missing"),"Missing/",IFERROR(IF(VALUE(K670)&lt;0,"Invalid","Valid"),"Check Format"))</f>
        <v>Valid</v>
      </c>
      <c r="W670" t="str">
        <f>IF(OR(E670="",F670=""),"Missing Date/Time",IFERROR(IF(F670&gt;E670,"Arrival After Appointment","OK"),"Check Format"))</f>
        <v>Missing Date/Time</v>
      </c>
      <c r="X670" t="str">
        <f>IF(OR(F670="",G670=""),"Missing Date/Time",IFERROR(IF(G670&lt;F670,"Discharge Before Arrival","OK"),"Check Format"))</f>
        <v>Missing Date/Time</v>
      </c>
    </row>
    <row r="671" spans="1:24" x14ac:dyDescent="0.25">
      <c r="A671" s="2" t="s">
        <v>1199</v>
      </c>
      <c r="B671" s="2" t="s">
        <v>733</v>
      </c>
      <c r="C671" s="3" t="s">
        <v>37</v>
      </c>
      <c r="D671" s="3" t="s">
        <v>20</v>
      </c>
      <c r="E671" s="4" t="s">
        <v>1200</v>
      </c>
      <c r="F671" s="4">
        <v>45705.280555555553</v>
      </c>
      <c r="G671" s="4">
        <v>45705.396527777775</v>
      </c>
      <c r="H671" s="5">
        <v>145</v>
      </c>
      <c r="I671" s="3" t="s">
        <v>95</v>
      </c>
      <c r="J671" s="3" t="s">
        <v>62</v>
      </c>
      <c r="K671" s="5">
        <v>97</v>
      </c>
      <c r="L671" s="5">
        <v>49</v>
      </c>
      <c r="M671" s="3" t="s">
        <v>32</v>
      </c>
      <c r="O671" s="5">
        <v>1</v>
      </c>
      <c r="P671" s="3" t="s">
        <v>25</v>
      </c>
      <c r="Q671" s="2">
        <v>83.17</v>
      </c>
      <c r="R671" s="3" t="s">
        <v>26</v>
      </c>
      <c r="S671">
        <f>COUNTIF(A:A,A671)</f>
        <v>1</v>
      </c>
      <c r="T671" t="str">
        <f>IF(OR(H671="",LOWER(TRIM(H671&amp;""))="missing",LOWER(TRIM(H671&amp;""))=""),"Missing/",IFERROR(IF(OR(VALUE(H671)&lt;0,VALUE(H671)&gt;110),"Invalid","Valid"),"Check Format"))</f>
        <v>Invalid</v>
      </c>
      <c r="U671" t="str">
        <f>IF(Raw_Data[[#This Row],[Age_Check]]="Valid",H671,"")</f>
        <v/>
      </c>
      <c r="V671" t="str">
        <f>IF(OR(K671="",UPPER(TRIM(K671&amp;""))="",LOWER(TRIM(K671&amp;""))="",LOWER(TRIM(K671&amp;""))="",LOWER(TRIM(K671&amp;""))="missing"),"Missing/",IFERROR(IF(VALUE(K671)&lt;0,"Invalid","Valid"),"Check Format"))</f>
        <v>Valid</v>
      </c>
      <c r="W671" t="str">
        <f>IF(OR(E671="",F671=""),"Missing Date/Time",IFERROR(IF(F671&gt;E671,"Arrival After Appointment","OK"),"Check Format"))</f>
        <v>OK</v>
      </c>
      <c r="X671" t="str">
        <f>IF(OR(F671="",G671=""),"Missing Date/Time",IFERROR(IF(G671&lt;F671,"Discharge Before Arrival","OK"),"Check Format"))</f>
        <v>OK</v>
      </c>
    </row>
    <row r="672" spans="1:24" x14ac:dyDescent="0.25">
      <c r="A672" s="2" t="s">
        <v>1201</v>
      </c>
      <c r="B672" s="2" t="s">
        <v>348</v>
      </c>
      <c r="C672" s="3" t="s">
        <v>46</v>
      </c>
      <c r="D672" s="3" t="s">
        <v>99</v>
      </c>
      <c r="E672" s="4">
        <v>45483.371527777781</v>
      </c>
      <c r="F672" s="4">
        <v>45483.357638888891</v>
      </c>
      <c r="G672" s="4">
        <v>45483.431250000001</v>
      </c>
      <c r="H672" s="5">
        <v>145</v>
      </c>
      <c r="I672" s="3" t="s">
        <v>39</v>
      </c>
      <c r="J672" s="3" t="s">
        <v>22</v>
      </c>
      <c r="K672" s="5">
        <v>72</v>
      </c>
      <c r="L672" s="5">
        <v>14</v>
      </c>
      <c r="M672" s="3" t="s">
        <v>23</v>
      </c>
      <c r="N672" t="s">
        <v>69</v>
      </c>
      <c r="O672" s="5">
        <v>5</v>
      </c>
      <c r="P672" s="3" t="s">
        <v>80</v>
      </c>
      <c r="Q672" s="2">
        <v>34.630000000000003</v>
      </c>
      <c r="R672" s="3" t="s">
        <v>75</v>
      </c>
      <c r="S672">
        <f>COUNTIF(A:A,A672)</f>
        <v>1</v>
      </c>
      <c r="T672" t="str">
        <f>IF(OR(H672="",LOWER(TRIM(H672&amp;""))="missing",LOWER(TRIM(H672&amp;""))=""),"Missing/",IFERROR(IF(OR(VALUE(H672)&lt;0,VALUE(H672)&gt;110),"Invalid","Valid"),"Check Format"))</f>
        <v>Invalid</v>
      </c>
      <c r="U672" t="str">
        <f>IF(Raw_Data[[#This Row],[Age_Check]]="Valid",H672,"")</f>
        <v/>
      </c>
      <c r="V672" t="str">
        <f>IF(OR(K672="",UPPER(TRIM(K672&amp;""))="",LOWER(TRIM(K672&amp;""))="",LOWER(TRIM(K672&amp;""))="",LOWER(TRIM(K672&amp;""))="missing"),"Missing/",IFERROR(IF(VALUE(K672)&lt;0,"Invalid","Valid"),"Check Format"))</f>
        <v>Valid</v>
      </c>
      <c r="W672" t="str">
        <f>IF(OR(E672="",F672=""),"Missing Date/Time",IFERROR(IF(F672&gt;E672,"Arrival After Appointment","OK"),"Check Format"))</f>
        <v>OK</v>
      </c>
      <c r="X672" t="str">
        <f>IF(OR(F672="",G672=""),"Missing Date/Time",IFERROR(IF(G672&lt;F672,"Discharge Before Arrival","OK"),"Check Format"))</f>
        <v>OK</v>
      </c>
    </row>
    <row r="673" spans="1:24" x14ac:dyDescent="0.25">
      <c r="A673" s="2" t="s">
        <v>1202</v>
      </c>
      <c r="B673" s="2" t="s">
        <v>1026</v>
      </c>
      <c r="C673" s="3" t="s">
        <v>94</v>
      </c>
      <c r="D673" s="3" t="s">
        <v>23</v>
      </c>
      <c r="E673" s="4">
        <v>45796.4375</v>
      </c>
      <c r="F673" s="4">
        <v>45796.418749999997</v>
      </c>
      <c r="H673" s="5">
        <v>145</v>
      </c>
      <c r="I673" s="3" t="s">
        <v>73</v>
      </c>
      <c r="K673" s="5">
        <v>36</v>
      </c>
      <c r="L673" s="5">
        <v>47</v>
      </c>
      <c r="M673" s="3" t="s">
        <v>23</v>
      </c>
      <c r="O673" s="5">
        <v>2</v>
      </c>
      <c r="P673" s="3" t="s">
        <v>42</v>
      </c>
      <c r="Q673" s="2">
        <v>221.25</v>
      </c>
      <c r="R673" s="3" t="s">
        <v>75</v>
      </c>
      <c r="S673">
        <f>COUNTIF(A:A,A673)</f>
        <v>1</v>
      </c>
      <c r="T673" t="str">
        <f>IF(OR(H673="",LOWER(TRIM(H673&amp;""))="missing",LOWER(TRIM(H673&amp;""))=""),"Missing/",IFERROR(IF(OR(VALUE(H673)&lt;0,VALUE(H673)&gt;110),"Invalid","Valid"),"Check Format"))</f>
        <v>Invalid</v>
      </c>
      <c r="U673" t="str">
        <f>IF(Raw_Data[[#This Row],[Age_Check]]="Valid",H673,"")</f>
        <v/>
      </c>
      <c r="V673" t="str">
        <f>IF(OR(K673="",UPPER(TRIM(K673&amp;""))="",LOWER(TRIM(K673&amp;""))="",LOWER(TRIM(K673&amp;""))="",LOWER(TRIM(K673&amp;""))="missing"),"Missing/",IFERROR(IF(VALUE(K673)&lt;0,"Invalid","Valid"),"Check Format"))</f>
        <v>Valid</v>
      </c>
      <c r="W673" t="str">
        <f>IF(OR(E673="",F673=""),"Missing Date/Time",IFERROR(IF(F673&gt;E673,"Arrival After Appointment","OK"),"Check Format"))</f>
        <v>OK</v>
      </c>
      <c r="X673" t="str">
        <f>IF(OR(F673="",G673=""),"Missing Date/Time",IFERROR(IF(G673&lt;F673,"Discharge Before Arrival","OK"),"Check Format"))</f>
        <v>Missing Date/Time</v>
      </c>
    </row>
    <row r="674" spans="1:24" x14ac:dyDescent="0.25">
      <c r="A674" s="2" t="s">
        <v>1203</v>
      </c>
      <c r="B674" s="2" t="s">
        <v>635</v>
      </c>
      <c r="C674" s="3" t="s">
        <v>37</v>
      </c>
      <c r="D674" s="3" t="s">
        <v>209</v>
      </c>
      <c r="E674" s="4">
        <v>45710.347222222219</v>
      </c>
      <c r="F674" s="4">
        <v>45710.345833333333</v>
      </c>
      <c r="G674" s="4">
        <v>45710.430555555555</v>
      </c>
      <c r="I674" s="3" t="s">
        <v>73</v>
      </c>
      <c r="J674" s="3" t="s">
        <v>62</v>
      </c>
      <c r="K674" s="5">
        <v>75</v>
      </c>
      <c r="L674" s="5">
        <v>45</v>
      </c>
      <c r="M674" s="3" t="s">
        <v>87</v>
      </c>
      <c r="N674" t="s">
        <v>24</v>
      </c>
      <c r="O674" s="5">
        <v>5</v>
      </c>
      <c r="P674" s="3" t="s">
        <v>42</v>
      </c>
      <c r="Q674" s="2">
        <v>186.29</v>
      </c>
      <c r="R674" s="3" t="s">
        <v>58</v>
      </c>
      <c r="S674">
        <f>COUNTIF(A:A,A674)</f>
        <v>1</v>
      </c>
      <c r="T674" t="str">
        <f>IF(OR(H674="",LOWER(TRIM(H674&amp;""))="missing",LOWER(TRIM(H674&amp;""))=""),"Missing/",IFERROR(IF(OR(VALUE(H674)&lt;0,VALUE(H674)&gt;110),"Invalid","Valid"),"Check Format"))</f>
        <v>Missing/</v>
      </c>
      <c r="U674" t="str">
        <f>IF(Raw_Data[[#This Row],[Age_Check]]="Valid",H674,"")</f>
        <v/>
      </c>
      <c r="V674" t="str">
        <f>IF(OR(K674="",UPPER(TRIM(K674&amp;""))="",LOWER(TRIM(K674&amp;""))="",LOWER(TRIM(K674&amp;""))="",LOWER(TRIM(K674&amp;""))="missing"),"Missing/",IFERROR(IF(VALUE(K674)&lt;0,"Invalid","Valid"),"Check Format"))</f>
        <v>Valid</v>
      </c>
      <c r="W674" t="str">
        <f>IF(OR(E674="",F674=""),"Missing Date/Time",IFERROR(IF(F674&gt;E674,"Arrival After Appointment","OK"),"Check Format"))</f>
        <v>OK</v>
      </c>
      <c r="X674" t="str">
        <f>IF(OR(F674="",G674=""),"Missing Date/Time",IFERROR(IF(G674&lt;F674,"Discharge Before Arrival","OK"),"Check Format"))</f>
        <v>OK</v>
      </c>
    </row>
    <row r="675" spans="1:24" x14ac:dyDescent="0.25">
      <c r="A675" s="2" t="s">
        <v>1204</v>
      </c>
      <c r="B675" s="2" t="s">
        <v>134</v>
      </c>
      <c r="C675" s="3" t="s">
        <v>46</v>
      </c>
      <c r="D675" s="3" t="s">
        <v>115</v>
      </c>
      <c r="E675" s="4">
        <v>45713.503472222219</v>
      </c>
      <c r="F675" s="4">
        <v>45713.495833333334</v>
      </c>
      <c r="G675" s="4">
        <v>45713.554861111108</v>
      </c>
      <c r="I675" s="3" t="s">
        <v>95</v>
      </c>
      <c r="J675" s="3" t="s">
        <v>62</v>
      </c>
      <c r="K675" s="5">
        <v>35</v>
      </c>
      <c r="L675" s="5">
        <v>39</v>
      </c>
      <c r="M675" s="3" t="s">
        <v>87</v>
      </c>
      <c r="N675" t="s">
        <v>100</v>
      </c>
      <c r="P675" s="3" t="s">
        <v>25</v>
      </c>
      <c r="Q675" s="2">
        <v>209.03</v>
      </c>
      <c r="R675" s="3" t="s">
        <v>43</v>
      </c>
      <c r="S675">
        <f>COUNTIF(A:A,A675)</f>
        <v>1</v>
      </c>
      <c r="T675" t="str">
        <f>IF(OR(H675="",LOWER(TRIM(H675&amp;""))="missing",LOWER(TRIM(H675&amp;""))=""),"Missing/",IFERROR(IF(OR(VALUE(H675)&lt;0,VALUE(H675)&gt;110),"Invalid","Valid"),"Check Format"))</f>
        <v>Missing/</v>
      </c>
      <c r="U675" t="str">
        <f>IF(Raw_Data[[#This Row],[Age_Check]]="Valid",H675,"")</f>
        <v/>
      </c>
      <c r="V675" t="str">
        <f>IF(OR(K675="",UPPER(TRIM(K675&amp;""))="",LOWER(TRIM(K675&amp;""))="",LOWER(TRIM(K675&amp;""))="",LOWER(TRIM(K675&amp;""))="missing"),"Missing/",IFERROR(IF(VALUE(K675)&lt;0,"Invalid","Valid"),"Check Format"))</f>
        <v>Valid</v>
      </c>
      <c r="W675" t="str">
        <f>IF(OR(E675="",F675=""),"Missing Date/Time",IFERROR(IF(F675&gt;E675,"Arrival After Appointment","OK"),"Check Format"))</f>
        <v>OK</v>
      </c>
      <c r="X675" t="str">
        <f>IF(OR(F675="",G675=""),"Missing Date/Time",IFERROR(IF(G675&lt;F675,"Discharge Before Arrival","OK"),"Check Format"))</f>
        <v>OK</v>
      </c>
    </row>
    <row r="676" spans="1:24" x14ac:dyDescent="0.25">
      <c r="A676" s="2" t="s">
        <v>1207</v>
      </c>
      <c r="B676" s="2" t="s">
        <v>318</v>
      </c>
      <c r="C676" s="3" t="s">
        <v>19</v>
      </c>
      <c r="D676" s="3" t="s">
        <v>20</v>
      </c>
      <c r="E676" s="4">
        <v>45722.336805555555</v>
      </c>
      <c r="F676" s="4">
        <v>45722.321527777778</v>
      </c>
      <c r="G676" s="4">
        <v>45722.420138888891</v>
      </c>
      <c r="H676" s="5">
        <v>145</v>
      </c>
      <c r="J676" s="3" t="s">
        <v>171</v>
      </c>
      <c r="K676" s="5">
        <v>82</v>
      </c>
      <c r="L676" s="5">
        <v>38</v>
      </c>
      <c r="M676" s="3" t="s">
        <v>41</v>
      </c>
      <c r="N676" t="s">
        <v>24</v>
      </c>
      <c r="O676" s="5">
        <v>6</v>
      </c>
      <c r="P676" s="3" t="s">
        <v>42</v>
      </c>
      <c r="Q676" s="2">
        <v>230.61</v>
      </c>
      <c r="R676" s="3" t="s">
        <v>58</v>
      </c>
      <c r="S676">
        <f>COUNTIF(A:A,A676)</f>
        <v>1</v>
      </c>
      <c r="T676" t="str">
        <f>IF(OR(H676="",LOWER(TRIM(H676&amp;""))="missing",LOWER(TRIM(H676&amp;""))=""),"Missing/",IFERROR(IF(OR(VALUE(H676)&lt;0,VALUE(H676)&gt;110),"Invalid","Valid"),"Check Format"))</f>
        <v>Invalid</v>
      </c>
      <c r="U676" t="str">
        <f>IF(Raw_Data[[#This Row],[Age_Check]]="Valid",H676,"")</f>
        <v/>
      </c>
      <c r="V676" t="str">
        <f>IF(OR(K676="",UPPER(TRIM(K676&amp;""))="",LOWER(TRIM(K676&amp;""))="",LOWER(TRIM(K676&amp;""))="",LOWER(TRIM(K676&amp;""))="missing"),"Missing/",IFERROR(IF(VALUE(K676)&lt;0,"Invalid","Valid"),"Check Format"))</f>
        <v>Valid</v>
      </c>
      <c r="W676" t="str">
        <f>IF(OR(E676="",F676=""),"Missing Date/Time",IFERROR(IF(F676&gt;E676,"Arrival After Appointment","OK"),"Check Format"))</f>
        <v>OK</v>
      </c>
      <c r="X676" t="str">
        <f>IF(OR(F676="",G676=""),"Missing Date/Time",IFERROR(IF(G676&lt;F676,"Discharge Before Arrival","OK"),"Check Format"))</f>
        <v>OK</v>
      </c>
    </row>
    <row r="677" spans="1:24" x14ac:dyDescent="0.25">
      <c r="A677" s="2" t="s">
        <v>1208</v>
      </c>
      <c r="B677" s="2" t="s">
        <v>1209</v>
      </c>
      <c r="C677" s="3" t="s">
        <v>46</v>
      </c>
      <c r="D677" s="3" t="s">
        <v>209</v>
      </c>
      <c r="E677" s="4">
        <v>45577.513888888891</v>
      </c>
      <c r="F677" s="4">
        <v>45577.502083333333</v>
      </c>
      <c r="G677" s="4">
        <v>45577.564583333333</v>
      </c>
      <c r="H677" s="5">
        <v>11</v>
      </c>
      <c r="I677" s="3" t="s">
        <v>95</v>
      </c>
      <c r="J677" s="3" t="s">
        <v>2639</v>
      </c>
      <c r="K677" s="5">
        <v>57</v>
      </c>
      <c r="L677" s="5">
        <v>16</v>
      </c>
      <c r="M677" s="3" t="s">
        <v>87</v>
      </c>
      <c r="N677" t="s">
        <v>24</v>
      </c>
      <c r="O677" s="5">
        <v>6</v>
      </c>
      <c r="P677" s="3" t="s">
        <v>80</v>
      </c>
      <c r="Q677" s="2">
        <v>131.94999999999999</v>
      </c>
      <c r="R677" s="3" t="s">
        <v>26</v>
      </c>
      <c r="S677">
        <f>COUNTIF(A:A,A677)</f>
        <v>1</v>
      </c>
      <c r="T677" t="str">
        <f>IF(OR(H677="",LOWER(TRIM(H677&amp;""))="missing",LOWER(TRIM(H677&amp;""))=""),"Missing/",IFERROR(IF(OR(VALUE(H677)&lt;0,VALUE(H677)&gt;110),"Invalid","Valid"),"Check Format"))</f>
        <v>Valid</v>
      </c>
      <c r="U677">
        <f>IF(Raw_Data[[#This Row],[Age_Check]]="Valid",H677,"")</f>
        <v>11</v>
      </c>
      <c r="V677" t="str">
        <f>IF(OR(K677="",UPPER(TRIM(K677&amp;""))="",LOWER(TRIM(K677&amp;""))="",LOWER(TRIM(K677&amp;""))="",LOWER(TRIM(K677&amp;""))="missing"),"Missing/",IFERROR(IF(VALUE(K677)&lt;0,"Invalid","Valid"),"Check Format"))</f>
        <v>Valid</v>
      </c>
      <c r="W677" t="str">
        <f>IF(OR(E677="",F677=""),"Missing Date/Time",IFERROR(IF(F677&gt;E677,"Arrival After Appointment","OK"),"Check Format"))</f>
        <v>OK</v>
      </c>
      <c r="X677" t="str">
        <f>IF(OR(F677="",G677=""),"Missing Date/Time",IFERROR(IF(G677&lt;F677,"Discharge Before Arrival","OK"),"Check Format"))</f>
        <v>OK</v>
      </c>
    </row>
    <row r="678" spans="1:24" x14ac:dyDescent="0.25">
      <c r="A678" s="2" t="s">
        <v>1210</v>
      </c>
      <c r="B678" s="2" t="s">
        <v>337</v>
      </c>
      <c r="C678" s="3" t="s">
        <v>19</v>
      </c>
      <c r="D678" s="3" t="s">
        <v>20</v>
      </c>
      <c r="E678" s="4">
        <v>45476.635416666664</v>
      </c>
      <c r="F678" s="4">
        <v>45476.623611111114</v>
      </c>
      <c r="H678" s="5">
        <v>67</v>
      </c>
      <c r="I678" s="3" t="s">
        <v>90</v>
      </c>
      <c r="J678" s="3" t="s">
        <v>171</v>
      </c>
      <c r="K678" s="5">
        <v>31</v>
      </c>
      <c r="L678" s="5">
        <v>19</v>
      </c>
      <c r="M678" s="3" t="s">
        <v>63</v>
      </c>
      <c r="N678" t="s">
        <v>91</v>
      </c>
      <c r="O678" s="5">
        <v>2</v>
      </c>
      <c r="P678" s="3" t="s">
        <v>25</v>
      </c>
      <c r="Q678" s="2">
        <v>133.44</v>
      </c>
      <c r="R678" s="3" t="s">
        <v>43</v>
      </c>
      <c r="S678">
        <f>COUNTIF(A:A,A678)</f>
        <v>1</v>
      </c>
      <c r="T678" t="str">
        <f>IF(OR(H678="",LOWER(TRIM(H678&amp;""))="missing",LOWER(TRIM(H678&amp;""))=""),"Missing/",IFERROR(IF(OR(VALUE(H678)&lt;0,VALUE(H678)&gt;110),"Invalid","Valid"),"Check Format"))</f>
        <v>Valid</v>
      </c>
      <c r="U678">
        <f>IF(Raw_Data[[#This Row],[Age_Check]]="Valid",H678,"")</f>
        <v>67</v>
      </c>
      <c r="V678" t="str">
        <f>IF(OR(K678="",UPPER(TRIM(K678&amp;""))="",LOWER(TRIM(K678&amp;""))="",LOWER(TRIM(K678&amp;""))="",LOWER(TRIM(K678&amp;""))="missing"),"Missing/",IFERROR(IF(VALUE(K678)&lt;0,"Invalid","Valid"),"Check Format"))</f>
        <v>Valid</v>
      </c>
      <c r="W678" t="str">
        <f>IF(OR(E678="",F678=""),"Missing Date/Time",IFERROR(IF(F678&gt;E678,"Arrival After Appointment","OK"),"Check Format"))</f>
        <v>OK</v>
      </c>
      <c r="X678" t="str">
        <f>IF(OR(F678="",G678=""),"Missing Date/Time",IFERROR(IF(G678&lt;F678,"Discharge Before Arrival","OK"),"Check Format"))</f>
        <v>Missing Date/Time</v>
      </c>
    </row>
    <row r="679" spans="1:24" x14ac:dyDescent="0.25">
      <c r="A679" s="2" t="s">
        <v>1211</v>
      </c>
      <c r="B679" s="2" t="s">
        <v>190</v>
      </c>
      <c r="C679" s="3" t="s">
        <v>19</v>
      </c>
      <c r="D679" s="3" t="s">
        <v>66</v>
      </c>
      <c r="E679" s="4">
        <v>45383.631944444445</v>
      </c>
      <c r="F679" s="4">
        <v>45383.625</v>
      </c>
      <c r="G679" s="4">
        <v>45383.67083333333</v>
      </c>
      <c r="I679" s="3" t="s">
        <v>95</v>
      </c>
      <c r="J679" s="3" t="s">
        <v>62</v>
      </c>
      <c r="K679" s="5">
        <v>30</v>
      </c>
      <c r="L679" s="5">
        <v>26</v>
      </c>
      <c r="M679" s="3" t="s">
        <v>87</v>
      </c>
      <c r="N679" t="s">
        <v>74</v>
      </c>
      <c r="P679" s="3" t="s">
        <v>25</v>
      </c>
      <c r="Q679" s="2">
        <v>0</v>
      </c>
      <c r="R679" s="3" t="s">
        <v>43</v>
      </c>
      <c r="S679">
        <f>COUNTIF(A:A,A679)</f>
        <v>1</v>
      </c>
      <c r="T679" t="str">
        <f>IF(OR(H679="",LOWER(TRIM(H679&amp;""))="missing",LOWER(TRIM(H679&amp;""))=""),"Missing/",IFERROR(IF(OR(VALUE(H679)&lt;0,VALUE(H679)&gt;110),"Invalid","Valid"),"Check Format"))</f>
        <v>Missing/</v>
      </c>
      <c r="U679" t="str">
        <f>IF(Raw_Data[[#This Row],[Age_Check]]="Valid",H679,"")</f>
        <v/>
      </c>
      <c r="V679" t="str">
        <f>IF(OR(K679="",UPPER(TRIM(K679&amp;""))="",LOWER(TRIM(K679&amp;""))="",LOWER(TRIM(K679&amp;""))="",LOWER(TRIM(K679&amp;""))="missing"),"Missing/",IFERROR(IF(VALUE(K679)&lt;0,"Invalid","Valid"),"Check Format"))</f>
        <v>Valid</v>
      </c>
      <c r="W679" t="str">
        <f>IF(OR(E679="",F679=""),"Missing Date/Time",IFERROR(IF(F679&gt;E679,"Arrival After Appointment","OK"),"Check Format"))</f>
        <v>OK</v>
      </c>
      <c r="X679" t="str">
        <f>IF(OR(F679="",G679=""),"Missing Date/Time",IFERROR(IF(G679&lt;F679,"Discharge Before Arrival","OK"),"Check Format"))</f>
        <v>OK</v>
      </c>
    </row>
    <row r="680" spans="1:24" x14ac:dyDescent="0.25">
      <c r="A680" s="2" t="s">
        <v>1212</v>
      </c>
      <c r="B680" s="2" t="s">
        <v>182</v>
      </c>
      <c r="C680" s="3" t="s">
        <v>29</v>
      </c>
      <c r="D680" s="3" t="s">
        <v>38</v>
      </c>
      <c r="E680" s="4">
        <v>45376.760416666664</v>
      </c>
      <c r="G680" s="4">
        <v>45376.827777777777</v>
      </c>
      <c r="I680" s="3" t="s">
        <v>95</v>
      </c>
      <c r="J680" s="3" t="s">
        <v>62</v>
      </c>
      <c r="K680" s="5">
        <v>65</v>
      </c>
      <c r="L680" s="5">
        <v>32</v>
      </c>
      <c r="M680" s="3" t="s">
        <v>41</v>
      </c>
      <c r="N680" t="s">
        <v>91</v>
      </c>
      <c r="O680" s="5">
        <v>6</v>
      </c>
      <c r="P680" s="3" t="s">
        <v>42</v>
      </c>
      <c r="Q680" s="2">
        <v>79.63</v>
      </c>
      <c r="R680" s="3" t="s">
        <v>75</v>
      </c>
      <c r="S680">
        <f>COUNTIF(A:A,A680)</f>
        <v>1</v>
      </c>
      <c r="T680" t="str">
        <f>IF(OR(H680="",LOWER(TRIM(H680&amp;""))="missing",LOWER(TRIM(H680&amp;""))=""),"Missing/",IFERROR(IF(OR(VALUE(H680)&lt;0,VALUE(H680)&gt;110),"Invalid","Valid"),"Check Format"))</f>
        <v>Missing/</v>
      </c>
      <c r="U680" t="str">
        <f>IF(Raw_Data[[#This Row],[Age_Check]]="Valid",H680,"")</f>
        <v/>
      </c>
      <c r="V680" t="str">
        <f>IF(OR(K680="",UPPER(TRIM(K680&amp;""))="",LOWER(TRIM(K680&amp;""))="",LOWER(TRIM(K680&amp;""))="",LOWER(TRIM(K680&amp;""))="missing"),"Missing/",IFERROR(IF(VALUE(K680)&lt;0,"Invalid","Valid"),"Check Format"))</f>
        <v>Valid</v>
      </c>
      <c r="W680" t="str">
        <f>IF(OR(E680="",F680=""),"Missing Date/Time",IFERROR(IF(F680&gt;E680,"Arrival After Appointment","OK"),"Check Format"))</f>
        <v>Missing Date/Time</v>
      </c>
      <c r="X680" t="str">
        <f>IF(OR(F680="",G680=""),"Missing Date/Time",IFERROR(IF(G680&lt;F680,"Discharge Before Arrival","OK"),"Check Format"))</f>
        <v>Missing Date/Time</v>
      </c>
    </row>
    <row r="681" spans="1:24" x14ac:dyDescent="0.25">
      <c r="A681" s="2" t="s">
        <v>1213</v>
      </c>
      <c r="B681" s="2" t="s">
        <v>691</v>
      </c>
      <c r="C681" s="3" t="s">
        <v>19</v>
      </c>
      <c r="D681" s="3" t="s">
        <v>174</v>
      </c>
      <c r="E681" s="4">
        <v>45817.739583333336</v>
      </c>
      <c r="F681" s="4">
        <v>45906.72152777778</v>
      </c>
      <c r="G681" s="4">
        <v>45906.82916666667</v>
      </c>
      <c r="H681" s="5">
        <v>64</v>
      </c>
      <c r="I681" s="3" t="s">
        <v>39</v>
      </c>
      <c r="K681" s="5">
        <v>81</v>
      </c>
      <c r="L681" s="5">
        <v>48</v>
      </c>
      <c r="N681" t="s">
        <v>24</v>
      </c>
      <c r="O681" s="5">
        <v>0</v>
      </c>
      <c r="P681" s="3" t="s">
        <v>80</v>
      </c>
      <c r="R681" s="3" t="s">
        <v>26</v>
      </c>
      <c r="S681">
        <f>COUNTIF(A:A,A681)</f>
        <v>1</v>
      </c>
      <c r="T681" t="str">
        <f>IF(OR(H681="",LOWER(TRIM(H681&amp;""))="missing",LOWER(TRIM(H681&amp;""))=""),"Missing/",IFERROR(IF(OR(VALUE(H681)&lt;0,VALUE(H681)&gt;110),"Invalid","Valid"),"Check Format"))</f>
        <v>Valid</v>
      </c>
      <c r="U681">
        <f>IF(Raw_Data[[#This Row],[Age_Check]]="Valid",H681,"")</f>
        <v>64</v>
      </c>
      <c r="V681" t="str">
        <f>IF(OR(K681="",UPPER(TRIM(K681&amp;""))="",LOWER(TRIM(K681&amp;""))="",LOWER(TRIM(K681&amp;""))="",LOWER(TRIM(K681&amp;""))="missing"),"Missing/",IFERROR(IF(VALUE(K681)&lt;0,"Invalid","Valid"),"Check Format"))</f>
        <v>Valid</v>
      </c>
      <c r="W681" t="str">
        <f>IF(OR(E681="",F681=""),"Missing Date/Time",IFERROR(IF(F681&gt;E681,"Arrival After Appointment","OK"),"Check Format"))</f>
        <v>Arrival After Appointment</v>
      </c>
      <c r="X681" t="str">
        <f>IF(OR(F681="",G681=""),"Missing Date/Time",IFERROR(IF(G681&lt;F681,"Discharge Before Arrival","OK"),"Check Format"))</f>
        <v>OK</v>
      </c>
    </row>
    <row r="682" spans="1:24" x14ac:dyDescent="0.25">
      <c r="A682" s="2" t="s">
        <v>1214</v>
      </c>
      <c r="B682" s="2" t="s">
        <v>71</v>
      </c>
      <c r="C682" s="3" t="s">
        <v>46</v>
      </c>
      <c r="D682" s="3" t="s">
        <v>66</v>
      </c>
      <c r="E682" s="4" t="s">
        <v>1215</v>
      </c>
      <c r="F682" s="4">
        <v>45678.526388888888</v>
      </c>
      <c r="G682" s="4">
        <v>45678.54791666667</v>
      </c>
      <c r="I682" s="3" t="s">
        <v>95</v>
      </c>
      <c r="J682" s="3" t="s">
        <v>150</v>
      </c>
      <c r="K682" s="5">
        <v>1</v>
      </c>
      <c r="L682" s="5">
        <v>18</v>
      </c>
      <c r="M682" s="3" t="s">
        <v>63</v>
      </c>
      <c r="P682" s="3" t="s">
        <v>42</v>
      </c>
      <c r="R682" s="3" t="s">
        <v>75</v>
      </c>
      <c r="S682">
        <f>COUNTIF(A:A,A682)</f>
        <v>1</v>
      </c>
      <c r="T682" t="str">
        <f>IF(OR(H682="",LOWER(TRIM(H682&amp;""))="missing",LOWER(TRIM(H682&amp;""))=""),"Missing/",IFERROR(IF(OR(VALUE(H682)&lt;0,VALUE(H682)&gt;110),"Invalid","Valid"),"Check Format"))</f>
        <v>Missing/</v>
      </c>
      <c r="U682" t="str">
        <f>IF(Raw_Data[[#This Row],[Age_Check]]="Valid",H682,"")</f>
        <v/>
      </c>
      <c r="V682" t="str">
        <f>IF(OR(K682="",UPPER(TRIM(K682&amp;""))="",LOWER(TRIM(K682&amp;""))="",LOWER(TRIM(K682&amp;""))="",LOWER(TRIM(K682&amp;""))="missing"),"Missing/",IFERROR(IF(VALUE(K682)&lt;0,"Invalid","Valid"),"Check Format"))</f>
        <v>Valid</v>
      </c>
      <c r="W682" t="str">
        <f>IF(OR(E682="",F682=""),"Missing Date/Time",IFERROR(IF(F682&gt;E682,"Arrival After Appointment","OK"),"Check Format"))</f>
        <v>OK</v>
      </c>
      <c r="X682" t="str">
        <f>IF(OR(F682="",G682=""),"Missing Date/Time",IFERROR(IF(G682&lt;F682,"Discharge Before Arrival","OK"),"Check Format"))</f>
        <v>OK</v>
      </c>
    </row>
    <row r="683" spans="1:24" x14ac:dyDescent="0.25">
      <c r="A683" s="2" t="s">
        <v>1216</v>
      </c>
      <c r="B683" s="2" t="s">
        <v>136</v>
      </c>
      <c r="C683" s="3" t="s">
        <v>37</v>
      </c>
      <c r="D683" s="3" t="s">
        <v>47</v>
      </c>
      <c r="E683" s="4">
        <v>45334.663194444445</v>
      </c>
      <c r="F683" s="4">
        <v>45334.65</v>
      </c>
      <c r="G683" s="4">
        <v>45334.695138888892</v>
      </c>
      <c r="H683" s="5">
        <v>145</v>
      </c>
      <c r="I683" s="3" t="s">
        <v>39</v>
      </c>
      <c r="J683" s="3" t="s">
        <v>67</v>
      </c>
      <c r="K683" s="5">
        <v>31</v>
      </c>
      <c r="L683" s="5">
        <v>15</v>
      </c>
      <c r="M683" s="3" t="s">
        <v>87</v>
      </c>
      <c r="O683" s="5">
        <v>2</v>
      </c>
      <c r="P683" s="3" t="s">
        <v>25</v>
      </c>
      <c r="R683" s="3" t="s">
        <v>58</v>
      </c>
      <c r="S683">
        <f>COUNTIF(A:A,A683)</f>
        <v>1</v>
      </c>
      <c r="T683" t="str">
        <f>IF(OR(H683="",LOWER(TRIM(H683&amp;""))="missing",LOWER(TRIM(H683&amp;""))=""),"Missing/",IFERROR(IF(OR(VALUE(H683)&lt;0,VALUE(H683)&gt;110),"Invalid","Valid"),"Check Format"))</f>
        <v>Invalid</v>
      </c>
      <c r="U683" t="str">
        <f>IF(Raw_Data[[#This Row],[Age_Check]]="Valid",H683,"")</f>
        <v/>
      </c>
      <c r="V683" t="str">
        <f>IF(OR(K683="",UPPER(TRIM(K683&amp;""))="",LOWER(TRIM(K683&amp;""))="",LOWER(TRIM(K683&amp;""))="",LOWER(TRIM(K683&amp;""))="missing"),"Missing/",IFERROR(IF(VALUE(K683)&lt;0,"Invalid","Valid"),"Check Format"))</f>
        <v>Valid</v>
      </c>
      <c r="W683" t="str">
        <f>IF(OR(E683="",F683=""),"Missing Date/Time",IFERROR(IF(F683&gt;E683,"Arrival After Appointment","OK"),"Check Format"))</f>
        <v>OK</v>
      </c>
      <c r="X683" t="str">
        <f>IF(OR(F683="",G683=""),"Missing Date/Time",IFERROR(IF(G683&lt;F683,"Discharge Before Arrival","OK"),"Check Format"))</f>
        <v>OK</v>
      </c>
    </row>
    <row r="684" spans="1:24" x14ac:dyDescent="0.25">
      <c r="A684" s="2" t="s">
        <v>778</v>
      </c>
      <c r="B684" s="2" t="s">
        <v>143</v>
      </c>
      <c r="D684" s="3" t="s">
        <v>30</v>
      </c>
      <c r="E684" s="4">
        <v>45853.545138888891</v>
      </c>
      <c r="F684" s="4">
        <v>45853.532638888886</v>
      </c>
      <c r="G684" s="4">
        <v>45853.643750000003</v>
      </c>
      <c r="I684" s="3" t="s">
        <v>95</v>
      </c>
      <c r="J684" s="3" t="s">
        <v>171</v>
      </c>
      <c r="K684" s="5">
        <v>99</v>
      </c>
      <c r="L684" s="5">
        <v>43</v>
      </c>
      <c r="M684" s="3" t="s">
        <v>50</v>
      </c>
      <c r="N684" t="s">
        <v>24</v>
      </c>
      <c r="P684" s="3" t="s">
        <v>42</v>
      </c>
      <c r="Q684" s="2">
        <v>53.56</v>
      </c>
      <c r="R684" s="3" t="s">
        <v>58</v>
      </c>
      <c r="S684">
        <f>COUNTIF(A:A,A684)</f>
        <v>2</v>
      </c>
      <c r="T684" t="str">
        <f>IF(OR(H684="",LOWER(TRIM(H684&amp;""))="missing",LOWER(TRIM(H684&amp;""))=""),"Missing/",IFERROR(IF(OR(VALUE(H684)&lt;0,VALUE(H684)&gt;110),"Invalid","Valid"),"Check Format"))</f>
        <v>Missing/</v>
      </c>
      <c r="U684" t="str">
        <f>IF(Raw_Data[[#This Row],[Age_Check]]="Valid",H684,"")</f>
        <v/>
      </c>
      <c r="V684" t="str">
        <f>IF(OR(K684="",UPPER(TRIM(K684&amp;""))="",LOWER(TRIM(K684&amp;""))="",LOWER(TRIM(K684&amp;""))="",LOWER(TRIM(K684&amp;""))="missing"),"Missing/",IFERROR(IF(VALUE(K684)&lt;0,"Invalid","Valid"),"Check Format"))</f>
        <v>Valid</v>
      </c>
      <c r="W684" t="str">
        <f>IF(OR(E684="",F684=""),"Missing Date/Time",IFERROR(IF(F684&gt;E684,"Arrival After Appointment","OK"),"Check Format"))</f>
        <v>OK</v>
      </c>
      <c r="X684" t="str">
        <f>IF(OR(F684="",G684=""),"Missing Date/Time",IFERROR(IF(G684&lt;F684,"Discharge Before Arrival","OK"),"Check Format"))</f>
        <v>OK</v>
      </c>
    </row>
    <row r="685" spans="1:24" x14ac:dyDescent="0.25">
      <c r="A685" s="2" t="s">
        <v>778</v>
      </c>
      <c r="B685" s="2" t="s">
        <v>435</v>
      </c>
      <c r="C685" s="3" t="s">
        <v>46</v>
      </c>
      <c r="D685" s="3" t="s">
        <v>66</v>
      </c>
      <c r="E685" s="4" t="s">
        <v>779</v>
      </c>
      <c r="F685" s="4">
        <v>45729.70416666667</v>
      </c>
      <c r="G685" s="4">
        <v>45729.802777777775</v>
      </c>
      <c r="H685" s="5">
        <v>55</v>
      </c>
      <c r="I685" s="3" t="s">
        <v>95</v>
      </c>
      <c r="J685" s="3" t="s">
        <v>67</v>
      </c>
      <c r="K685" s="5">
        <v>115</v>
      </c>
      <c r="L685" s="5">
        <v>11</v>
      </c>
      <c r="M685" s="3" t="s">
        <v>50</v>
      </c>
      <c r="N685" t="s">
        <v>74</v>
      </c>
      <c r="O685" s="5">
        <v>0</v>
      </c>
      <c r="P685" s="3" t="s">
        <v>80</v>
      </c>
      <c r="Q685" s="2">
        <v>169.21</v>
      </c>
      <c r="R685" s="3" t="s">
        <v>26</v>
      </c>
      <c r="S685">
        <f>COUNTIF(A:A,A685)</f>
        <v>2</v>
      </c>
      <c r="T685" t="str">
        <f>IF(OR(H685="",LOWER(TRIM(H685&amp;""))="missing",LOWER(TRIM(H685&amp;""))=""),"Missing/",IFERROR(IF(OR(VALUE(H685)&lt;0,VALUE(H685)&gt;110),"Invalid","Valid"),"Check Format"))</f>
        <v>Valid</v>
      </c>
      <c r="U685">
        <f>IF(Raw_Data[[#This Row],[Age_Check]]="Valid",H685,"")</f>
        <v>55</v>
      </c>
      <c r="V685" t="str">
        <f>IF(OR(K685="",UPPER(TRIM(K685&amp;""))="",LOWER(TRIM(K685&amp;""))="",LOWER(TRIM(K685&amp;""))="",LOWER(TRIM(K685&amp;""))="missing"),"Missing/",IFERROR(IF(VALUE(K685)&lt;0,"Invalid","Valid"),"Check Format"))</f>
        <v>Valid</v>
      </c>
      <c r="W685" t="str">
        <f>IF(OR(E685="",F685=""),"Missing Date/Time",IFERROR(IF(F685&gt;E685,"Arrival After Appointment","OK"),"Check Format"))</f>
        <v>OK</v>
      </c>
      <c r="X685" t="str">
        <f>IF(OR(F685="",G685=""),"Missing Date/Time",IFERROR(IF(G685&lt;F685,"Discharge Before Arrival","OK"),"Check Format"))</f>
        <v>OK</v>
      </c>
    </row>
    <row r="686" spans="1:24" x14ac:dyDescent="0.25">
      <c r="A686" s="2" t="s">
        <v>1221</v>
      </c>
      <c r="B686" s="2" t="s">
        <v>1048</v>
      </c>
      <c r="C686" s="3" t="s">
        <v>94</v>
      </c>
      <c r="D686" s="3" t="s">
        <v>38</v>
      </c>
      <c r="E686" s="4">
        <v>45718.392361111109</v>
      </c>
      <c r="F686" s="4">
        <v>45691.376388888886</v>
      </c>
      <c r="G686" s="4">
        <v>45691.459027777775</v>
      </c>
      <c r="I686" s="3" t="s">
        <v>95</v>
      </c>
      <c r="J686" s="3" t="s">
        <v>150</v>
      </c>
      <c r="K686" s="5">
        <v>60</v>
      </c>
      <c r="L686" s="5">
        <v>36</v>
      </c>
      <c r="M686" s="3" t="s">
        <v>63</v>
      </c>
      <c r="N686" t="s">
        <v>24</v>
      </c>
      <c r="O686" s="5">
        <v>0</v>
      </c>
      <c r="P686" s="3" t="s">
        <v>80</v>
      </c>
      <c r="Q686" s="2">
        <v>253.85</v>
      </c>
      <c r="R686" s="3" t="s">
        <v>75</v>
      </c>
      <c r="S686">
        <f>COUNTIF(A:A,A686)</f>
        <v>1</v>
      </c>
      <c r="T686" t="str">
        <f>IF(OR(H686="",LOWER(TRIM(H686&amp;""))="missing",LOWER(TRIM(H686&amp;""))=""),"Missing/",IFERROR(IF(OR(VALUE(H686)&lt;0,VALUE(H686)&gt;110),"Invalid","Valid"),"Check Format"))</f>
        <v>Missing/</v>
      </c>
      <c r="U686" t="str">
        <f>IF(Raw_Data[[#This Row],[Age_Check]]="Valid",H686,"")</f>
        <v/>
      </c>
      <c r="V686" t="str">
        <f>IF(OR(K686="",UPPER(TRIM(K686&amp;""))="",LOWER(TRIM(K686&amp;""))="",LOWER(TRIM(K686&amp;""))="",LOWER(TRIM(K686&amp;""))="missing"),"Missing/",IFERROR(IF(VALUE(K686)&lt;0,"Invalid","Valid"),"Check Format"))</f>
        <v>Valid</v>
      </c>
      <c r="W686" t="str">
        <f>IF(OR(E686="",F686=""),"Missing Date/Time",IFERROR(IF(F686&gt;E686,"Arrival After Appointment","OK"),"Check Format"))</f>
        <v>OK</v>
      </c>
      <c r="X686" t="str">
        <f>IF(OR(F686="",G686=""),"Missing Date/Time",IFERROR(IF(G686&lt;F686,"Discharge Before Arrival","OK"),"Check Format"))</f>
        <v>OK</v>
      </c>
    </row>
    <row r="687" spans="1:24" x14ac:dyDescent="0.25">
      <c r="A687" s="2" t="s">
        <v>1222</v>
      </c>
      <c r="B687" s="2" t="s">
        <v>220</v>
      </c>
      <c r="C687" s="3" t="s">
        <v>94</v>
      </c>
      <c r="D687" s="3" t="s">
        <v>99</v>
      </c>
      <c r="E687" s="4">
        <v>45835.625</v>
      </c>
      <c r="F687" s="4">
        <v>45835.619444444441</v>
      </c>
      <c r="G687" s="4">
        <v>45835.636805555558</v>
      </c>
      <c r="H687" s="5">
        <v>145</v>
      </c>
      <c r="I687" s="3" t="s">
        <v>95</v>
      </c>
      <c r="J687" s="3" t="s">
        <v>2639</v>
      </c>
      <c r="K687" s="5">
        <v>12</v>
      </c>
      <c r="L687" s="5">
        <v>5</v>
      </c>
      <c r="M687" s="3" t="s">
        <v>41</v>
      </c>
      <c r="N687" t="s">
        <v>74</v>
      </c>
      <c r="P687" s="3" t="s">
        <v>80</v>
      </c>
      <c r="Q687" s="2">
        <v>159.71</v>
      </c>
      <c r="R687" s="3" t="s">
        <v>43</v>
      </c>
      <c r="S687">
        <f>COUNTIF(A:A,A687)</f>
        <v>1</v>
      </c>
      <c r="T687" t="str">
        <f>IF(OR(H687="",LOWER(TRIM(H687&amp;""))="missing",LOWER(TRIM(H687&amp;""))=""),"Missing/",IFERROR(IF(OR(VALUE(H687)&lt;0,VALUE(H687)&gt;110),"Invalid","Valid"),"Check Format"))</f>
        <v>Invalid</v>
      </c>
      <c r="U687" t="str">
        <f>IF(Raw_Data[[#This Row],[Age_Check]]="Valid",H687,"")</f>
        <v/>
      </c>
      <c r="V687" t="str">
        <f>IF(OR(K687="",UPPER(TRIM(K687&amp;""))="",LOWER(TRIM(K687&amp;""))="",LOWER(TRIM(K687&amp;""))="",LOWER(TRIM(K687&amp;""))="missing"),"Missing/",IFERROR(IF(VALUE(K687)&lt;0,"Invalid","Valid"),"Check Format"))</f>
        <v>Valid</v>
      </c>
      <c r="W687" t="str">
        <f>IF(OR(E687="",F687=""),"Missing Date/Time",IFERROR(IF(F687&gt;E687,"Arrival After Appointment","OK"),"Check Format"))</f>
        <v>OK</v>
      </c>
      <c r="X687" t="str">
        <f>IF(OR(F687="",G687=""),"Missing Date/Time",IFERROR(IF(G687&lt;F687,"Discharge Before Arrival","OK"),"Check Format"))</f>
        <v>OK</v>
      </c>
    </row>
    <row r="688" spans="1:24" x14ac:dyDescent="0.25">
      <c r="A688" s="2" t="s">
        <v>1223</v>
      </c>
      <c r="B688" s="2" t="s">
        <v>777</v>
      </c>
      <c r="C688" s="3" t="s">
        <v>37</v>
      </c>
      <c r="D688" s="3" t="s">
        <v>209</v>
      </c>
      <c r="E688" s="4">
        <v>45830.489583333336</v>
      </c>
      <c r="F688" s="4">
        <v>45830.472222222219</v>
      </c>
      <c r="H688" s="5">
        <v>145</v>
      </c>
      <c r="I688" s="3" t="s">
        <v>73</v>
      </c>
      <c r="J688" s="3" t="s">
        <v>150</v>
      </c>
      <c r="K688" s="5">
        <v>121</v>
      </c>
      <c r="L688" s="5">
        <v>54</v>
      </c>
      <c r="M688" s="3" t="s">
        <v>32</v>
      </c>
      <c r="N688" t="s">
        <v>100</v>
      </c>
      <c r="O688" s="5">
        <v>6</v>
      </c>
      <c r="P688" s="3" t="s">
        <v>80</v>
      </c>
      <c r="Q688" s="2">
        <v>161.77000000000001</v>
      </c>
      <c r="R688" s="3" t="s">
        <v>58</v>
      </c>
      <c r="S688">
        <f>COUNTIF(A:A,A688)</f>
        <v>1</v>
      </c>
      <c r="T688" t="str">
        <f>IF(OR(H688="",LOWER(TRIM(H688&amp;""))="missing",LOWER(TRIM(H688&amp;""))=""),"Missing/",IFERROR(IF(OR(VALUE(H688)&lt;0,VALUE(H688)&gt;110),"Invalid","Valid"),"Check Format"))</f>
        <v>Invalid</v>
      </c>
      <c r="U688" t="str">
        <f>IF(Raw_Data[[#This Row],[Age_Check]]="Valid",H688,"")</f>
        <v/>
      </c>
      <c r="V688" t="str">
        <f>IF(OR(K688="",UPPER(TRIM(K688&amp;""))="",LOWER(TRIM(K688&amp;""))="",LOWER(TRIM(K688&amp;""))="",LOWER(TRIM(K688&amp;""))="missing"),"Missing/",IFERROR(IF(VALUE(K688)&lt;0,"Invalid","Valid"),"Check Format"))</f>
        <v>Valid</v>
      </c>
      <c r="W688" t="str">
        <f>IF(OR(E688="",F688=""),"Missing Date/Time",IFERROR(IF(F688&gt;E688,"Arrival After Appointment","OK"),"Check Format"))</f>
        <v>OK</v>
      </c>
      <c r="X688" t="str">
        <f>IF(OR(F688="",G688=""),"Missing Date/Time",IFERROR(IF(G688&lt;F688,"Discharge Before Arrival","OK"),"Check Format"))</f>
        <v>Missing Date/Time</v>
      </c>
    </row>
    <row r="689" spans="1:24" x14ac:dyDescent="0.25">
      <c r="A689" s="2" t="s">
        <v>1224</v>
      </c>
      <c r="B689" s="2" t="s">
        <v>485</v>
      </c>
      <c r="C689" s="3" t="s">
        <v>19</v>
      </c>
      <c r="D689" s="3" t="s">
        <v>23</v>
      </c>
      <c r="E689" s="4">
        <v>45706.725694444445</v>
      </c>
      <c r="F689" s="4">
        <v>45706.705555555556</v>
      </c>
      <c r="G689" s="4">
        <v>45706.785416666666</v>
      </c>
      <c r="I689" s="3" t="s">
        <v>95</v>
      </c>
      <c r="J689" s="3" t="s">
        <v>2639</v>
      </c>
      <c r="K689" s="5">
        <v>999</v>
      </c>
      <c r="L689" s="5">
        <v>46</v>
      </c>
      <c r="M689" s="3" t="s">
        <v>23</v>
      </c>
      <c r="N689" t="s">
        <v>24</v>
      </c>
      <c r="O689" s="5">
        <v>6</v>
      </c>
      <c r="P689" s="3" t="s">
        <v>42</v>
      </c>
      <c r="Q689" s="2">
        <v>67.12</v>
      </c>
      <c r="R689" s="3" t="s">
        <v>58</v>
      </c>
      <c r="S689">
        <f>COUNTIF(A:A,A689)</f>
        <v>1</v>
      </c>
      <c r="T689" t="str">
        <f>IF(OR(H689="",LOWER(TRIM(H689&amp;""))="missing",LOWER(TRIM(H689&amp;""))=""),"Missing/",IFERROR(IF(OR(VALUE(H689)&lt;0,VALUE(H689)&gt;110),"Invalid","Valid"),"Check Format"))</f>
        <v>Missing/</v>
      </c>
      <c r="U689" t="str">
        <f>IF(Raw_Data[[#This Row],[Age_Check]]="Valid",H689,"")</f>
        <v/>
      </c>
      <c r="V689" t="str">
        <f>IF(OR(K689="",UPPER(TRIM(K689&amp;""))="",LOWER(TRIM(K689&amp;""))="",LOWER(TRIM(K689&amp;""))="",LOWER(TRIM(K689&amp;""))="missing"),"Missing/",IFERROR(IF(VALUE(K689)&lt;0,"Invalid","Valid"),"Check Format"))</f>
        <v>Valid</v>
      </c>
      <c r="W689" t="str">
        <f>IF(OR(E689="",F689=""),"Missing Date/Time",IFERROR(IF(F689&gt;E689,"Arrival After Appointment","OK"),"Check Format"))</f>
        <v>OK</v>
      </c>
      <c r="X689" t="str">
        <f>IF(OR(F689="",G689=""),"Missing Date/Time",IFERROR(IF(G689&lt;F689,"Discharge Before Arrival","OK"),"Check Format"))</f>
        <v>OK</v>
      </c>
    </row>
    <row r="690" spans="1:24" x14ac:dyDescent="0.25">
      <c r="A690" s="2" t="s">
        <v>1225</v>
      </c>
      <c r="B690" s="2" t="s">
        <v>1226</v>
      </c>
      <c r="C690" s="3" t="s">
        <v>94</v>
      </c>
      <c r="D690" s="3" t="s">
        <v>38</v>
      </c>
      <c r="E690" s="4">
        <v>45322.670138888891</v>
      </c>
      <c r="F690" s="4">
        <v>45322.65902777778</v>
      </c>
      <c r="G690" s="4">
        <v>45322.75</v>
      </c>
      <c r="I690" s="3" t="s">
        <v>39</v>
      </c>
      <c r="J690" s="3" t="s">
        <v>150</v>
      </c>
      <c r="K690" s="5">
        <v>74</v>
      </c>
      <c r="L690" s="5">
        <v>41</v>
      </c>
      <c r="M690" s="3" t="s">
        <v>32</v>
      </c>
      <c r="N690" t="s">
        <v>24</v>
      </c>
      <c r="O690" s="5">
        <v>6</v>
      </c>
      <c r="P690" s="3" t="s">
        <v>25</v>
      </c>
      <c r="Q690" s="2">
        <v>229.82</v>
      </c>
      <c r="R690" s="3" t="s">
        <v>58</v>
      </c>
      <c r="S690">
        <f>COUNTIF(A:A,A690)</f>
        <v>1</v>
      </c>
      <c r="T690" t="str">
        <f>IF(OR(H690="",LOWER(TRIM(H690&amp;""))="missing",LOWER(TRIM(H690&amp;""))=""),"Missing/",IFERROR(IF(OR(VALUE(H690)&lt;0,VALUE(H690)&gt;110),"Invalid","Valid"),"Check Format"))</f>
        <v>Missing/</v>
      </c>
      <c r="U690" t="str">
        <f>IF(Raw_Data[[#This Row],[Age_Check]]="Valid",H690,"")</f>
        <v/>
      </c>
      <c r="V690" t="str">
        <f>IF(OR(K690="",UPPER(TRIM(K690&amp;""))="",LOWER(TRIM(K690&amp;""))="",LOWER(TRIM(K690&amp;""))="",LOWER(TRIM(K690&amp;""))="missing"),"Missing/",IFERROR(IF(VALUE(K690)&lt;0,"Invalid","Valid"),"Check Format"))</f>
        <v>Valid</v>
      </c>
      <c r="W690" t="str">
        <f>IF(OR(E690="",F690=""),"Missing Date/Time",IFERROR(IF(F690&gt;E690,"Arrival After Appointment","OK"),"Check Format"))</f>
        <v>OK</v>
      </c>
      <c r="X690" t="str">
        <f>IF(OR(F690="",G690=""),"Missing Date/Time",IFERROR(IF(G690&lt;F690,"Discharge Before Arrival","OK"),"Check Format"))</f>
        <v>OK</v>
      </c>
    </row>
    <row r="691" spans="1:24" x14ac:dyDescent="0.25">
      <c r="A691" s="2" t="s">
        <v>1227</v>
      </c>
      <c r="B691" s="2" t="s">
        <v>1228</v>
      </c>
      <c r="C691" s="3" t="s">
        <v>19</v>
      </c>
      <c r="D691" s="3" t="s">
        <v>55</v>
      </c>
      <c r="E691" s="4">
        <v>45693.53125</v>
      </c>
      <c r="F691" s="4">
        <v>45693.512499999997</v>
      </c>
      <c r="G691" s="4">
        <v>45693.665277777778</v>
      </c>
      <c r="H691" s="5">
        <v>73</v>
      </c>
      <c r="J691" s="3" t="s">
        <v>150</v>
      </c>
      <c r="K691" s="5">
        <v>154</v>
      </c>
      <c r="L691" s="5">
        <v>39</v>
      </c>
      <c r="M691" s="3" t="s">
        <v>63</v>
      </c>
      <c r="N691" t="s">
        <v>24</v>
      </c>
      <c r="O691" s="5">
        <v>6</v>
      </c>
      <c r="P691" s="3" t="s">
        <v>80</v>
      </c>
      <c r="Q691" s="2">
        <v>104.28</v>
      </c>
      <c r="R691" s="3" t="s">
        <v>58</v>
      </c>
      <c r="S691">
        <f>COUNTIF(A:A,A691)</f>
        <v>1</v>
      </c>
      <c r="T691" t="str">
        <f>IF(OR(H691="",LOWER(TRIM(H691&amp;""))="missing",LOWER(TRIM(H691&amp;""))=""),"Missing/",IFERROR(IF(OR(VALUE(H691)&lt;0,VALUE(H691)&gt;110),"Invalid","Valid"),"Check Format"))</f>
        <v>Valid</v>
      </c>
      <c r="U691">
        <f>IF(Raw_Data[[#This Row],[Age_Check]]="Valid",H691,"")</f>
        <v>73</v>
      </c>
      <c r="V691" t="str">
        <f>IF(OR(K691="",UPPER(TRIM(K691&amp;""))="",LOWER(TRIM(K691&amp;""))="",LOWER(TRIM(K691&amp;""))="",LOWER(TRIM(K691&amp;""))="missing"),"Missing/",IFERROR(IF(VALUE(K691)&lt;0,"Invalid","Valid"),"Check Format"))</f>
        <v>Valid</v>
      </c>
      <c r="W691" t="str">
        <f>IF(OR(E691="",F691=""),"Missing Date/Time",IFERROR(IF(F691&gt;E691,"Arrival After Appointment","OK"),"Check Format"))</f>
        <v>OK</v>
      </c>
      <c r="X691" t="str">
        <f>IF(OR(F691="",G691=""),"Missing Date/Time",IFERROR(IF(G691&lt;F691,"Discharge Before Arrival","OK"),"Check Format"))</f>
        <v>OK</v>
      </c>
    </row>
    <row r="692" spans="1:24" x14ac:dyDescent="0.25">
      <c r="A692" s="2" t="s">
        <v>1229</v>
      </c>
      <c r="B692" s="2" t="s">
        <v>65</v>
      </c>
      <c r="D692" s="3" t="s">
        <v>149</v>
      </c>
      <c r="E692" s="4">
        <v>45466.756944444445</v>
      </c>
      <c r="F692" s="4">
        <v>45466.75</v>
      </c>
      <c r="G692" s="4">
        <v>45466.8</v>
      </c>
      <c r="H692" s="5">
        <v>11</v>
      </c>
      <c r="I692" s="3" t="s">
        <v>90</v>
      </c>
      <c r="J692" s="3" t="s">
        <v>2639</v>
      </c>
      <c r="K692" s="5">
        <v>57</v>
      </c>
      <c r="L692" s="5">
        <v>5</v>
      </c>
      <c r="M692" s="3" t="s">
        <v>68</v>
      </c>
      <c r="P692" s="3" t="s">
        <v>25</v>
      </c>
      <c r="Q692" s="2">
        <v>89.42</v>
      </c>
      <c r="R692" s="3" t="s">
        <v>58</v>
      </c>
      <c r="S692">
        <f>COUNTIF(A:A,A692)</f>
        <v>1</v>
      </c>
      <c r="T692" t="str">
        <f>IF(OR(H692="",LOWER(TRIM(H692&amp;""))="missing",LOWER(TRIM(H692&amp;""))=""),"Missing/",IFERROR(IF(OR(VALUE(H692)&lt;0,VALUE(H692)&gt;110),"Invalid","Valid"),"Check Format"))</f>
        <v>Valid</v>
      </c>
      <c r="U692">
        <f>IF(Raw_Data[[#This Row],[Age_Check]]="Valid",H692,"")</f>
        <v>11</v>
      </c>
      <c r="V692" t="str">
        <f>IF(OR(K692="",UPPER(TRIM(K692&amp;""))="",LOWER(TRIM(K692&amp;""))="",LOWER(TRIM(K692&amp;""))="",LOWER(TRIM(K692&amp;""))="missing"),"Missing/",IFERROR(IF(VALUE(K692)&lt;0,"Invalid","Valid"),"Check Format"))</f>
        <v>Valid</v>
      </c>
      <c r="W692" t="str">
        <f>IF(OR(E692="",F692=""),"Missing Date/Time",IFERROR(IF(F692&gt;E692,"Arrival After Appointment","OK"),"Check Format"))</f>
        <v>OK</v>
      </c>
      <c r="X692" t="str">
        <f>IF(OR(F692="",G692=""),"Missing Date/Time",IFERROR(IF(G692&lt;F692,"Discharge Before Arrival","OK"),"Check Format"))</f>
        <v>OK</v>
      </c>
    </row>
    <row r="693" spans="1:24" x14ac:dyDescent="0.25">
      <c r="A693" s="2" t="s">
        <v>1230</v>
      </c>
      <c r="B693" s="2" t="s">
        <v>170</v>
      </c>
      <c r="C693" s="3" t="s">
        <v>94</v>
      </c>
      <c r="D693" s="3" t="s">
        <v>115</v>
      </c>
      <c r="E693" s="4">
        <v>45696.5625</v>
      </c>
      <c r="F693" s="4">
        <v>45696.543749999997</v>
      </c>
      <c r="H693" s="5">
        <v>5</v>
      </c>
      <c r="J693" s="3" t="s">
        <v>67</v>
      </c>
      <c r="K693" s="5">
        <v>43</v>
      </c>
      <c r="L693" s="5">
        <v>22</v>
      </c>
      <c r="M693" s="3" t="s">
        <v>50</v>
      </c>
      <c r="N693" t="s">
        <v>91</v>
      </c>
      <c r="O693" s="5">
        <v>6</v>
      </c>
      <c r="P693" s="3" t="s">
        <v>25</v>
      </c>
      <c r="Q693" s="2">
        <v>157.19</v>
      </c>
      <c r="R693" s="3" t="s">
        <v>58</v>
      </c>
      <c r="S693">
        <f>COUNTIF(A:A,A693)</f>
        <v>1</v>
      </c>
      <c r="T693" t="str">
        <f>IF(OR(H693="",LOWER(TRIM(H693&amp;""))="missing",LOWER(TRIM(H693&amp;""))=""),"Missing/",IFERROR(IF(OR(VALUE(H693)&lt;0,VALUE(H693)&gt;110),"Invalid","Valid"),"Check Format"))</f>
        <v>Valid</v>
      </c>
      <c r="U693">
        <f>IF(Raw_Data[[#This Row],[Age_Check]]="Valid",H693,"")</f>
        <v>5</v>
      </c>
      <c r="V693" t="str">
        <f>IF(OR(K693="",UPPER(TRIM(K693&amp;""))="",LOWER(TRIM(K693&amp;""))="",LOWER(TRIM(K693&amp;""))="",LOWER(TRIM(K693&amp;""))="missing"),"Missing/",IFERROR(IF(VALUE(K693)&lt;0,"Invalid","Valid"),"Check Format"))</f>
        <v>Valid</v>
      </c>
      <c r="W693" t="str">
        <f>IF(OR(E693="",F693=""),"Missing Date/Time",IFERROR(IF(F693&gt;E693,"Arrival After Appointment","OK"),"Check Format"))</f>
        <v>OK</v>
      </c>
      <c r="X693" t="str">
        <f>IF(OR(F693="",G693=""),"Missing Date/Time",IFERROR(IF(G693&lt;F693,"Discharge Before Arrival","OK"),"Check Format"))</f>
        <v>Missing Date/Time</v>
      </c>
    </row>
    <row r="694" spans="1:24" x14ac:dyDescent="0.25">
      <c r="A694" s="2" t="s">
        <v>1231</v>
      </c>
      <c r="B694" s="2" t="s">
        <v>1232</v>
      </c>
      <c r="C694" s="3" t="s">
        <v>94</v>
      </c>
      <c r="D694" s="3" t="s">
        <v>61</v>
      </c>
      <c r="E694" s="4">
        <v>45420.340277777781</v>
      </c>
      <c r="F694" s="4">
        <v>45509.336805555555</v>
      </c>
      <c r="G694" s="4">
        <v>45509.396527777775</v>
      </c>
      <c r="I694" s="3" t="s">
        <v>73</v>
      </c>
      <c r="J694" s="3" t="s">
        <v>2639</v>
      </c>
      <c r="K694" s="5">
        <v>29</v>
      </c>
      <c r="L694" s="5">
        <v>52</v>
      </c>
      <c r="O694" s="5">
        <v>5</v>
      </c>
      <c r="P694" s="3" t="s">
        <v>25</v>
      </c>
      <c r="Q694" s="2">
        <v>145.02000000000001</v>
      </c>
      <c r="R694" s="3" t="s">
        <v>75</v>
      </c>
      <c r="S694">
        <f>COUNTIF(A:A,A694)</f>
        <v>1</v>
      </c>
      <c r="T694" t="str">
        <f>IF(OR(H694="",LOWER(TRIM(H694&amp;""))="missing",LOWER(TRIM(H694&amp;""))=""),"Missing/",IFERROR(IF(OR(VALUE(H694)&lt;0,VALUE(H694)&gt;110),"Invalid","Valid"),"Check Format"))</f>
        <v>Missing/</v>
      </c>
      <c r="U694" t="str">
        <f>IF(Raw_Data[[#This Row],[Age_Check]]="Valid",H694,"")</f>
        <v/>
      </c>
      <c r="V694" t="str">
        <f>IF(OR(K694="",UPPER(TRIM(K694&amp;""))="",LOWER(TRIM(K694&amp;""))="",LOWER(TRIM(K694&amp;""))="",LOWER(TRIM(K694&amp;""))="missing"),"Missing/",IFERROR(IF(VALUE(K694)&lt;0,"Invalid","Valid"),"Check Format"))</f>
        <v>Valid</v>
      </c>
      <c r="W694" t="str">
        <f>IF(OR(E694="",F694=""),"Missing Date/Time",IFERROR(IF(F694&gt;E694,"Arrival After Appointment","OK"),"Check Format"))</f>
        <v>Arrival After Appointment</v>
      </c>
      <c r="X694" t="str">
        <f>IF(OR(F694="",G694=""),"Missing Date/Time",IFERROR(IF(G694&lt;F694,"Discharge Before Arrival","OK"),"Check Format"))</f>
        <v>OK</v>
      </c>
    </row>
    <row r="695" spans="1:24" x14ac:dyDescent="0.25">
      <c r="A695" s="2" t="s">
        <v>968</v>
      </c>
      <c r="B695" s="2" t="s">
        <v>226</v>
      </c>
      <c r="C695" s="3" t="s">
        <v>37</v>
      </c>
      <c r="D695" s="3" t="s">
        <v>99</v>
      </c>
      <c r="E695" s="4" t="s">
        <v>969</v>
      </c>
      <c r="F695" s="4">
        <v>45990.459027777775</v>
      </c>
      <c r="G695" s="4">
        <v>45990.554166666669</v>
      </c>
      <c r="I695" s="3" t="s">
        <v>95</v>
      </c>
      <c r="J695" s="3" t="s">
        <v>150</v>
      </c>
      <c r="K695" s="5">
        <v>64</v>
      </c>
      <c r="L695" s="5">
        <v>59</v>
      </c>
      <c r="M695" s="3" t="s">
        <v>32</v>
      </c>
      <c r="N695" t="s">
        <v>69</v>
      </c>
      <c r="P695" s="3" t="s">
        <v>25</v>
      </c>
      <c r="Q695" s="2">
        <v>305.49</v>
      </c>
      <c r="R695" s="3" t="s">
        <v>26</v>
      </c>
      <c r="S695">
        <f>COUNTIF(A:A,A695)</f>
        <v>1</v>
      </c>
      <c r="T695" t="str">
        <f>IF(OR(H695="",LOWER(TRIM(H695&amp;""))="missing",LOWER(TRIM(H695&amp;""))=""),"Missing/",IFERROR(IF(OR(VALUE(H695)&lt;0,VALUE(H695)&gt;110),"Invalid","Valid"),"Check Format"))</f>
        <v>Missing/</v>
      </c>
      <c r="U695" t="str">
        <f>IF(Raw_Data[[#This Row],[Age_Check]]="Valid",H695,"")</f>
        <v/>
      </c>
      <c r="V695" t="str">
        <f>IF(OR(K695="",UPPER(TRIM(K695&amp;""))="",LOWER(TRIM(K695&amp;""))="",LOWER(TRIM(K695&amp;""))="",LOWER(TRIM(K695&amp;""))="missing"),"Missing/",IFERROR(IF(VALUE(K695)&lt;0,"Invalid","Valid"),"Check Format"))</f>
        <v>Valid</v>
      </c>
      <c r="W695" t="str">
        <f>IF(OR(E695="",F695=""),"Missing Date/Time",IFERROR(IF(F695&gt;E695,"Arrival After Appointment","OK"),"Check Format"))</f>
        <v>OK</v>
      </c>
      <c r="X695" t="str">
        <f>IF(OR(F695="",G695=""),"Missing Date/Time",IFERROR(IF(G695&lt;F695,"Discharge Before Arrival","OK"),"Check Format"))</f>
        <v>OK</v>
      </c>
    </row>
    <row r="696" spans="1:24" x14ac:dyDescent="0.25">
      <c r="A696" s="2" t="s">
        <v>1235</v>
      </c>
      <c r="B696" s="2" t="s">
        <v>716</v>
      </c>
      <c r="C696" s="3" t="s">
        <v>37</v>
      </c>
      <c r="D696" s="3" t="s">
        <v>55</v>
      </c>
      <c r="E696" s="4">
        <v>45995.361111111109</v>
      </c>
      <c r="F696" s="4">
        <v>45759.348611111112</v>
      </c>
      <c r="J696" s="3" t="s">
        <v>22</v>
      </c>
      <c r="K696" s="5">
        <v>47</v>
      </c>
      <c r="L696" s="5">
        <v>7</v>
      </c>
      <c r="M696" s="3" t="s">
        <v>50</v>
      </c>
      <c r="N696" t="s">
        <v>69</v>
      </c>
      <c r="O696" s="5">
        <v>1</v>
      </c>
      <c r="Q696" s="2">
        <v>79.459999999999994</v>
      </c>
      <c r="R696" s="3" t="s">
        <v>43</v>
      </c>
      <c r="S696">
        <f>COUNTIF(A:A,A696)</f>
        <v>1</v>
      </c>
      <c r="T696" t="str">
        <f>IF(OR(H696="",LOWER(TRIM(H696&amp;""))="missing",LOWER(TRIM(H696&amp;""))=""),"Missing/",IFERROR(IF(OR(VALUE(H696)&lt;0,VALUE(H696)&gt;110),"Invalid","Valid"),"Check Format"))</f>
        <v>Missing/</v>
      </c>
      <c r="U696" t="str">
        <f>IF(Raw_Data[[#This Row],[Age_Check]]="Valid",H696,"")</f>
        <v/>
      </c>
      <c r="V696" t="str">
        <f>IF(OR(K696="",UPPER(TRIM(K696&amp;""))="",LOWER(TRIM(K696&amp;""))="",LOWER(TRIM(K696&amp;""))="",LOWER(TRIM(K696&amp;""))="missing"),"Missing/",IFERROR(IF(VALUE(K696)&lt;0,"Invalid","Valid"),"Check Format"))</f>
        <v>Valid</v>
      </c>
      <c r="W696" t="str">
        <f>IF(OR(E696="",F696=""),"Missing Date/Time",IFERROR(IF(F696&gt;E696,"Arrival After Appointment","OK"),"Check Format"))</f>
        <v>OK</v>
      </c>
      <c r="X696" t="str">
        <f>IF(OR(F696="",G696=""),"Missing Date/Time",IFERROR(IF(G696&lt;F696,"Discharge Before Arrival","OK"),"Check Format"))</f>
        <v>Missing Date/Time</v>
      </c>
    </row>
    <row r="697" spans="1:24" x14ac:dyDescent="0.25">
      <c r="A697" s="2" t="s">
        <v>1236</v>
      </c>
      <c r="B697" s="2" t="s">
        <v>957</v>
      </c>
      <c r="C697" s="3" t="s">
        <v>94</v>
      </c>
      <c r="D697" s="3" t="s">
        <v>72</v>
      </c>
      <c r="E697" s="4">
        <v>45705.694444444445</v>
      </c>
      <c r="F697" s="4">
        <v>45705.692361111112</v>
      </c>
      <c r="G697" s="4">
        <v>45705.755555555559</v>
      </c>
      <c r="I697" s="3" t="s">
        <v>73</v>
      </c>
      <c r="J697" s="3" t="s">
        <v>67</v>
      </c>
      <c r="K697" s="5">
        <v>41</v>
      </c>
      <c r="L697" s="5">
        <v>47</v>
      </c>
      <c r="M697" s="3" t="s">
        <v>68</v>
      </c>
      <c r="N697" t="s">
        <v>24</v>
      </c>
      <c r="P697" s="3" t="s">
        <v>80</v>
      </c>
      <c r="Q697" s="2">
        <v>166</v>
      </c>
      <c r="R697" s="3" t="s">
        <v>43</v>
      </c>
      <c r="S697">
        <f>COUNTIF(A:A,A697)</f>
        <v>1</v>
      </c>
      <c r="T697" t="str">
        <f>IF(OR(H697="",LOWER(TRIM(H697&amp;""))="missing",LOWER(TRIM(H697&amp;""))=""),"Missing/",IFERROR(IF(OR(VALUE(H697)&lt;0,VALUE(H697)&gt;110),"Invalid","Valid"),"Check Format"))</f>
        <v>Missing/</v>
      </c>
      <c r="U697" t="str">
        <f>IF(Raw_Data[[#This Row],[Age_Check]]="Valid",H697,"")</f>
        <v/>
      </c>
      <c r="V697" t="str">
        <f>IF(OR(K697="",UPPER(TRIM(K697&amp;""))="",LOWER(TRIM(K697&amp;""))="",LOWER(TRIM(K697&amp;""))="",LOWER(TRIM(K697&amp;""))="missing"),"Missing/",IFERROR(IF(VALUE(K697)&lt;0,"Invalid","Valid"),"Check Format"))</f>
        <v>Valid</v>
      </c>
      <c r="W697" t="str">
        <f>IF(OR(E697="",F697=""),"Missing Date/Time",IFERROR(IF(F697&gt;E697,"Arrival After Appointment","OK"),"Check Format"))</f>
        <v>OK</v>
      </c>
      <c r="X697" t="str">
        <f>IF(OR(F697="",G697=""),"Missing Date/Time",IFERROR(IF(G697&lt;F697,"Discharge Before Arrival","OK"),"Check Format"))</f>
        <v>OK</v>
      </c>
    </row>
    <row r="698" spans="1:24" x14ac:dyDescent="0.25">
      <c r="A698" s="2" t="s">
        <v>1237</v>
      </c>
      <c r="B698" s="2" t="s">
        <v>654</v>
      </c>
      <c r="C698" s="3" t="s">
        <v>46</v>
      </c>
      <c r="D698" s="3" t="s">
        <v>47</v>
      </c>
      <c r="E698" s="4">
        <v>45957.444444444445</v>
      </c>
      <c r="F698" s="4">
        <v>45957.423611111109</v>
      </c>
      <c r="G698" s="4">
        <v>45957.521527777775</v>
      </c>
      <c r="H698" s="5">
        <v>15</v>
      </c>
      <c r="J698" s="3" t="s">
        <v>171</v>
      </c>
      <c r="K698" s="5">
        <v>64</v>
      </c>
      <c r="L698" s="5">
        <v>47</v>
      </c>
      <c r="N698" t="s">
        <v>91</v>
      </c>
      <c r="O698" s="5">
        <v>5</v>
      </c>
      <c r="P698" s="3" t="s">
        <v>80</v>
      </c>
      <c r="Q698" s="2">
        <v>134.01</v>
      </c>
      <c r="R698" s="3" t="s">
        <v>75</v>
      </c>
      <c r="S698">
        <f>COUNTIF(A:A,A698)</f>
        <v>1</v>
      </c>
      <c r="T698" t="str">
        <f>IF(OR(H698="",LOWER(TRIM(H698&amp;""))="missing",LOWER(TRIM(H698&amp;""))=""),"Missing/",IFERROR(IF(OR(VALUE(H698)&lt;0,VALUE(H698)&gt;110),"Invalid","Valid"),"Check Format"))</f>
        <v>Valid</v>
      </c>
      <c r="U698">
        <f>IF(Raw_Data[[#This Row],[Age_Check]]="Valid",H698,"")</f>
        <v>15</v>
      </c>
      <c r="V698" t="str">
        <f>IF(OR(K698="",UPPER(TRIM(K698&amp;""))="",LOWER(TRIM(K698&amp;""))="",LOWER(TRIM(K698&amp;""))="",LOWER(TRIM(K698&amp;""))="missing"),"Missing/",IFERROR(IF(VALUE(K698)&lt;0,"Invalid","Valid"),"Check Format"))</f>
        <v>Valid</v>
      </c>
      <c r="W698" t="str">
        <f>IF(OR(E698="",F698=""),"Missing Date/Time",IFERROR(IF(F698&gt;E698,"Arrival After Appointment","OK"),"Check Format"))</f>
        <v>OK</v>
      </c>
      <c r="X698" t="str">
        <f>IF(OR(F698="",G698=""),"Missing Date/Time",IFERROR(IF(G698&lt;F698,"Discharge Before Arrival","OK"),"Check Format"))</f>
        <v>OK</v>
      </c>
    </row>
    <row r="699" spans="1:24" x14ac:dyDescent="0.25">
      <c r="A699" s="2" t="s">
        <v>1238</v>
      </c>
      <c r="B699" s="2" t="s">
        <v>289</v>
      </c>
      <c r="C699" s="3" t="s">
        <v>37</v>
      </c>
      <c r="D699" s="3" t="s">
        <v>30</v>
      </c>
      <c r="E699" s="4">
        <v>45387.645833333336</v>
      </c>
      <c r="G699" s="4">
        <v>45387.71597222222</v>
      </c>
      <c r="I699" s="3" t="s">
        <v>95</v>
      </c>
      <c r="J699" s="3" t="s">
        <v>67</v>
      </c>
      <c r="K699" s="5">
        <v>71</v>
      </c>
      <c r="L699" s="5">
        <v>30</v>
      </c>
      <c r="M699" s="3" t="s">
        <v>50</v>
      </c>
      <c r="Q699" s="2">
        <v>166.23</v>
      </c>
      <c r="R699" s="3" t="s">
        <v>43</v>
      </c>
      <c r="S699">
        <f>COUNTIF(A:A,A699)</f>
        <v>1</v>
      </c>
      <c r="T699" t="str">
        <f>IF(OR(H699="",LOWER(TRIM(H699&amp;""))="missing",LOWER(TRIM(H699&amp;""))=""),"Missing/",IFERROR(IF(OR(VALUE(H699)&lt;0,VALUE(H699)&gt;110),"Invalid","Valid"),"Check Format"))</f>
        <v>Missing/</v>
      </c>
      <c r="U699" t="str">
        <f>IF(Raw_Data[[#This Row],[Age_Check]]="Valid",H699,"")</f>
        <v/>
      </c>
      <c r="V699" t="str">
        <f>IF(OR(K699="",UPPER(TRIM(K699&amp;""))="",LOWER(TRIM(K699&amp;""))="",LOWER(TRIM(K699&amp;""))="",LOWER(TRIM(K699&amp;""))="missing"),"Missing/",IFERROR(IF(VALUE(K699)&lt;0,"Invalid","Valid"),"Check Format"))</f>
        <v>Valid</v>
      </c>
      <c r="W699" t="str">
        <f>IF(OR(E699="",F699=""),"Missing Date/Time",IFERROR(IF(F699&gt;E699,"Arrival After Appointment","OK"),"Check Format"))</f>
        <v>Missing Date/Time</v>
      </c>
      <c r="X699" t="str">
        <f>IF(OR(F699="",G699=""),"Missing Date/Time",IFERROR(IF(G699&lt;F699,"Discharge Before Arrival","OK"),"Check Format"))</f>
        <v>Missing Date/Time</v>
      </c>
    </row>
    <row r="700" spans="1:24" x14ac:dyDescent="0.25">
      <c r="A700" s="2" t="s">
        <v>1239</v>
      </c>
      <c r="B700" s="2" t="s">
        <v>832</v>
      </c>
      <c r="C700" s="3" t="s">
        <v>94</v>
      </c>
      <c r="D700" s="3" t="s">
        <v>47</v>
      </c>
      <c r="E700" s="4">
        <v>45893.486111111109</v>
      </c>
      <c r="F700" s="4">
        <v>45893.481249999997</v>
      </c>
      <c r="J700" s="3" t="s">
        <v>22</v>
      </c>
      <c r="K700" s="5">
        <v>37</v>
      </c>
      <c r="L700" s="5">
        <v>5</v>
      </c>
      <c r="N700" t="s">
        <v>69</v>
      </c>
      <c r="O700" s="5">
        <v>1</v>
      </c>
      <c r="Q700" s="2">
        <v>134.26</v>
      </c>
      <c r="R700" s="3" t="s">
        <v>58</v>
      </c>
      <c r="S700">
        <f>COUNTIF(A:A,A700)</f>
        <v>1</v>
      </c>
      <c r="T700" t="str">
        <f>IF(OR(H700="",LOWER(TRIM(H700&amp;""))="missing",LOWER(TRIM(H700&amp;""))=""),"Missing/",IFERROR(IF(OR(VALUE(H700)&lt;0,VALUE(H700)&gt;110),"Invalid","Valid"),"Check Format"))</f>
        <v>Missing/</v>
      </c>
      <c r="U700" t="str">
        <f>IF(Raw_Data[[#This Row],[Age_Check]]="Valid",H700,"")</f>
        <v/>
      </c>
      <c r="V700" t="str">
        <f>IF(OR(K700="",UPPER(TRIM(K700&amp;""))="",LOWER(TRIM(K700&amp;""))="",LOWER(TRIM(K700&amp;""))="",LOWER(TRIM(K700&amp;""))="missing"),"Missing/",IFERROR(IF(VALUE(K700)&lt;0,"Invalid","Valid"),"Check Format"))</f>
        <v>Valid</v>
      </c>
      <c r="W700" t="str">
        <f>IF(OR(E700="",F700=""),"Missing Date/Time",IFERROR(IF(F700&gt;E700,"Arrival After Appointment","OK"),"Check Format"))</f>
        <v>OK</v>
      </c>
      <c r="X700" t="str">
        <f>IF(OR(F700="",G700=""),"Missing Date/Time",IFERROR(IF(G700&lt;F700,"Discharge Before Arrival","OK"),"Check Format"))</f>
        <v>Missing Date/Time</v>
      </c>
    </row>
    <row r="701" spans="1:24" x14ac:dyDescent="0.25">
      <c r="A701" s="2" t="s">
        <v>1240</v>
      </c>
      <c r="B701" s="2" t="s">
        <v>1241</v>
      </c>
      <c r="C701" s="3" t="s">
        <v>46</v>
      </c>
      <c r="D701" s="3" t="s">
        <v>66</v>
      </c>
      <c r="E701" s="4">
        <v>45918.5</v>
      </c>
      <c r="F701" s="4">
        <v>45918.486111111109</v>
      </c>
      <c r="G701" s="4">
        <v>45918.607638888891</v>
      </c>
      <c r="H701" s="5">
        <v>94</v>
      </c>
      <c r="I701" s="3" t="s">
        <v>73</v>
      </c>
      <c r="J701" s="3" t="s">
        <v>67</v>
      </c>
      <c r="K701" s="5">
        <v>107</v>
      </c>
      <c r="L701" s="5">
        <v>48</v>
      </c>
      <c r="N701" t="s">
        <v>69</v>
      </c>
      <c r="O701" s="5">
        <v>6</v>
      </c>
      <c r="P701" s="3" t="s">
        <v>80</v>
      </c>
      <c r="Q701" s="2">
        <v>222.23</v>
      </c>
      <c r="R701" s="3" t="s">
        <v>43</v>
      </c>
      <c r="S701">
        <f>COUNTIF(A:A,A701)</f>
        <v>1</v>
      </c>
      <c r="T701" t="str">
        <f>IF(OR(H701="",LOWER(TRIM(H701&amp;""))="missing",LOWER(TRIM(H701&amp;""))=""),"Missing/",IFERROR(IF(OR(VALUE(H701)&lt;0,VALUE(H701)&gt;110),"Invalid","Valid"),"Check Format"))</f>
        <v>Valid</v>
      </c>
      <c r="U701">
        <f>IF(Raw_Data[[#This Row],[Age_Check]]="Valid",H701,"")</f>
        <v>94</v>
      </c>
      <c r="V701" t="str">
        <f>IF(OR(K701="",UPPER(TRIM(K701&amp;""))="",LOWER(TRIM(K701&amp;""))="",LOWER(TRIM(K701&amp;""))="",LOWER(TRIM(K701&amp;""))="missing"),"Missing/",IFERROR(IF(VALUE(K701)&lt;0,"Invalid","Valid"),"Check Format"))</f>
        <v>Valid</v>
      </c>
      <c r="W701" t="str">
        <f>IF(OR(E701="",F701=""),"Missing Date/Time",IFERROR(IF(F701&gt;E701,"Arrival After Appointment","OK"),"Check Format"))</f>
        <v>OK</v>
      </c>
      <c r="X701" t="str">
        <f>IF(OR(F701="",G701=""),"Missing Date/Time",IFERROR(IF(G701&lt;F701,"Discharge Before Arrival","OK"),"Check Format"))</f>
        <v>OK</v>
      </c>
    </row>
    <row r="702" spans="1:24" x14ac:dyDescent="0.25">
      <c r="A702" s="2" t="s">
        <v>1242</v>
      </c>
      <c r="B702" s="2" t="s">
        <v>515</v>
      </c>
      <c r="C702" s="3" t="s">
        <v>46</v>
      </c>
      <c r="D702" s="3" t="s">
        <v>174</v>
      </c>
      <c r="E702" s="4">
        <v>45361.315972222219</v>
      </c>
      <c r="F702" s="4">
        <v>45568.306250000001</v>
      </c>
      <c r="G702" s="4">
        <v>45568.40902777778</v>
      </c>
      <c r="I702" s="3" t="s">
        <v>95</v>
      </c>
      <c r="J702" s="3" t="s">
        <v>62</v>
      </c>
      <c r="K702" s="5">
        <v>101</v>
      </c>
      <c r="L702" s="5">
        <v>33</v>
      </c>
      <c r="M702" s="3" t="s">
        <v>68</v>
      </c>
      <c r="N702" t="s">
        <v>91</v>
      </c>
      <c r="O702" s="5">
        <v>1</v>
      </c>
      <c r="P702" s="3" t="s">
        <v>42</v>
      </c>
      <c r="Q702" s="2">
        <v>160.79</v>
      </c>
      <c r="R702" s="3" t="s">
        <v>58</v>
      </c>
      <c r="S702">
        <f>COUNTIF(A:A,A702)</f>
        <v>1</v>
      </c>
      <c r="T702" t="str">
        <f>IF(OR(H702="",LOWER(TRIM(H702&amp;""))="missing",LOWER(TRIM(H702&amp;""))=""),"Missing/",IFERROR(IF(OR(VALUE(H702)&lt;0,VALUE(H702)&gt;110),"Invalid","Valid"),"Check Format"))</f>
        <v>Missing/</v>
      </c>
      <c r="U702" t="str">
        <f>IF(Raw_Data[[#This Row],[Age_Check]]="Valid",H702,"")</f>
        <v/>
      </c>
      <c r="V702" t="str">
        <f>IF(OR(K702="",UPPER(TRIM(K702&amp;""))="",LOWER(TRIM(K702&amp;""))="",LOWER(TRIM(K702&amp;""))="",LOWER(TRIM(K702&amp;""))="missing"),"Missing/",IFERROR(IF(VALUE(K702)&lt;0,"Invalid","Valid"),"Check Format"))</f>
        <v>Valid</v>
      </c>
      <c r="W702" t="str">
        <f>IF(OR(E702="",F702=""),"Missing Date/Time",IFERROR(IF(F702&gt;E702,"Arrival After Appointment","OK"),"Check Format"))</f>
        <v>Arrival After Appointment</v>
      </c>
      <c r="X702" t="str">
        <f>IF(OR(F702="",G702=""),"Missing Date/Time",IFERROR(IF(G702&lt;F702,"Discharge Before Arrival","OK"),"Check Format"))</f>
        <v>OK</v>
      </c>
    </row>
    <row r="703" spans="1:24" x14ac:dyDescent="0.25">
      <c r="A703" s="2" t="s">
        <v>1243</v>
      </c>
      <c r="B703" s="2" t="s">
        <v>222</v>
      </c>
      <c r="C703" s="3" t="s">
        <v>46</v>
      </c>
      <c r="D703" s="3" t="s">
        <v>38</v>
      </c>
      <c r="E703" s="4">
        <v>45665.78125</v>
      </c>
      <c r="F703" s="4">
        <v>45870.777083333334</v>
      </c>
      <c r="G703" s="4">
        <v>45870.824305555558</v>
      </c>
      <c r="H703" s="5">
        <v>58</v>
      </c>
      <c r="I703" s="3" t="s">
        <v>95</v>
      </c>
      <c r="J703" s="3" t="s">
        <v>62</v>
      </c>
      <c r="K703" s="5">
        <v>36</v>
      </c>
      <c r="L703" s="5">
        <v>26</v>
      </c>
      <c r="M703" s="3" t="s">
        <v>41</v>
      </c>
      <c r="N703" t="s">
        <v>91</v>
      </c>
      <c r="P703" s="3" t="s">
        <v>80</v>
      </c>
      <c r="Q703" s="2">
        <v>194.26</v>
      </c>
      <c r="R703" s="3" t="s">
        <v>26</v>
      </c>
      <c r="S703">
        <f>COUNTIF(A:A,A703)</f>
        <v>1</v>
      </c>
      <c r="T703" t="str">
        <f>IF(OR(H703="",LOWER(TRIM(H703&amp;""))="missing",LOWER(TRIM(H703&amp;""))=""),"Missing/",IFERROR(IF(OR(VALUE(H703)&lt;0,VALUE(H703)&gt;110),"Invalid","Valid"),"Check Format"))</f>
        <v>Valid</v>
      </c>
      <c r="U703">
        <f>IF(Raw_Data[[#This Row],[Age_Check]]="Valid",H703,"")</f>
        <v>58</v>
      </c>
      <c r="V703" t="str">
        <f>IF(OR(K703="",UPPER(TRIM(K703&amp;""))="",LOWER(TRIM(K703&amp;""))="",LOWER(TRIM(K703&amp;""))="",LOWER(TRIM(K703&amp;""))="missing"),"Missing/",IFERROR(IF(VALUE(K703)&lt;0,"Invalid","Valid"),"Check Format"))</f>
        <v>Valid</v>
      </c>
      <c r="W703" t="str">
        <f>IF(OR(E703="",F703=""),"Missing Date/Time",IFERROR(IF(F703&gt;E703,"Arrival After Appointment","OK"),"Check Format"))</f>
        <v>Arrival After Appointment</v>
      </c>
      <c r="X703" t="str">
        <f>IF(OR(F703="",G703=""),"Missing Date/Time",IFERROR(IF(G703&lt;F703,"Discharge Before Arrival","OK"),"Check Format"))</f>
        <v>OK</v>
      </c>
    </row>
    <row r="704" spans="1:24" x14ac:dyDescent="0.25">
      <c r="A704" s="2" t="s">
        <v>1244</v>
      </c>
      <c r="B704" s="2" t="s">
        <v>123</v>
      </c>
      <c r="C704" s="3" t="s">
        <v>19</v>
      </c>
      <c r="D704" s="3" t="s">
        <v>149</v>
      </c>
      <c r="E704" s="4">
        <v>45460.711805555555</v>
      </c>
      <c r="F704" s="4">
        <v>45460.702777777777</v>
      </c>
      <c r="G704" s="4">
        <v>45460.801388888889</v>
      </c>
      <c r="I704" s="3" t="s">
        <v>95</v>
      </c>
      <c r="J704" s="3" t="s">
        <v>62</v>
      </c>
      <c r="K704" s="5">
        <v>100</v>
      </c>
      <c r="L704" s="5">
        <v>29</v>
      </c>
      <c r="M704" s="3" t="s">
        <v>32</v>
      </c>
      <c r="N704" t="s">
        <v>24</v>
      </c>
      <c r="P704" s="3" t="s">
        <v>80</v>
      </c>
      <c r="Q704" s="2">
        <v>108.98</v>
      </c>
      <c r="R704" s="3" t="s">
        <v>43</v>
      </c>
      <c r="S704">
        <f>COUNTIF(A:A,A704)</f>
        <v>1</v>
      </c>
      <c r="T704" t="str">
        <f>IF(OR(H704="",LOWER(TRIM(H704&amp;""))="missing",LOWER(TRIM(H704&amp;""))=""),"Missing/",IFERROR(IF(OR(VALUE(H704)&lt;0,VALUE(H704)&gt;110),"Invalid","Valid"),"Check Format"))</f>
        <v>Missing/</v>
      </c>
      <c r="U704" t="str">
        <f>IF(Raw_Data[[#This Row],[Age_Check]]="Valid",H704,"")</f>
        <v/>
      </c>
      <c r="V704" t="str">
        <f>IF(OR(K704="",UPPER(TRIM(K704&amp;""))="",LOWER(TRIM(K704&amp;""))="",LOWER(TRIM(K704&amp;""))="",LOWER(TRIM(K704&amp;""))="missing"),"Missing/",IFERROR(IF(VALUE(K704)&lt;0,"Invalid","Valid"),"Check Format"))</f>
        <v>Valid</v>
      </c>
      <c r="W704" t="str">
        <f>IF(OR(E704="",F704=""),"Missing Date/Time",IFERROR(IF(F704&gt;E704,"Arrival After Appointment","OK"),"Check Format"))</f>
        <v>OK</v>
      </c>
      <c r="X704" t="str">
        <f>IF(OR(F704="",G704=""),"Missing Date/Time",IFERROR(IF(G704&lt;F704,"Discharge Before Arrival","OK"),"Check Format"))</f>
        <v>OK</v>
      </c>
    </row>
    <row r="705" spans="1:24" x14ac:dyDescent="0.25">
      <c r="A705" s="2" t="s">
        <v>1245</v>
      </c>
      <c r="B705" s="2" t="s">
        <v>749</v>
      </c>
      <c r="C705" s="3" t="s">
        <v>46</v>
      </c>
      <c r="D705" s="3" t="s">
        <v>99</v>
      </c>
      <c r="E705" s="4">
        <v>45606.489583333336</v>
      </c>
      <c r="F705" s="4">
        <v>45606.481249999997</v>
      </c>
      <c r="G705" s="4">
        <v>45606.559027777781</v>
      </c>
      <c r="I705" s="3" t="s">
        <v>90</v>
      </c>
      <c r="J705" s="3" t="s">
        <v>67</v>
      </c>
      <c r="K705" s="5">
        <v>58</v>
      </c>
      <c r="L705" s="5">
        <v>42</v>
      </c>
      <c r="M705" s="3" t="s">
        <v>63</v>
      </c>
      <c r="N705" t="s">
        <v>74</v>
      </c>
      <c r="O705" s="5">
        <v>4</v>
      </c>
      <c r="P705" s="3" t="s">
        <v>42</v>
      </c>
      <c r="Q705" s="2">
        <v>29.49</v>
      </c>
      <c r="R705" s="3" t="s">
        <v>58</v>
      </c>
      <c r="S705">
        <f>COUNTIF(A:A,A705)</f>
        <v>1</v>
      </c>
      <c r="T705" t="str">
        <f>IF(OR(H705="",LOWER(TRIM(H705&amp;""))="missing",LOWER(TRIM(H705&amp;""))=""),"Missing/",IFERROR(IF(OR(VALUE(H705)&lt;0,VALUE(H705)&gt;110),"Invalid","Valid"),"Check Format"))</f>
        <v>Missing/</v>
      </c>
      <c r="U705" t="str">
        <f>IF(Raw_Data[[#This Row],[Age_Check]]="Valid",H705,"")</f>
        <v/>
      </c>
      <c r="V705" t="str">
        <f>IF(OR(K705="",UPPER(TRIM(K705&amp;""))="",LOWER(TRIM(K705&amp;""))="",LOWER(TRIM(K705&amp;""))="",LOWER(TRIM(K705&amp;""))="missing"),"Missing/",IFERROR(IF(VALUE(K705)&lt;0,"Invalid","Valid"),"Check Format"))</f>
        <v>Valid</v>
      </c>
      <c r="W705" t="str">
        <f>IF(OR(E705="",F705=""),"Missing Date/Time",IFERROR(IF(F705&gt;E705,"Arrival After Appointment","OK"),"Check Format"))</f>
        <v>OK</v>
      </c>
      <c r="X705" t="str">
        <f>IF(OR(F705="",G705=""),"Missing Date/Time",IFERROR(IF(G705&lt;F705,"Discharge Before Arrival","OK"),"Check Format"))</f>
        <v>OK</v>
      </c>
    </row>
    <row r="706" spans="1:24" x14ac:dyDescent="0.25">
      <c r="A706" s="2" t="s">
        <v>1246</v>
      </c>
      <c r="B706" s="2" t="s">
        <v>593</v>
      </c>
      <c r="C706" s="3" t="s">
        <v>94</v>
      </c>
      <c r="D706" s="3" t="s">
        <v>55</v>
      </c>
      <c r="E706" s="4">
        <v>45766.774305555555</v>
      </c>
      <c r="F706" s="4">
        <v>45766.754861111112</v>
      </c>
      <c r="G706" s="4">
        <v>45766.789583333331</v>
      </c>
      <c r="H706" s="5">
        <v>68</v>
      </c>
      <c r="I706" s="3" t="s">
        <v>73</v>
      </c>
      <c r="K706" s="5">
        <v>0</v>
      </c>
      <c r="L706" s="5">
        <v>22</v>
      </c>
      <c r="M706" s="3" t="s">
        <v>50</v>
      </c>
      <c r="N706" t="s">
        <v>103</v>
      </c>
      <c r="O706" s="5">
        <v>4</v>
      </c>
      <c r="P706" s="3" t="s">
        <v>25</v>
      </c>
      <c r="Q706" s="2">
        <v>47.34</v>
      </c>
      <c r="R706" s="3" t="s">
        <v>58</v>
      </c>
      <c r="S706">
        <f>COUNTIF(A:A,A706)</f>
        <v>1</v>
      </c>
      <c r="T706" t="str">
        <f>IF(OR(H706="",LOWER(TRIM(H706&amp;""))="missing",LOWER(TRIM(H706&amp;""))=""),"Missing/",IFERROR(IF(OR(VALUE(H706)&lt;0,VALUE(H706)&gt;110),"Invalid","Valid"),"Check Format"))</f>
        <v>Valid</v>
      </c>
      <c r="U706">
        <f>IF(Raw_Data[[#This Row],[Age_Check]]="Valid",H706,"")</f>
        <v>68</v>
      </c>
      <c r="V706" t="str">
        <f>IF(OR(K706="",UPPER(TRIM(K706&amp;""))="",LOWER(TRIM(K706&amp;""))="",LOWER(TRIM(K706&amp;""))="",LOWER(TRIM(K706&amp;""))="missing"),"Missing/",IFERROR(IF(VALUE(K706)&lt;0,"Invalid","Valid"),"Check Format"))</f>
        <v>Valid</v>
      </c>
      <c r="W706" t="str">
        <f>IF(OR(E706="",F706=""),"Missing Date/Time",IFERROR(IF(F706&gt;E706,"Arrival After Appointment","OK"),"Check Format"))</f>
        <v>OK</v>
      </c>
      <c r="X706" t="str">
        <f>IF(OR(F706="",G706=""),"Missing Date/Time",IFERROR(IF(G706&lt;F706,"Discharge Before Arrival","OK"),"Check Format"))</f>
        <v>OK</v>
      </c>
    </row>
    <row r="707" spans="1:24" x14ac:dyDescent="0.25">
      <c r="A707" s="2" t="s">
        <v>1247</v>
      </c>
      <c r="B707" s="2" t="s">
        <v>852</v>
      </c>
      <c r="C707" s="3" t="s">
        <v>29</v>
      </c>
      <c r="D707" s="3" t="s">
        <v>209</v>
      </c>
      <c r="E707" s="4">
        <v>45728.444444444445</v>
      </c>
      <c r="F707" s="4">
        <v>45728.4375</v>
      </c>
      <c r="G707" s="4">
        <v>45728.492361111108</v>
      </c>
      <c r="H707" s="5">
        <v>57</v>
      </c>
      <c r="I707" s="3" t="s">
        <v>73</v>
      </c>
      <c r="J707" s="3" t="s">
        <v>2639</v>
      </c>
      <c r="K707" s="5">
        <v>40</v>
      </c>
      <c r="L707" s="5">
        <v>29</v>
      </c>
      <c r="N707" t="s">
        <v>69</v>
      </c>
      <c r="O707" s="5">
        <v>0</v>
      </c>
      <c r="P707" s="3" t="s">
        <v>42</v>
      </c>
      <c r="R707" s="3" t="s">
        <v>58</v>
      </c>
      <c r="S707">
        <f>COUNTIF(A:A,A707)</f>
        <v>1</v>
      </c>
      <c r="T707" t="str">
        <f>IF(OR(H707="",LOWER(TRIM(H707&amp;""))="missing",LOWER(TRIM(H707&amp;""))=""),"Missing/",IFERROR(IF(OR(VALUE(H707)&lt;0,VALUE(H707)&gt;110),"Invalid","Valid"),"Check Format"))</f>
        <v>Valid</v>
      </c>
      <c r="U707">
        <f>IF(Raw_Data[[#This Row],[Age_Check]]="Valid",H707,"")</f>
        <v>57</v>
      </c>
      <c r="V707" t="str">
        <f>IF(OR(K707="",UPPER(TRIM(K707&amp;""))="",LOWER(TRIM(K707&amp;""))="",LOWER(TRIM(K707&amp;""))="",LOWER(TRIM(K707&amp;""))="missing"),"Missing/",IFERROR(IF(VALUE(K707)&lt;0,"Invalid","Valid"),"Check Format"))</f>
        <v>Valid</v>
      </c>
      <c r="W707" t="str">
        <f>IF(OR(E707="",F707=""),"Missing Date/Time",IFERROR(IF(F707&gt;E707,"Arrival After Appointment","OK"),"Check Format"))</f>
        <v>OK</v>
      </c>
      <c r="X707" t="str">
        <f>IF(OR(F707="",G707=""),"Missing Date/Time",IFERROR(IF(G707&lt;F707,"Discharge Before Arrival","OK"),"Check Format"))</f>
        <v>OK</v>
      </c>
    </row>
    <row r="708" spans="1:24" x14ac:dyDescent="0.25">
      <c r="A708" s="2" t="s">
        <v>1248</v>
      </c>
      <c r="B708" s="2" t="s">
        <v>1249</v>
      </c>
      <c r="C708" s="3" t="s">
        <v>94</v>
      </c>
      <c r="D708" s="3" t="s">
        <v>72</v>
      </c>
      <c r="E708" s="4">
        <v>45442.309027777781</v>
      </c>
      <c r="F708" s="4">
        <v>45442.295138888891</v>
      </c>
      <c r="G708" s="4">
        <v>45442.378472222219</v>
      </c>
      <c r="H708" s="5">
        <v>86</v>
      </c>
      <c r="I708" s="3" t="s">
        <v>95</v>
      </c>
      <c r="J708" s="3" t="s">
        <v>67</v>
      </c>
      <c r="K708" s="5">
        <v>42</v>
      </c>
      <c r="L708" s="5">
        <v>58</v>
      </c>
      <c r="M708" s="3" t="s">
        <v>41</v>
      </c>
      <c r="N708" t="s">
        <v>74</v>
      </c>
      <c r="O708" s="5">
        <v>0</v>
      </c>
      <c r="P708" s="3" t="s">
        <v>25</v>
      </c>
      <c r="Q708" s="2">
        <v>171.14</v>
      </c>
      <c r="R708" s="3" t="s">
        <v>58</v>
      </c>
      <c r="S708">
        <f>COUNTIF(A:A,A708)</f>
        <v>1</v>
      </c>
      <c r="T708" t="str">
        <f>IF(OR(H708="",LOWER(TRIM(H708&amp;""))="missing",LOWER(TRIM(H708&amp;""))=""),"Missing/",IFERROR(IF(OR(VALUE(H708)&lt;0,VALUE(H708)&gt;110),"Invalid","Valid"),"Check Format"))</f>
        <v>Valid</v>
      </c>
      <c r="U708">
        <f>IF(Raw_Data[[#This Row],[Age_Check]]="Valid",H708,"")</f>
        <v>86</v>
      </c>
      <c r="V708" t="str">
        <f>IF(OR(K708="",UPPER(TRIM(K708&amp;""))="",LOWER(TRIM(K708&amp;""))="",LOWER(TRIM(K708&amp;""))="",LOWER(TRIM(K708&amp;""))="missing"),"Missing/",IFERROR(IF(VALUE(K708)&lt;0,"Invalid","Valid"),"Check Format"))</f>
        <v>Valid</v>
      </c>
      <c r="W708" t="str">
        <f>IF(OR(E708="",F708=""),"Missing Date/Time",IFERROR(IF(F708&gt;E708,"Arrival After Appointment","OK"),"Check Format"))</f>
        <v>OK</v>
      </c>
      <c r="X708" t="str">
        <f>IF(OR(F708="",G708=""),"Missing Date/Time",IFERROR(IF(G708&lt;F708,"Discharge Before Arrival","OK"),"Check Format"))</f>
        <v>OK</v>
      </c>
    </row>
    <row r="709" spans="1:24" x14ac:dyDescent="0.25">
      <c r="A709" s="2" t="s">
        <v>1250</v>
      </c>
      <c r="B709" s="2" t="s">
        <v>54</v>
      </c>
      <c r="C709" s="3" t="s">
        <v>46</v>
      </c>
      <c r="D709" s="3" t="s">
        <v>30</v>
      </c>
      <c r="E709" s="4">
        <v>45470.364583333336</v>
      </c>
      <c r="F709" s="4">
        <v>45470.352777777778</v>
      </c>
      <c r="G709" s="4">
        <v>45470.441666666666</v>
      </c>
      <c r="J709" s="3" t="s">
        <v>171</v>
      </c>
      <c r="K709" s="5">
        <v>68</v>
      </c>
      <c r="L709" s="5">
        <v>43</v>
      </c>
      <c r="M709" s="3" t="s">
        <v>63</v>
      </c>
      <c r="O709" s="5">
        <v>2</v>
      </c>
      <c r="P709" s="3" t="s">
        <v>25</v>
      </c>
      <c r="Q709" s="2">
        <v>53.89</v>
      </c>
      <c r="R709" s="3" t="s">
        <v>58</v>
      </c>
      <c r="S709">
        <f>COUNTIF(A:A,A709)</f>
        <v>1</v>
      </c>
      <c r="T709" t="str">
        <f>IF(OR(H709="",LOWER(TRIM(H709&amp;""))="missing",LOWER(TRIM(H709&amp;""))=""),"Missing/",IFERROR(IF(OR(VALUE(H709)&lt;0,VALUE(H709)&gt;110),"Invalid","Valid"),"Check Format"))</f>
        <v>Missing/</v>
      </c>
      <c r="U709" t="str">
        <f>IF(Raw_Data[[#This Row],[Age_Check]]="Valid",H709,"")</f>
        <v/>
      </c>
      <c r="V709" t="str">
        <f>IF(OR(K709="",UPPER(TRIM(K709&amp;""))="",LOWER(TRIM(K709&amp;""))="",LOWER(TRIM(K709&amp;""))="",LOWER(TRIM(K709&amp;""))="missing"),"Missing/",IFERROR(IF(VALUE(K709)&lt;0,"Invalid","Valid"),"Check Format"))</f>
        <v>Valid</v>
      </c>
      <c r="W709" t="str">
        <f>IF(OR(E709="",F709=""),"Missing Date/Time",IFERROR(IF(F709&gt;E709,"Arrival After Appointment","OK"),"Check Format"))</f>
        <v>OK</v>
      </c>
      <c r="X709" t="str">
        <f>IF(OR(F709="",G709=""),"Missing Date/Time",IFERROR(IF(G709&lt;F709,"Discharge Before Arrival","OK"),"Check Format"))</f>
        <v>OK</v>
      </c>
    </row>
    <row r="710" spans="1:24" x14ac:dyDescent="0.25">
      <c r="A710" s="2" t="s">
        <v>1251</v>
      </c>
      <c r="B710" s="2" t="s">
        <v>1252</v>
      </c>
      <c r="C710" s="3" t="s">
        <v>46</v>
      </c>
      <c r="D710" s="3" t="s">
        <v>115</v>
      </c>
      <c r="E710" s="4">
        <v>45907.579861111109</v>
      </c>
      <c r="F710" s="4">
        <v>45847.572916666664</v>
      </c>
      <c r="G710" s="4">
        <v>45847.665972222225</v>
      </c>
      <c r="H710" s="5">
        <v>145</v>
      </c>
      <c r="I710" s="3" t="s">
        <v>73</v>
      </c>
      <c r="J710" s="3" t="s">
        <v>22</v>
      </c>
      <c r="K710" s="5">
        <v>94</v>
      </c>
      <c r="L710" s="5">
        <v>30</v>
      </c>
      <c r="M710" s="3" t="s">
        <v>23</v>
      </c>
      <c r="N710" t="s">
        <v>103</v>
      </c>
      <c r="P710" s="3" t="s">
        <v>25</v>
      </c>
      <c r="Q710" s="2">
        <v>198.64</v>
      </c>
      <c r="R710" s="3" t="s">
        <v>58</v>
      </c>
      <c r="S710">
        <f>COUNTIF(A:A,A710)</f>
        <v>1</v>
      </c>
      <c r="T710" t="str">
        <f>IF(OR(H710="",LOWER(TRIM(H710&amp;""))="missing",LOWER(TRIM(H710&amp;""))=""),"Missing/",IFERROR(IF(OR(VALUE(H710)&lt;0,VALUE(H710)&gt;110),"Invalid","Valid"),"Check Format"))</f>
        <v>Invalid</v>
      </c>
      <c r="U710" t="str">
        <f>IF(Raw_Data[[#This Row],[Age_Check]]="Valid",H710,"")</f>
        <v/>
      </c>
      <c r="V710" t="str">
        <f>IF(OR(K710="",UPPER(TRIM(K710&amp;""))="",LOWER(TRIM(K710&amp;""))="",LOWER(TRIM(K710&amp;""))="",LOWER(TRIM(K710&amp;""))="missing"),"Missing/",IFERROR(IF(VALUE(K710)&lt;0,"Invalid","Valid"),"Check Format"))</f>
        <v>Valid</v>
      </c>
      <c r="W710" t="str">
        <f>IF(OR(E710="",F710=""),"Missing Date/Time",IFERROR(IF(F710&gt;E710,"Arrival After Appointment","OK"),"Check Format"))</f>
        <v>OK</v>
      </c>
      <c r="X710" t="str">
        <f>IF(OR(F710="",G710=""),"Missing Date/Time",IFERROR(IF(G710&lt;F710,"Discharge Before Arrival","OK"),"Check Format"))</f>
        <v>OK</v>
      </c>
    </row>
    <row r="711" spans="1:24" x14ac:dyDescent="0.25">
      <c r="A711" s="2" t="s">
        <v>1253</v>
      </c>
      <c r="B711" s="2" t="s">
        <v>1254</v>
      </c>
      <c r="C711" s="3" t="s">
        <v>94</v>
      </c>
      <c r="D711" s="3" t="s">
        <v>174</v>
      </c>
      <c r="E711" s="4">
        <v>45475.444444444445</v>
      </c>
      <c r="G711" s="4">
        <v>45475.461805555555</v>
      </c>
      <c r="H711" s="5">
        <v>35</v>
      </c>
      <c r="J711" s="3" t="s">
        <v>67</v>
      </c>
      <c r="K711" s="5">
        <v>20</v>
      </c>
      <c r="L711" s="5">
        <v>5</v>
      </c>
      <c r="M711" s="3" t="s">
        <v>23</v>
      </c>
      <c r="N711" t="s">
        <v>24</v>
      </c>
      <c r="O711" s="5">
        <v>6</v>
      </c>
      <c r="P711" s="3" t="s">
        <v>80</v>
      </c>
      <c r="Q711" s="2">
        <v>210.43</v>
      </c>
      <c r="R711" s="3" t="s">
        <v>43</v>
      </c>
      <c r="S711">
        <f>COUNTIF(A:A,A711)</f>
        <v>1</v>
      </c>
      <c r="T711" t="str">
        <f>IF(OR(H711="",LOWER(TRIM(H711&amp;""))="missing",LOWER(TRIM(H711&amp;""))=""),"Missing/",IFERROR(IF(OR(VALUE(H711)&lt;0,VALUE(H711)&gt;110),"Invalid","Valid"),"Check Format"))</f>
        <v>Valid</v>
      </c>
      <c r="U711">
        <f>IF(Raw_Data[[#This Row],[Age_Check]]="Valid",H711,"")</f>
        <v>35</v>
      </c>
      <c r="V711" t="str">
        <f>IF(OR(K711="",UPPER(TRIM(K711&amp;""))="",LOWER(TRIM(K711&amp;""))="",LOWER(TRIM(K711&amp;""))="",LOWER(TRIM(K711&amp;""))="missing"),"Missing/",IFERROR(IF(VALUE(K711)&lt;0,"Invalid","Valid"),"Check Format"))</f>
        <v>Valid</v>
      </c>
      <c r="W711" t="str">
        <f>IF(OR(E711="",F711=""),"Missing Date/Time",IFERROR(IF(F711&gt;E711,"Arrival After Appointment","OK"),"Check Format"))</f>
        <v>Missing Date/Time</v>
      </c>
      <c r="X711" t="str">
        <f>IF(OR(F711="",G711=""),"Missing Date/Time",IFERROR(IF(G711&lt;F711,"Discharge Before Arrival","OK"),"Check Format"))</f>
        <v>Missing Date/Time</v>
      </c>
    </row>
    <row r="712" spans="1:24" x14ac:dyDescent="0.25">
      <c r="A712" s="2" t="s">
        <v>1255</v>
      </c>
      <c r="B712" s="2" t="s">
        <v>526</v>
      </c>
      <c r="C712" s="3" t="s">
        <v>46</v>
      </c>
      <c r="D712" s="3" t="s">
        <v>30</v>
      </c>
      <c r="E712" s="4">
        <v>45801.756944444445</v>
      </c>
      <c r="F712" s="4">
        <v>45801.745138888888</v>
      </c>
      <c r="G712" s="4">
        <v>45801.816666666666</v>
      </c>
      <c r="I712" s="3" t="s">
        <v>95</v>
      </c>
      <c r="J712" s="3" t="s">
        <v>171</v>
      </c>
      <c r="K712" s="5">
        <v>71</v>
      </c>
      <c r="L712" s="5">
        <v>15</v>
      </c>
      <c r="M712" s="3" t="s">
        <v>50</v>
      </c>
      <c r="N712" t="s">
        <v>91</v>
      </c>
      <c r="O712" s="5">
        <v>1</v>
      </c>
      <c r="P712" s="3" t="s">
        <v>42</v>
      </c>
      <c r="Q712" s="2">
        <v>75.430000000000007</v>
      </c>
      <c r="R712" s="3" t="s">
        <v>75</v>
      </c>
      <c r="S712">
        <f>COUNTIF(A:A,A712)</f>
        <v>1</v>
      </c>
      <c r="T712" t="str">
        <f>IF(OR(H712="",LOWER(TRIM(H712&amp;""))="missing",LOWER(TRIM(H712&amp;""))=""),"Missing/",IFERROR(IF(OR(VALUE(H712)&lt;0,VALUE(H712)&gt;110),"Invalid","Valid"),"Check Format"))</f>
        <v>Missing/</v>
      </c>
      <c r="U712" t="str">
        <f>IF(Raw_Data[[#This Row],[Age_Check]]="Valid",H712,"")</f>
        <v/>
      </c>
      <c r="V712" t="str">
        <f>IF(OR(K712="",UPPER(TRIM(K712&amp;""))="",LOWER(TRIM(K712&amp;""))="",LOWER(TRIM(K712&amp;""))="",LOWER(TRIM(K712&amp;""))="missing"),"Missing/",IFERROR(IF(VALUE(K712)&lt;0,"Invalid","Valid"),"Check Format"))</f>
        <v>Valid</v>
      </c>
      <c r="W712" t="str">
        <f>IF(OR(E712="",F712=""),"Missing Date/Time",IFERROR(IF(F712&gt;E712,"Arrival After Appointment","OK"),"Check Format"))</f>
        <v>OK</v>
      </c>
      <c r="X712" t="str">
        <f>IF(OR(F712="",G712=""),"Missing Date/Time",IFERROR(IF(G712&lt;F712,"Discharge Before Arrival","OK"),"Check Format"))</f>
        <v>OK</v>
      </c>
    </row>
    <row r="713" spans="1:24" x14ac:dyDescent="0.25">
      <c r="A713" s="2" t="s">
        <v>1256</v>
      </c>
      <c r="B713" s="2" t="s">
        <v>807</v>
      </c>
      <c r="C713" s="3" t="s">
        <v>94</v>
      </c>
      <c r="D713" s="3" t="s">
        <v>23</v>
      </c>
      <c r="E713" s="4">
        <v>45631.732638888891</v>
      </c>
      <c r="F713" s="4">
        <v>45631.725694444445</v>
      </c>
      <c r="G713" s="4">
        <v>45631.806944444441</v>
      </c>
      <c r="H713" s="5">
        <v>32</v>
      </c>
      <c r="J713" s="3" t="s">
        <v>67</v>
      </c>
      <c r="K713" s="5">
        <v>97</v>
      </c>
      <c r="L713" s="5">
        <v>10</v>
      </c>
      <c r="N713" t="s">
        <v>24</v>
      </c>
      <c r="O713" s="5">
        <v>4</v>
      </c>
      <c r="P713" s="3" t="s">
        <v>80</v>
      </c>
      <c r="Q713" s="2">
        <v>276.41000000000003</v>
      </c>
      <c r="R713" s="3" t="s">
        <v>26</v>
      </c>
      <c r="S713">
        <f>COUNTIF(A:A,A713)</f>
        <v>1</v>
      </c>
      <c r="T713" t="str">
        <f>IF(OR(H713="",LOWER(TRIM(H713&amp;""))="missing",LOWER(TRIM(H713&amp;""))=""),"Missing/",IFERROR(IF(OR(VALUE(H713)&lt;0,VALUE(H713)&gt;110),"Invalid","Valid"),"Check Format"))</f>
        <v>Valid</v>
      </c>
      <c r="U713">
        <f>IF(Raw_Data[[#This Row],[Age_Check]]="Valid",H713,"")</f>
        <v>32</v>
      </c>
      <c r="V713" t="str">
        <f>IF(OR(K713="",UPPER(TRIM(K713&amp;""))="",LOWER(TRIM(K713&amp;""))="",LOWER(TRIM(K713&amp;""))="",LOWER(TRIM(K713&amp;""))="missing"),"Missing/",IFERROR(IF(VALUE(K713)&lt;0,"Invalid","Valid"),"Check Format"))</f>
        <v>Valid</v>
      </c>
      <c r="W713" t="str">
        <f>IF(OR(E713="",F713=""),"Missing Date/Time",IFERROR(IF(F713&gt;E713,"Arrival After Appointment","OK"),"Check Format"))</f>
        <v>OK</v>
      </c>
      <c r="X713" t="str">
        <f>IF(OR(F713="",G713=""),"Missing Date/Time",IFERROR(IF(G713&lt;F713,"Discharge Before Arrival","OK"),"Check Format"))</f>
        <v>OK</v>
      </c>
    </row>
    <row r="714" spans="1:24" x14ac:dyDescent="0.25">
      <c r="A714" s="2" t="s">
        <v>1257</v>
      </c>
      <c r="B714" s="2" t="s">
        <v>648</v>
      </c>
      <c r="C714" s="3" t="s">
        <v>37</v>
      </c>
      <c r="D714" s="3" t="s">
        <v>38</v>
      </c>
      <c r="E714" s="4">
        <v>45428.736111111109</v>
      </c>
      <c r="F714" s="4">
        <v>45428.716666666667</v>
      </c>
      <c r="G714" s="4">
        <v>45428.78402777778</v>
      </c>
      <c r="I714" s="3" t="s">
        <v>95</v>
      </c>
      <c r="J714" s="3" t="s">
        <v>22</v>
      </c>
      <c r="K714" s="5">
        <v>26</v>
      </c>
      <c r="L714" s="5">
        <v>43</v>
      </c>
      <c r="M714" s="3" t="s">
        <v>63</v>
      </c>
      <c r="N714" t="s">
        <v>100</v>
      </c>
      <c r="O714" s="5">
        <v>6</v>
      </c>
      <c r="Q714" s="2">
        <v>118.71</v>
      </c>
      <c r="R714" s="3" t="s">
        <v>58</v>
      </c>
      <c r="S714">
        <f>COUNTIF(A:A,A714)</f>
        <v>1</v>
      </c>
      <c r="T714" t="str">
        <f>IF(OR(H714="",LOWER(TRIM(H714&amp;""))="missing",LOWER(TRIM(H714&amp;""))=""),"Missing/",IFERROR(IF(OR(VALUE(H714)&lt;0,VALUE(H714)&gt;110),"Invalid","Valid"),"Check Format"))</f>
        <v>Missing/</v>
      </c>
      <c r="U714" t="str">
        <f>IF(Raw_Data[[#This Row],[Age_Check]]="Valid",H714,"")</f>
        <v/>
      </c>
      <c r="V714" t="str">
        <f>IF(OR(K714="",UPPER(TRIM(K714&amp;""))="",LOWER(TRIM(K714&amp;""))="",LOWER(TRIM(K714&amp;""))="",LOWER(TRIM(K714&amp;""))="missing"),"Missing/",IFERROR(IF(VALUE(K714)&lt;0,"Invalid","Valid"),"Check Format"))</f>
        <v>Valid</v>
      </c>
      <c r="W714" t="str">
        <f>IF(OR(E714="",F714=""),"Missing Date/Time",IFERROR(IF(F714&gt;E714,"Arrival After Appointment","OK"),"Check Format"))</f>
        <v>OK</v>
      </c>
      <c r="X714" t="str">
        <f>IF(OR(F714="",G714=""),"Missing Date/Time",IFERROR(IF(G714&lt;F714,"Discharge Before Arrival","OK"),"Check Format"))</f>
        <v>OK</v>
      </c>
    </row>
    <row r="715" spans="1:24" x14ac:dyDescent="0.25">
      <c r="A715" s="2" t="s">
        <v>1258</v>
      </c>
      <c r="B715" s="2" t="s">
        <v>256</v>
      </c>
      <c r="C715" s="3" t="s">
        <v>29</v>
      </c>
      <c r="D715" s="3" t="s">
        <v>106</v>
      </c>
      <c r="E715" s="4">
        <v>45881.395833333336</v>
      </c>
      <c r="F715" s="4">
        <v>45881.377083333333</v>
      </c>
      <c r="G715" s="4">
        <v>45881.46597222222</v>
      </c>
      <c r="H715" s="5">
        <v>145</v>
      </c>
      <c r="I715" s="3" t="s">
        <v>95</v>
      </c>
      <c r="J715" s="3" t="s">
        <v>2639</v>
      </c>
      <c r="K715" s="5">
        <v>79</v>
      </c>
      <c r="L715" s="5">
        <v>22</v>
      </c>
      <c r="M715" s="3" t="s">
        <v>41</v>
      </c>
      <c r="N715" t="s">
        <v>91</v>
      </c>
      <c r="O715" s="5">
        <v>6</v>
      </c>
      <c r="P715" s="3" t="s">
        <v>25</v>
      </c>
      <c r="Q715" s="2">
        <v>131.97999999999999</v>
      </c>
      <c r="R715" s="3" t="s">
        <v>26</v>
      </c>
      <c r="S715">
        <f>COUNTIF(A:A,A715)</f>
        <v>1</v>
      </c>
      <c r="T715" t="str">
        <f>IF(OR(H715="",LOWER(TRIM(H715&amp;""))="missing",LOWER(TRIM(H715&amp;""))=""),"Missing/",IFERROR(IF(OR(VALUE(H715)&lt;0,VALUE(H715)&gt;110),"Invalid","Valid"),"Check Format"))</f>
        <v>Invalid</v>
      </c>
      <c r="U715" t="str">
        <f>IF(Raw_Data[[#This Row],[Age_Check]]="Valid",H715,"")</f>
        <v/>
      </c>
      <c r="V715" t="str">
        <f>IF(OR(K715="",UPPER(TRIM(K715&amp;""))="",LOWER(TRIM(K715&amp;""))="",LOWER(TRIM(K715&amp;""))="",LOWER(TRIM(K715&amp;""))="missing"),"Missing/",IFERROR(IF(VALUE(K715)&lt;0,"Invalid","Valid"),"Check Format"))</f>
        <v>Valid</v>
      </c>
      <c r="W715" t="str">
        <f>IF(OR(E715="",F715=""),"Missing Date/Time",IFERROR(IF(F715&gt;E715,"Arrival After Appointment","OK"),"Check Format"))</f>
        <v>OK</v>
      </c>
      <c r="X715" t="str">
        <f>IF(OR(F715="",G715=""),"Missing Date/Time",IFERROR(IF(G715&lt;F715,"Discharge Before Arrival","OK"),"Check Format"))</f>
        <v>OK</v>
      </c>
    </row>
    <row r="716" spans="1:24" x14ac:dyDescent="0.25">
      <c r="A716" s="2" t="s">
        <v>1259</v>
      </c>
      <c r="B716" s="2" t="s">
        <v>662</v>
      </c>
      <c r="C716" s="3" t="s">
        <v>19</v>
      </c>
      <c r="D716" s="3" t="s">
        <v>23</v>
      </c>
      <c r="E716" s="4">
        <v>45988.472222222219</v>
      </c>
      <c r="F716" s="4">
        <v>45988.452777777777</v>
      </c>
      <c r="G716" s="4">
        <v>45988.522222222222</v>
      </c>
      <c r="H716" s="5">
        <v>73</v>
      </c>
      <c r="I716" s="3" t="s">
        <v>73</v>
      </c>
      <c r="J716" s="3" t="s">
        <v>2639</v>
      </c>
      <c r="K716" s="5">
        <v>59</v>
      </c>
      <c r="L716" s="5">
        <v>13</v>
      </c>
      <c r="M716" s="3" t="s">
        <v>32</v>
      </c>
      <c r="N716" t="s">
        <v>69</v>
      </c>
      <c r="O716" s="5">
        <v>6</v>
      </c>
      <c r="Q716" s="2">
        <v>204.27</v>
      </c>
      <c r="R716" s="3" t="s">
        <v>26</v>
      </c>
      <c r="S716">
        <f>COUNTIF(A:A,A716)</f>
        <v>1</v>
      </c>
      <c r="T716" t="str">
        <f>IF(OR(H716="",LOWER(TRIM(H716&amp;""))="missing",LOWER(TRIM(H716&amp;""))=""),"Missing/",IFERROR(IF(OR(VALUE(H716)&lt;0,VALUE(H716)&gt;110),"Invalid","Valid"),"Check Format"))</f>
        <v>Valid</v>
      </c>
      <c r="U716">
        <f>IF(Raw_Data[[#This Row],[Age_Check]]="Valid",H716,"")</f>
        <v>73</v>
      </c>
      <c r="V716" t="str">
        <f>IF(OR(K716="",UPPER(TRIM(K716&amp;""))="",LOWER(TRIM(K716&amp;""))="",LOWER(TRIM(K716&amp;""))="",LOWER(TRIM(K716&amp;""))="missing"),"Missing/",IFERROR(IF(VALUE(K716)&lt;0,"Invalid","Valid"),"Check Format"))</f>
        <v>Valid</v>
      </c>
      <c r="W716" t="str">
        <f>IF(OR(E716="",F716=""),"Missing Date/Time",IFERROR(IF(F716&gt;E716,"Arrival After Appointment","OK"),"Check Format"))</f>
        <v>OK</v>
      </c>
      <c r="X716" t="str">
        <f>IF(OR(F716="",G716=""),"Missing Date/Time",IFERROR(IF(G716&lt;F716,"Discharge Before Arrival","OK"),"Check Format"))</f>
        <v>OK</v>
      </c>
    </row>
    <row r="717" spans="1:24" x14ac:dyDescent="0.25">
      <c r="A717" s="2" t="s">
        <v>1260</v>
      </c>
      <c r="B717" s="2" t="s">
        <v>60</v>
      </c>
      <c r="C717" s="3" t="s">
        <v>19</v>
      </c>
      <c r="D717" s="3" t="s">
        <v>66</v>
      </c>
      <c r="E717" s="4">
        <v>45839.4375</v>
      </c>
      <c r="F717" s="4">
        <v>45664.430555555555</v>
      </c>
      <c r="G717" s="4">
        <v>45664.484027777777</v>
      </c>
      <c r="H717" s="5">
        <v>93</v>
      </c>
      <c r="I717" s="3" t="s">
        <v>39</v>
      </c>
      <c r="J717" s="3" t="s">
        <v>22</v>
      </c>
      <c r="K717" s="5">
        <v>40</v>
      </c>
      <c r="L717" s="5">
        <v>27</v>
      </c>
      <c r="M717" s="3" t="s">
        <v>50</v>
      </c>
      <c r="N717" t="s">
        <v>69</v>
      </c>
      <c r="O717" s="5">
        <v>4</v>
      </c>
      <c r="P717" s="3" t="s">
        <v>80</v>
      </c>
      <c r="Q717" s="2">
        <v>65.45</v>
      </c>
      <c r="R717" s="3" t="s">
        <v>58</v>
      </c>
      <c r="S717">
        <f>COUNTIF(A:A,A717)</f>
        <v>1</v>
      </c>
      <c r="T717" t="str">
        <f>IF(OR(H717="",LOWER(TRIM(H717&amp;""))="missing",LOWER(TRIM(H717&amp;""))=""),"Missing/",IFERROR(IF(OR(VALUE(H717)&lt;0,VALUE(H717)&gt;110),"Invalid","Valid"),"Check Format"))</f>
        <v>Valid</v>
      </c>
      <c r="U717">
        <f>IF(Raw_Data[[#This Row],[Age_Check]]="Valid",H717,"")</f>
        <v>93</v>
      </c>
      <c r="V717" t="str">
        <f>IF(OR(K717="",UPPER(TRIM(K717&amp;""))="",LOWER(TRIM(K717&amp;""))="",LOWER(TRIM(K717&amp;""))="",LOWER(TRIM(K717&amp;""))="missing"),"Missing/",IFERROR(IF(VALUE(K717)&lt;0,"Invalid","Valid"),"Check Format"))</f>
        <v>Valid</v>
      </c>
      <c r="W717" t="str">
        <f>IF(OR(E717="",F717=""),"Missing Date/Time",IFERROR(IF(F717&gt;E717,"Arrival After Appointment","OK"),"Check Format"))</f>
        <v>OK</v>
      </c>
      <c r="X717" t="str">
        <f>IF(OR(F717="",G717=""),"Missing Date/Time",IFERROR(IF(G717&lt;F717,"Discharge Before Arrival","OK"),"Check Format"))</f>
        <v>OK</v>
      </c>
    </row>
    <row r="718" spans="1:24" x14ac:dyDescent="0.25">
      <c r="A718" s="2" t="s">
        <v>1261</v>
      </c>
      <c r="B718" s="2" t="s">
        <v>1262</v>
      </c>
      <c r="C718" s="3" t="s">
        <v>29</v>
      </c>
      <c r="D718" s="3" t="s">
        <v>61</v>
      </c>
      <c r="E718" s="4">
        <v>45564.413194444445</v>
      </c>
      <c r="F718" s="4">
        <v>45564.404861111114</v>
      </c>
      <c r="G718" s="4">
        <v>45564.432638888888</v>
      </c>
      <c r="H718" s="5">
        <v>145</v>
      </c>
      <c r="J718" s="3" t="s">
        <v>62</v>
      </c>
      <c r="K718" s="5">
        <v>1440</v>
      </c>
      <c r="L718" s="5">
        <v>28</v>
      </c>
      <c r="M718" s="3" t="s">
        <v>32</v>
      </c>
      <c r="Q718" s="2">
        <v>338.01</v>
      </c>
      <c r="R718" s="3" t="s">
        <v>58</v>
      </c>
      <c r="S718">
        <f>COUNTIF(A:A,A718)</f>
        <v>1</v>
      </c>
      <c r="T718" t="str">
        <f>IF(OR(H718="",LOWER(TRIM(H718&amp;""))="missing",LOWER(TRIM(H718&amp;""))=""),"Missing/",IFERROR(IF(OR(VALUE(H718)&lt;0,VALUE(H718)&gt;110),"Invalid","Valid"),"Check Format"))</f>
        <v>Invalid</v>
      </c>
      <c r="U718" t="str">
        <f>IF(Raw_Data[[#This Row],[Age_Check]]="Valid",H718,"")</f>
        <v/>
      </c>
      <c r="V718" t="str">
        <f>IF(OR(K718="",UPPER(TRIM(K718&amp;""))="",LOWER(TRIM(K718&amp;""))="",LOWER(TRIM(K718&amp;""))="",LOWER(TRIM(K718&amp;""))="missing"),"Missing/",IFERROR(IF(VALUE(K718)&lt;0,"Invalid","Valid"),"Check Format"))</f>
        <v>Valid</v>
      </c>
      <c r="W718" t="str">
        <f>IF(OR(E718="",F718=""),"Missing Date/Time",IFERROR(IF(F718&gt;E718,"Arrival After Appointment","OK"),"Check Format"))</f>
        <v>OK</v>
      </c>
      <c r="X718" t="str">
        <f>IF(OR(F718="",G718=""),"Missing Date/Time",IFERROR(IF(G718&lt;F718,"Discharge Before Arrival","OK"),"Check Format"))</f>
        <v>OK</v>
      </c>
    </row>
    <row r="719" spans="1:24" x14ac:dyDescent="0.25">
      <c r="A719" s="2" t="s">
        <v>1263</v>
      </c>
      <c r="B719" s="2" t="s">
        <v>120</v>
      </c>
      <c r="C719" s="3" t="s">
        <v>94</v>
      </c>
      <c r="D719" s="3" t="s">
        <v>55</v>
      </c>
      <c r="E719" s="4">
        <v>45831.642361111109</v>
      </c>
      <c r="F719" s="4">
        <v>45831.621527777781</v>
      </c>
      <c r="G719" s="4">
        <v>45831.722916666666</v>
      </c>
      <c r="I719" s="3" t="s">
        <v>73</v>
      </c>
      <c r="J719" s="3" t="s">
        <v>67</v>
      </c>
      <c r="K719" s="5">
        <v>85</v>
      </c>
      <c r="L719" s="5">
        <v>31</v>
      </c>
      <c r="M719" s="3" t="s">
        <v>32</v>
      </c>
      <c r="N719" t="s">
        <v>103</v>
      </c>
      <c r="O719" s="5">
        <v>2</v>
      </c>
      <c r="P719" s="3" t="s">
        <v>80</v>
      </c>
      <c r="Q719" s="2">
        <v>123.97</v>
      </c>
      <c r="R719" s="3" t="s">
        <v>26</v>
      </c>
      <c r="S719">
        <f>COUNTIF(A:A,A719)</f>
        <v>1</v>
      </c>
      <c r="T719" t="str">
        <f>IF(OR(H719="",LOWER(TRIM(H719&amp;""))="missing",LOWER(TRIM(H719&amp;""))=""),"Missing/",IFERROR(IF(OR(VALUE(H719)&lt;0,VALUE(H719)&gt;110),"Invalid","Valid"),"Check Format"))</f>
        <v>Missing/</v>
      </c>
      <c r="U719" t="str">
        <f>IF(Raw_Data[[#This Row],[Age_Check]]="Valid",H719,"")</f>
        <v/>
      </c>
      <c r="V719" t="str">
        <f>IF(OR(K719="",UPPER(TRIM(K719&amp;""))="",LOWER(TRIM(K719&amp;""))="",LOWER(TRIM(K719&amp;""))="",LOWER(TRIM(K719&amp;""))="missing"),"Missing/",IFERROR(IF(VALUE(K719)&lt;0,"Invalid","Valid"),"Check Format"))</f>
        <v>Valid</v>
      </c>
      <c r="W719" t="str">
        <f>IF(OR(E719="",F719=""),"Missing Date/Time",IFERROR(IF(F719&gt;E719,"Arrival After Appointment","OK"),"Check Format"))</f>
        <v>OK</v>
      </c>
      <c r="X719" t="str">
        <f>IF(OR(F719="",G719=""),"Missing Date/Time",IFERROR(IF(G719&lt;F719,"Discharge Before Arrival","OK"),"Check Format"))</f>
        <v>OK</v>
      </c>
    </row>
    <row r="720" spans="1:24" x14ac:dyDescent="0.25">
      <c r="A720" s="2" t="s">
        <v>1264</v>
      </c>
      <c r="B720" s="2" t="s">
        <v>576</v>
      </c>
      <c r="C720" s="3" t="s">
        <v>46</v>
      </c>
      <c r="D720" s="3" t="s">
        <v>30</v>
      </c>
      <c r="E720" s="4">
        <v>45876.725694444445</v>
      </c>
      <c r="F720" s="4">
        <v>45846.722916666666</v>
      </c>
      <c r="G720" s="4">
        <v>45846.794444444444</v>
      </c>
      <c r="H720" s="5">
        <v>78</v>
      </c>
      <c r="I720" s="3" t="s">
        <v>95</v>
      </c>
      <c r="J720" s="3" t="s">
        <v>67</v>
      </c>
      <c r="K720" s="5">
        <v>58</v>
      </c>
      <c r="L720" s="5">
        <v>41</v>
      </c>
      <c r="M720" s="3" t="s">
        <v>41</v>
      </c>
      <c r="N720" t="s">
        <v>74</v>
      </c>
      <c r="O720" s="5">
        <v>2</v>
      </c>
      <c r="P720" s="3" t="s">
        <v>25</v>
      </c>
      <c r="Q720" s="2">
        <v>50.53</v>
      </c>
      <c r="R720" s="3" t="s">
        <v>75</v>
      </c>
      <c r="S720">
        <f>COUNTIF(A:A,A720)</f>
        <v>1</v>
      </c>
      <c r="T720" t="str">
        <f>IF(OR(H720="",LOWER(TRIM(H720&amp;""))="missing",LOWER(TRIM(H720&amp;""))=""),"Missing/",IFERROR(IF(OR(VALUE(H720)&lt;0,VALUE(H720)&gt;110),"Invalid","Valid"),"Check Format"))</f>
        <v>Valid</v>
      </c>
      <c r="U720">
        <f>IF(Raw_Data[[#This Row],[Age_Check]]="Valid",H720,"")</f>
        <v>78</v>
      </c>
      <c r="V720" t="str">
        <f>IF(OR(K720="",UPPER(TRIM(K720&amp;""))="",LOWER(TRIM(K720&amp;""))="",LOWER(TRIM(K720&amp;""))="",LOWER(TRIM(K720&amp;""))="missing"),"Missing/",IFERROR(IF(VALUE(K720)&lt;0,"Invalid","Valid"),"Check Format"))</f>
        <v>Valid</v>
      </c>
      <c r="W720" t="str">
        <f>IF(OR(E720="",F720=""),"Missing Date/Time",IFERROR(IF(F720&gt;E720,"Arrival After Appointment","OK"),"Check Format"))</f>
        <v>OK</v>
      </c>
      <c r="X720" t="str">
        <f>IF(OR(F720="",G720=""),"Missing Date/Time",IFERROR(IF(G720&lt;F720,"Discharge Before Arrival","OK"),"Check Format"))</f>
        <v>OK</v>
      </c>
    </row>
    <row r="721" spans="1:24" x14ac:dyDescent="0.25">
      <c r="A721" s="2" t="s">
        <v>1265</v>
      </c>
      <c r="B721" s="2" t="s">
        <v>1175</v>
      </c>
      <c r="C721" s="3" t="s">
        <v>29</v>
      </c>
      <c r="D721" s="3" t="s">
        <v>47</v>
      </c>
      <c r="E721" s="4">
        <v>45529.34375</v>
      </c>
      <c r="F721" s="4">
        <v>45529.34375</v>
      </c>
      <c r="G721" s="4">
        <v>45529.441666666666</v>
      </c>
      <c r="H721" s="5">
        <v>145</v>
      </c>
      <c r="I721" s="3" t="s">
        <v>73</v>
      </c>
      <c r="J721" s="3" t="s">
        <v>171</v>
      </c>
      <c r="K721" s="5">
        <v>97</v>
      </c>
      <c r="L721" s="5">
        <v>44</v>
      </c>
      <c r="P721" s="3" t="s">
        <v>25</v>
      </c>
      <c r="Q721" s="2">
        <v>202.45</v>
      </c>
      <c r="R721" s="3" t="s">
        <v>26</v>
      </c>
      <c r="S721">
        <f>COUNTIF(A:A,A721)</f>
        <v>1</v>
      </c>
      <c r="T721" t="str">
        <f>IF(OR(H721="",LOWER(TRIM(H721&amp;""))="missing",LOWER(TRIM(H721&amp;""))=""),"Missing/",IFERROR(IF(OR(VALUE(H721)&lt;0,VALUE(H721)&gt;110),"Invalid","Valid"),"Check Format"))</f>
        <v>Invalid</v>
      </c>
      <c r="U721" t="str">
        <f>IF(Raw_Data[[#This Row],[Age_Check]]="Valid",H721,"")</f>
        <v/>
      </c>
      <c r="V721" t="str">
        <f>IF(OR(K721="",UPPER(TRIM(K721&amp;""))="",LOWER(TRIM(K721&amp;""))="",LOWER(TRIM(K721&amp;""))="",LOWER(TRIM(K721&amp;""))="missing"),"Missing/",IFERROR(IF(VALUE(K721)&lt;0,"Invalid","Valid"),"Check Format"))</f>
        <v>Valid</v>
      </c>
      <c r="W721" t="str">
        <f>IF(OR(E721="",F721=""),"Missing Date/Time",IFERROR(IF(F721&gt;E721,"Arrival After Appointment","OK"),"Check Format"))</f>
        <v>OK</v>
      </c>
      <c r="X721" t="str">
        <f>IF(OR(F721="",G721=""),"Missing Date/Time",IFERROR(IF(G721&lt;F721,"Discharge Before Arrival","OK"),"Check Format"))</f>
        <v>OK</v>
      </c>
    </row>
    <row r="722" spans="1:24" x14ac:dyDescent="0.25">
      <c r="A722" s="2" t="s">
        <v>1266</v>
      </c>
      <c r="B722" s="2" t="s">
        <v>1267</v>
      </c>
      <c r="D722" s="3" t="s">
        <v>72</v>
      </c>
      <c r="E722" s="4">
        <v>45794.399305555555</v>
      </c>
      <c r="F722" s="4">
        <v>45794.393055555556</v>
      </c>
      <c r="G722" s="4">
        <v>45794.472222222219</v>
      </c>
      <c r="H722" s="5">
        <v>19</v>
      </c>
      <c r="I722" s="3" t="s">
        <v>95</v>
      </c>
      <c r="J722" s="3" t="s">
        <v>2639</v>
      </c>
      <c r="K722" s="5">
        <v>73</v>
      </c>
      <c r="L722" s="5">
        <v>32</v>
      </c>
      <c r="M722" s="3" t="s">
        <v>41</v>
      </c>
      <c r="P722" s="3" t="s">
        <v>80</v>
      </c>
      <c r="Q722" s="2">
        <v>198.83</v>
      </c>
      <c r="R722" s="3" t="s">
        <v>58</v>
      </c>
      <c r="S722">
        <f>COUNTIF(A:A,A722)</f>
        <v>1</v>
      </c>
      <c r="T722" t="str">
        <f>IF(OR(H722="",LOWER(TRIM(H722&amp;""))="missing",LOWER(TRIM(H722&amp;""))=""),"Missing/",IFERROR(IF(OR(VALUE(H722)&lt;0,VALUE(H722)&gt;110),"Invalid","Valid"),"Check Format"))</f>
        <v>Valid</v>
      </c>
      <c r="U722">
        <f>IF(Raw_Data[[#This Row],[Age_Check]]="Valid",H722,"")</f>
        <v>19</v>
      </c>
      <c r="V722" t="str">
        <f>IF(OR(K722="",UPPER(TRIM(K722&amp;""))="",LOWER(TRIM(K722&amp;""))="",LOWER(TRIM(K722&amp;""))="",LOWER(TRIM(K722&amp;""))="missing"),"Missing/",IFERROR(IF(VALUE(K722)&lt;0,"Invalid","Valid"),"Check Format"))</f>
        <v>Valid</v>
      </c>
      <c r="W722" t="str">
        <f>IF(OR(E722="",F722=""),"Missing Date/Time",IFERROR(IF(F722&gt;E722,"Arrival After Appointment","OK"),"Check Format"))</f>
        <v>OK</v>
      </c>
      <c r="X722" t="str">
        <f>IF(OR(F722="",G722=""),"Missing Date/Time",IFERROR(IF(G722&lt;F722,"Discharge Before Arrival","OK"),"Check Format"))</f>
        <v>OK</v>
      </c>
    </row>
    <row r="723" spans="1:24" x14ac:dyDescent="0.25">
      <c r="A723" s="2" t="s">
        <v>1268</v>
      </c>
      <c r="B723" s="2" t="s">
        <v>355</v>
      </c>
      <c r="C723" s="3" t="s">
        <v>94</v>
      </c>
      <c r="D723" s="3" t="s">
        <v>20</v>
      </c>
      <c r="E723" s="4">
        <v>45848.371527777781</v>
      </c>
      <c r="F723" s="4">
        <v>45848.357638888891</v>
      </c>
      <c r="H723" s="5">
        <v>39</v>
      </c>
      <c r="I723" s="3" t="s">
        <v>95</v>
      </c>
      <c r="J723" s="3" t="s">
        <v>171</v>
      </c>
      <c r="K723" s="5">
        <v>78</v>
      </c>
      <c r="L723" s="5">
        <v>25</v>
      </c>
      <c r="N723" t="s">
        <v>74</v>
      </c>
      <c r="O723" s="5">
        <v>5</v>
      </c>
      <c r="P723" s="3" t="s">
        <v>80</v>
      </c>
      <c r="Q723" s="2">
        <v>99.11</v>
      </c>
      <c r="R723" s="3" t="s">
        <v>43</v>
      </c>
      <c r="S723">
        <f>COUNTIF(A:A,A723)</f>
        <v>1</v>
      </c>
      <c r="T723" t="str">
        <f>IF(OR(H723="",LOWER(TRIM(H723&amp;""))="missing",LOWER(TRIM(H723&amp;""))=""),"Missing/",IFERROR(IF(OR(VALUE(H723)&lt;0,VALUE(H723)&gt;110),"Invalid","Valid"),"Check Format"))</f>
        <v>Valid</v>
      </c>
      <c r="U723">
        <f>IF(Raw_Data[[#This Row],[Age_Check]]="Valid",H723,"")</f>
        <v>39</v>
      </c>
      <c r="V723" t="str">
        <f>IF(OR(K723="",UPPER(TRIM(K723&amp;""))="",LOWER(TRIM(K723&amp;""))="",LOWER(TRIM(K723&amp;""))="",LOWER(TRIM(K723&amp;""))="missing"),"Missing/",IFERROR(IF(VALUE(K723)&lt;0,"Invalid","Valid"),"Check Format"))</f>
        <v>Valid</v>
      </c>
      <c r="W723" t="str">
        <f>IF(OR(E723="",F723=""),"Missing Date/Time",IFERROR(IF(F723&gt;E723,"Arrival After Appointment","OK"),"Check Format"))</f>
        <v>OK</v>
      </c>
      <c r="X723" t="str">
        <f>IF(OR(F723="",G723=""),"Missing Date/Time",IFERROR(IF(G723&lt;F723,"Discharge Before Arrival","OK"),"Check Format"))</f>
        <v>Missing Date/Time</v>
      </c>
    </row>
    <row r="724" spans="1:24" x14ac:dyDescent="0.25">
      <c r="A724" s="2" t="s">
        <v>1269</v>
      </c>
      <c r="B724" s="2" t="s">
        <v>926</v>
      </c>
      <c r="C724" s="3" t="s">
        <v>94</v>
      </c>
      <c r="D724" s="3" t="s">
        <v>115</v>
      </c>
      <c r="E724" s="4">
        <v>45837.399305555555</v>
      </c>
      <c r="F724" s="4">
        <v>45837.379861111112</v>
      </c>
      <c r="G724" s="4">
        <v>45837.482638888891</v>
      </c>
      <c r="I724" s="3" t="s">
        <v>39</v>
      </c>
      <c r="J724" s="3" t="s">
        <v>67</v>
      </c>
      <c r="K724" s="5">
        <v>61</v>
      </c>
      <c r="L724" s="5">
        <v>59</v>
      </c>
      <c r="M724" s="3" t="s">
        <v>63</v>
      </c>
      <c r="N724" t="s">
        <v>24</v>
      </c>
      <c r="O724" s="5">
        <v>4</v>
      </c>
      <c r="Q724" s="2">
        <v>45.87</v>
      </c>
      <c r="R724" s="3" t="s">
        <v>58</v>
      </c>
      <c r="S724">
        <f>COUNTIF(A:A,A724)</f>
        <v>1</v>
      </c>
      <c r="T724" t="str">
        <f>IF(OR(H724="",LOWER(TRIM(H724&amp;""))="missing",LOWER(TRIM(H724&amp;""))=""),"Missing/",IFERROR(IF(OR(VALUE(H724)&lt;0,VALUE(H724)&gt;110),"Invalid","Valid"),"Check Format"))</f>
        <v>Missing/</v>
      </c>
      <c r="U724" t="str">
        <f>IF(Raw_Data[[#This Row],[Age_Check]]="Valid",H724,"")</f>
        <v/>
      </c>
      <c r="V724" t="str">
        <f>IF(OR(K724="",UPPER(TRIM(K724&amp;""))="",LOWER(TRIM(K724&amp;""))="",LOWER(TRIM(K724&amp;""))="",LOWER(TRIM(K724&amp;""))="missing"),"Missing/",IFERROR(IF(VALUE(K724)&lt;0,"Invalid","Valid"),"Check Format"))</f>
        <v>Valid</v>
      </c>
      <c r="W724" t="str">
        <f>IF(OR(E724="",F724=""),"Missing Date/Time",IFERROR(IF(F724&gt;E724,"Arrival After Appointment","OK"),"Check Format"))</f>
        <v>OK</v>
      </c>
      <c r="X724" t="str">
        <f>IF(OR(F724="",G724=""),"Missing Date/Time",IFERROR(IF(G724&lt;F724,"Discharge Before Arrival","OK"),"Check Format"))</f>
        <v>OK</v>
      </c>
    </row>
    <row r="725" spans="1:24" x14ac:dyDescent="0.25">
      <c r="A725" s="2" t="s">
        <v>1270</v>
      </c>
      <c r="B725" s="2" t="s">
        <v>197</v>
      </c>
      <c r="C725" s="3" t="s">
        <v>94</v>
      </c>
      <c r="D725" s="3" t="s">
        <v>209</v>
      </c>
      <c r="E725" s="4">
        <v>45977.774305555555</v>
      </c>
      <c r="G725" s="4">
        <v>45977.802083333336</v>
      </c>
      <c r="H725" s="5">
        <v>91</v>
      </c>
      <c r="I725" s="3" t="s">
        <v>73</v>
      </c>
      <c r="J725" s="3" t="s">
        <v>67</v>
      </c>
      <c r="K725" s="5">
        <v>6</v>
      </c>
      <c r="L725" s="5">
        <v>34</v>
      </c>
      <c r="M725" s="3" t="s">
        <v>68</v>
      </c>
      <c r="N725" t="s">
        <v>100</v>
      </c>
      <c r="O725" s="5">
        <v>2</v>
      </c>
      <c r="P725" s="3" t="s">
        <v>80</v>
      </c>
      <c r="Q725" s="2">
        <v>149.07</v>
      </c>
      <c r="R725" s="3" t="s">
        <v>43</v>
      </c>
      <c r="S725">
        <f>COUNTIF(A:A,A725)</f>
        <v>1</v>
      </c>
      <c r="T725" t="str">
        <f>IF(OR(H725="",LOWER(TRIM(H725&amp;""))="missing",LOWER(TRIM(H725&amp;""))=""),"Missing/",IFERROR(IF(OR(VALUE(H725)&lt;0,VALUE(H725)&gt;110),"Invalid","Valid"),"Check Format"))</f>
        <v>Valid</v>
      </c>
      <c r="U725">
        <f>IF(Raw_Data[[#This Row],[Age_Check]]="Valid",H725,"")</f>
        <v>91</v>
      </c>
      <c r="V725" t="str">
        <f>IF(OR(K725="",UPPER(TRIM(K725&amp;""))="",LOWER(TRIM(K725&amp;""))="",LOWER(TRIM(K725&amp;""))="",LOWER(TRIM(K725&amp;""))="missing"),"Missing/",IFERROR(IF(VALUE(K725)&lt;0,"Invalid","Valid"),"Check Format"))</f>
        <v>Valid</v>
      </c>
      <c r="W725" t="str">
        <f>IF(OR(E725="",F725=""),"Missing Date/Time",IFERROR(IF(F725&gt;E725,"Arrival After Appointment","OK"),"Check Format"))</f>
        <v>Missing Date/Time</v>
      </c>
      <c r="X725" t="str">
        <f>IF(OR(F725="",G725=""),"Missing Date/Time",IFERROR(IF(G725&lt;F725,"Discharge Before Arrival","OK"),"Check Format"))</f>
        <v>Missing Date/Time</v>
      </c>
    </row>
    <row r="726" spans="1:24" x14ac:dyDescent="0.25">
      <c r="A726" s="2" t="s">
        <v>1271</v>
      </c>
      <c r="B726" s="2" t="s">
        <v>949</v>
      </c>
      <c r="C726" s="3" t="s">
        <v>94</v>
      </c>
      <c r="D726" s="3" t="s">
        <v>55</v>
      </c>
      <c r="E726" s="4">
        <v>45321.506944444445</v>
      </c>
      <c r="F726" s="4">
        <v>45321.490972222222</v>
      </c>
      <c r="G726" s="4">
        <v>45321.576388888891</v>
      </c>
      <c r="H726" s="5">
        <v>145</v>
      </c>
      <c r="I726" s="3" t="s">
        <v>73</v>
      </c>
      <c r="J726" s="3" t="s">
        <v>171</v>
      </c>
      <c r="K726" s="5">
        <v>64</v>
      </c>
      <c r="L726" s="5">
        <v>36</v>
      </c>
      <c r="M726" s="3" t="s">
        <v>63</v>
      </c>
      <c r="N726" t="s">
        <v>24</v>
      </c>
      <c r="O726" s="5">
        <v>5</v>
      </c>
      <c r="P726" s="3" t="s">
        <v>80</v>
      </c>
      <c r="Q726" s="2">
        <v>127.14</v>
      </c>
      <c r="R726" s="3" t="s">
        <v>75</v>
      </c>
      <c r="S726">
        <f>COUNTIF(A:A,A726)</f>
        <v>1</v>
      </c>
      <c r="T726" t="str">
        <f>IF(OR(H726="",LOWER(TRIM(H726&amp;""))="missing",LOWER(TRIM(H726&amp;""))=""),"Missing/",IFERROR(IF(OR(VALUE(H726)&lt;0,VALUE(H726)&gt;110),"Invalid","Valid"),"Check Format"))</f>
        <v>Invalid</v>
      </c>
      <c r="U726" t="str">
        <f>IF(Raw_Data[[#This Row],[Age_Check]]="Valid",H726,"")</f>
        <v/>
      </c>
      <c r="V726" t="str">
        <f>IF(OR(K726="",UPPER(TRIM(K726&amp;""))="",LOWER(TRIM(K726&amp;""))="",LOWER(TRIM(K726&amp;""))="",LOWER(TRIM(K726&amp;""))="missing"),"Missing/",IFERROR(IF(VALUE(K726)&lt;0,"Invalid","Valid"),"Check Format"))</f>
        <v>Valid</v>
      </c>
      <c r="W726" t="str">
        <f>IF(OR(E726="",F726=""),"Missing Date/Time",IFERROR(IF(F726&gt;E726,"Arrival After Appointment","OK"),"Check Format"))</f>
        <v>OK</v>
      </c>
      <c r="X726" t="str">
        <f>IF(OR(F726="",G726=""),"Missing Date/Time",IFERROR(IF(G726&lt;F726,"Discharge Before Arrival","OK"),"Check Format"))</f>
        <v>OK</v>
      </c>
    </row>
    <row r="727" spans="1:24" x14ac:dyDescent="0.25">
      <c r="A727" s="2" t="s">
        <v>1272</v>
      </c>
      <c r="B727" s="2" t="s">
        <v>339</v>
      </c>
      <c r="C727" s="3" t="s">
        <v>19</v>
      </c>
      <c r="D727" s="3" t="s">
        <v>115</v>
      </c>
      <c r="E727" s="4" t="s">
        <v>1273</v>
      </c>
      <c r="F727" s="4">
        <v>45883.621527777781</v>
      </c>
      <c r="G727" s="4">
        <v>45883.715277777781</v>
      </c>
      <c r="H727" s="5">
        <v>63</v>
      </c>
      <c r="I727" s="3" t="s">
        <v>95</v>
      </c>
      <c r="J727" s="3" t="s">
        <v>150</v>
      </c>
      <c r="K727" s="5">
        <v>110</v>
      </c>
      <c r="L727" s="5">
        <v>5</v>
      </c>
      <c r="N727" t="s">
        <v>103</v>
      </c>
      <c r="O727" s="5">
        <v>6</v>
      </c>
      <c r="P727" s="3" t="s">
        <v>25</v>
      </c>
      <c r="Q727" s="2">
        <v>78.72</v>
      </c>
      <c r="R727" s="3" t="s">
        <v>75</v>
      </c>
      <c r="S727">
        <f>COUNTIF(A:A,A727)</f>
        <v>1</v>
      </c>
      <c r="T727" t="str">
        <f>IF(OR(H727="",LOWER(TRIM(H727&amp;""))="missing",LOWER(TRIM(H727&amp;""))=""),"Missing/",IFERROR(IF(OR(VALUE(H727)&lt;0,VALUE(H727)&gt;110),"Invalid","Valid"),"Check Format"))</f>
        <v>Valid</v>
      </c>
      <c r="U727">
        <f>IF(Raw_Data[[#This Row],[Age_Check]]="Valid",H727,"")</f>
        <v>63</v>
      </c>
      <c r="V727" t="str">
        <f>IF(OR(K727="",UPPER(TRIM(K727&amp;""))="",LOWER(TRIM(K727&amp;""))="",LOWER(TRIM(K727&amp;""))="",LOWER(TRIM(K727&amp;""))="missing"),"Missing/",IFERROR(IF(VALUE(K727)&lt;0,"Invalid","Valid"),"Check Format"))</f>
        <v>Valid</v>
      </c>
      <c r="W727" t="str">
        <f>IF(OR(E727="",F727=""),"Missing Date/Time",IFERROR(IF(F727&gt;E727,"Arrival After Appointment","OK"),"Check Format"))</f>
        <v>OK</v>
      </c>
      <c r="X727" t="str">
        <f>IF(OR(F727="",G727=""),"Missing Date/Time",IFERROR(IF(G727&lt;F727,"Discharge Before Arrival","OK"),"Check Format"))</f>
        <v>OK</v>
      </c>
    </row>
    <row r="728" spans="1:24" x14ac:dyDescent="0.25">
      <c r="A728" s="2" t="s">
        <v>1274</v>
      </c>
      <c r="B728" s="2" t="s">
        <v>165</v>
      </c>
      <c r="D728" s="3" t="s">
        <v>23</v>
      </c>
      <c r="E728" s="4">
        <v>45411.399305555555</v>
      </c>
      <c r="F728" s="4">
        <v>45411.398611111108</v>
      </c>
      <c r="G728" s="4">
        <v>45411.44027777778</v>
      </c>
      <c r="J728" s="3" t="s">
        <v>62</v>
      </c>
      <c r="K728" s="5">
        <v>54</v>
      </c>
      <c r="L728" s="5">
        <v>5</v>
      </c>
      <c r="M728" s="3" t="s">
        <v>32</v>
      </c>
      <c r="N728" t="s">
        <v>100</v>
      </c>
      <c r="Q728" s="2">
        <v>130.93</v>
      </c>
      <c r="R728" s="3" t="s">
        <v>26</v>
      </c>
      <c r="S728">
        <f>COUNTIF(A:A,A728)</f>
        <v>1</v>
      </c>
      <c r="T728" t="str">
        <f>IF(OR(H728="",LOWER(TRIM(H728&amp;""))="missing",LOWER(TRIM(H728&amp;""))=""),"Missing/",IFERROR(IF(OR(VALUE(H728)&lt;0,VALUE(H728)&gt;110),"Invalid","Valid"),"Check Format"))</f>
        <v>Missing/</v>
      </c>
      <c r="U728" t="str">
        <f>IF(Raw_Data[[#This Row],[Age_Check]]="Valid",H728,"")</f>
        <v/>
      </c>
      <c r="V728" t="str">
        <f>IF(OR(K728="",UPPER(TRIM(K728&amp;""))="",LOWER(TRIM(K728&amp;""))="",LOWER(TRIM(K728&amp;""))="",LOWER(TRIM(K728&amp;""))="missing"),"Missing/",IFERROR(IF(VALUE(K728)&lt;0,"Invalid","Valid"),"Check Format"))</f>
        <v>Valid</v>
      </c>
      <c r="W728" t="str">
        <f>IF(OR(E728="",F728=""),"Missing Date/Time",IFERROR(IF(F728&gt;E728,"Arrival After Appointment","OK"),"Check Format"))</f>
        <v>OK</v>
      </c>
      <c r="X728" t="str">
        <f>IF(OR(F728="",G728=""),"Missing Date/Time",IFERROR(IF(G728&lt;F728,"Discharge Before Arrival","OK"),"Check Format"))</f>
        <v>OK</v>
      </c>
    </row>
    <row r="729" spans="1:24" x14ac:dyDescent="0.25">
      <c r="A729" s="2" t="s">
        <v>1275</v>
      </c>
      <c r="B729" s="2" t="s">
        <v>269</v>
      </c>
      <c r="C729" s="3" t="s">
        <v>46</v>
      </c>
      <c r="D729" s="3" t="s">
        <v>55</v>
      </c>
      <c r="E729" s="4" t="s">
        <v>1276</v>
      </c>
      <c r="F729" s="4">
        <v>45425.371527777781</v>
      </c>
      <c r="H729" s="5">
        <v>145</v>
      </c>
      <c r="I729" s="3" t="s">
        <v>73</v>
      </c>
      <c r="J729" s="3" t="s">
        <v>62</v>
      </c>
      <c r="K729" s="5">
        <v>116</v>
      </c>
      <c r="L729" s="5">
        <v>32</v>
      </c>
      <c r="M729" s="3" t="s">
        <v>32</v>
      </c>
      <c r="O729" s="5">
        <v>6</v>
      </c>
      <c r="P729" s="3" t="s">
        <v>80</v>
      </c>
      <c r="Q729" s="2">
        <v>163.46</v>
      </c>
      <c r="R729" s="3" t="s">
        <v>43</v>
      </c>
      <c r="S729">
        <f>COUNTIF(A:A,A729)</f>
        <v>1</v>
      </c>
      <c r="T729" t="str">
        <f>IF(OR(H729="",LOWER(TRIM(H729&amp;""))="missing",LOWER(TRIM(H729&amp;""))=""),"Missing/",IFERROR(IF(OR(VALUE(H729)&lt;0,VALUE(H729)&gt;110),"Invalid","Valid"),"Check Format"))</f>
        <v>Invalid</v>
      </c>
      <c r="U729" t="str">
        <f>IF(Raw_Data[[#This Row],[Age_Check]]="Valid",H729,"")</f>
        <v/>
      </c>
      <c r="V729" t="str">
        <f>IF(OR(K729="",UPPER(TRIM(K729&amp;""))="",LOWER(TRIM(K729&amp;""))="",LOWER(TRIM(K729&amp;""))="",LOWER(TRIM(K729&amp;""))="missing"),"Missing/",IFERROR(IF(VALUE(K729)&lt;0,"Invalid","Valid"),"Check Format"))</f>
        <v>Valid</v>
      </c>
      <c r="W729" t="str">
        <f>IF(OR(E729="",F729=""),"Missing Date/Time",IFERROR(IF(F729&gt;E729,"Arrival After Appointment","OK"),"Check Format"))</f>
        <v>OK</v>
      </c>
      <c r="X729" t="str">
        <f>IF(OR(F729="",G729=""),"Missing Date/Time",IFERROR(IF(G729&lt;F729,"Discharge Before Arrival","OK"),"Check Format"))</f>
        <v>Missing Date/Time</v>
      </c>
    </row>
    <row r="730" spans="1:24" x14ac:dyDescent="0.25">
      <c r="A730" s="2" t="s">
        <v>1277</v>
      </c>
      <c r="B730" s="2" t="s">
        <v>298</v>
      </c>
      <c r="C730" s="3" t="s">
        <v>46</v>
      </c>
      <c r="D730" s="3" t="s">
        <v>20</v>
      </c>
      <c r="E730" s="4">
        <v>45975.642361111109</v>
      </c>
      <c r="F730" s="4">
        <v>45975.636805555558</v>
      </c>
      <c r="G730" s="4">
        <v>45975.665277777778</v>
      </c>
      <c r="I730" s="3" t="s">
        <v>73</v>
      </c>
      <c r="J730" s="3" t="s">
        <v>171</v>
      </c>
      <c r="K730" s="5">
        <v>13</v>
      </c>
      <c r="L730" s="5">
        <v>20</v>
      </c>
      <c r="M730" s="3" t="s">
        <v>41</v>
      </c>
      <c r="N730" t="s">
        <v>100</v>
      </c>
      <c r="Q730" s="2">
        <v>114.98</v>
      </c>
      <c r="R730" s="3" t="s">
        <v>43</v>
      </c>
      <c r="S730">
        <f>COUNTIF(A:A,A730)</f>
        <v>1</v>
      </c>
      <c r="T730" t="str">
        <f>IF(OR(H730="",LOWER(TRIM(H730&amp;""))="missing",LOWER(TRIM(H730&amp;""))=""),"Missing/",IFERROR(IF(OR(VALUE(H730)&lt;0,VALUE(H730)&gt;110),"Invalid","Valid"),"Check Format"))</f>
        <v>Missing/</v>
      </c>
      <c r="U730" t="str">
        <f>IF(Raw_Data[[#This Row],[Age_Check]]="Valid",H730,"")</f>
        <v/>
      </c>
      <c r="V730" t="str">
        <f>IF(OR(K730="",UPPER(TRIM(K730&amp;""))="",LOWER(TRIM(K730&amp;""))="",LOWER(TRIM(K730&amp;""))="",LOWER(TRIM(K730&amp;""))="missing"),"Missing/",IFERROR(IF(VALUE(K730)&lt;0,"Invalid","Valid"),"Check Format"))</f>
        <v>Valid</v>
      </c>
      <c r="W730" t="str">
        <f>IF(OR(E730="",F730=""),"Missing Date/Time",IFERROR(IF(F730&gt;E730,"Arrival After Appointment","OK"),"Check Format"))</f>
        <v>OK</v>
      </c>
      <c r="X730" t="str">
        <f>IF(OR(F730="",G730=""),"Missing Date/Time",IFERROR(IF(G730&lt;F730,"Discharge Before Arrival","OK"),"Check Format"))</f>
        <v>OK</v>
      </c>
    </row>
    <row r="731" spans="1:24" x14ac:dyDescent="0.25">
      <c r="A731" s="2" t="s">
        <v>1278</v>
      </c>
      <c r="B731" s="2" t="s">
        <v>609</v>
      </c>
      <c r="C731" s="3" t="s">
        <v>19</v>
      </c>
      <c r="D731" s="3" t="s">
        <v>38</v>
      </c>
      <c r="E731" s="4">
        <v>45416.298611111109</v>
      </c>
      <c r="F731" s="4">
        <v>45387.288194444445</v>
      </c>
      <c r="G731" s="4">
        <v>45387.368750000001</v>
      </c>
      <c r="H731" s="5">
        <v>65</v>
      </c>
      <c r="I731" s="3" t="s">
        <v>95</v>
      </c>
      <c r="J731" s="3" t="s">
        <v>171</v>
      </c>
      <c r="K731" s="5">
        <v>46</v>
      </c>
      <c r="L731" s="5">
        <v>55</v>
      </c>
      <c r="M731" s="3" t="s">
        <v>50</v>
      </c>
      <c r="N731" t="s">
        <v>74</v>
      </c>
      <c r="O731" s="5">
        <v>0</v>
      </c>
      <c r="P731" s="3" t="s">
        <v>25</v>
      </c>
      <c r="Q731" s="2">
        <v>189.62</v>
      </c>
      <c r="R731" s="3" t="s">
        <v>26</v>
      </c>
      <c r="S731">
        <f>COUNTIF(A:A,A731)</f>
        <v>1</v>
      </c>
      <c r="T731" t="str">
        <f>IF(OR(H731="",LOWER(TRIM(H731&amp;""))="missing",LOWER(TRIM(H731&amp;""))=""),"Missing/",IFERROR(IF(OR(VALUE(H731)&lt;0,VALUE(H731)&gt;110),"Invalid","Valid"),"Check Format"))</f>
        <v>Valid</v>
      </c>
      <c r="U731">
        <f>IF(Raw_Data[[#This Row],[Age_Check]]="Valid",H731,"")</f>
        <v>65</v>
      </c>
      <c r="V731" t="str">
        <f>IF(OR(K731="",UPPER(TRIM(K731&amp;""))="",LOWER(TRIM(K731&amp;""))="",LOWER(TRIM(K731&amp;""))="",LOWER(TRIM(K731&amp;""))="missing"),"Missing/",IFERROR(IF(VALUE(K731)&lt;0,"Invalid","Valid"),"Check Format"))</f>
        <v>Valid</v>
      </c>
      <c r="W731" t="str">
        <f>IF(OR(E731="",F731=""),"Missing Date/Time",IFERROR(IF(F731&gt;E731,"Arrival After Appointment","OK"),"Check Format"))</f>
        <v>OK</v>
      </c>
      <c r="X731" t="str">
        <f>IF(OR(F731="",G731=""),"Missing Date/Time",IFERROR(IF(G731&lt;F731,"Discharge Before Arrival","OK"),"Check Format"))</f>
        <v>OK</v>
      </c>
    </row>
    <row r="732" spans="1:24" x14ac:dyDescent="0.25">
      <c r="A732" s="2" t="s">
        <v>1279</v>
      </c>
      <c r="B732" s="2" t="s">
        <v>490</v>
      </c>
      <c r="C732" s="3" t="s">
        <v>94</v>
      </c>
      <c r="D732" s="3" t="s">
        <v>99</v>
      </c>
      <c r="E732" s="4">
        <v>45699.326388888891</v>
      </c>
      <c r="F732" s="4">
        <v>45699.311805555553</v>
      </c>
      <c r="G732" s="4">
        <v>45699.364583333336</v>
      </c>
      <c r="I732" s="3" t="s">
        <v>95</v>
      </c>
      <c r="J732" s="3" t="s">
        <v>171</v>
      </c>
      <c r="K732" s="5">
        <v>19</v>
      </c>
      <c r="L732" s="5">
        <v>36</v>
      </c>
      <c r="M732" s="3" t="s">
        <v>87</v>
      </c>
      <c r="N732" t="s">
        <v>100</v>
      </c>
      <c r="O732" s="5">
        <v>5</v>
      </c>
      <c r="P732" s="3" t="s">
        <v>25</v>
      </c>
      <c r="Q732" s="2">
        <v>184.86</v>
      </c>
      <c r="R732" s="3" t="s">
        <v>58</v>
      </c>
      <c r="S732">
        <f>COUNTIF(A:A,A732)</f>
        <v>1</v>
      </c>
      <c r="T732" t="str">
        <f>IF(OR(H732="",LOWER(TRIM(H732&amp;""))="missing",LOWER(TRIM(H732&amp;""))=""),"Missing/",IFERROR(IF(OR(VALUE(H732)&lt;0,VALUE(H732)&gt;110),"Invalid","Valid"),"Check Format"))</f>
        <v>Missing/</v>
      </c>
      <c r="U732" t="str">
        <f>IF(Raw_Data[[#This Row],[Age_Check]]="Valid",H732,"")</f>
        <v/>
      </c>
      <c r="V732" t="str">
        <f>IF(OR(K732="",UPPER(TRIM(K732&amp;""))="",LOWER(TRIM(K732&amp;""))="",LOWER(TRIM(K732&amp;""))="",LOWER(TRIM(K732&amp;""))="missing"),"Missing/",IFERROR(IF(VALUE(K732)&lt;0,"Invalid","Valid"),"Check Format"))</f>
        <v>Valid</v>
      </c>
      <c r="W732" t="str">
        <f>IF(OR(E732="",F732=""),"Missing Date/Time",IFERROR(IF(F732&gt;E732,"Arrival After Appointment","OK"),"Check Format"))</f>
        <v>OK</v>
      </c>
      <c r="X732" t="str">
        <f>IF(OR(F732="",G732=""),"Missing Date/Time",IFERROR(IF(G732&lt;F732,"Discharge Before Arrival","OK"),"Check Format"))</f>
        <v>OK</v>
      </c>
    </row>
    <row r="733" spans="1:24" x14ac:dyDescent="0.25">
      <c r="A733" s="2" t="s">
        <v>1280</v>
      </c>
      <c r="B733" s="2" t="s">
        <v>721</v>
      </c>
      <c r="C733" s="3" t="s">
        <v>37</v>
      </c>
      <c r="D733" s="3" t="s">
        <v>47</v>
      </c>
      <c r="E733" s="4">
        <v>45324.590277777781</v>
      </c>
      <c r="G733" s="4">
        <v>45324.699305555558</v>
      </c>
      <c r="I733" s="3" t="s">
        <v>73</v>
      </c>
      <c r="J733" s="3" t="s">
        <v>150</v>
      </c>
      <c r="K733" s="5">
        <v>97</v>
      </c>
      <c r="L733" s="5">
        <v>60</v>
      </c>
      <c r="M733" s="3" t="s">
        <v>87</v>
      </c>
      <c r="N733" t="s">
        <v>69</v>
      </c>
      <c r="O733" s="5">
        <v>6</v>
      </c>
      <c r="P733" s="3" t="s">
        <v>25</v>
      </c>
      <c r="Q733" s="2">
        <v>63.79</v>
      </c>
      <c r="R733" s="3" t="s">
        <v>75</v>
      </c>
      <c r="S733">
        <f>COUNTIF(A:A,A733)</f>
        <v>1</v>
      </c>
      <c r="T733" t="str">
        <f>IF(OR(H733="",LOWER(TRIM(H733&amp;""))="missing",LOWER(TRIM(H733&amp;""))=""),"Missing/",IFERROR(IF(OR(VALUE(H733)&lt;0,VALUE(H733)&gt;110),"Invalid","Valid"),"Check Format"))</f>
        <v>Missing/</v>
      </c>
      <c r="U733" t="str">
        <f>IF(Raw_Data[[#This Row],[Age_Check]]="Valid",H733,"")</f>
        <v/>
      </c>
      <c r="V733" t="str">
        <f>IF(OR(K733="",UPPER(TRIM(K733&amp;""))="",LOWER(TRIM(K733&amp;""))="",LOWER(TRIM(K733&amp;""))="",LOWER(TRIM(K733&amp;""))="missing"),"Missing/",IFERROR(IF(VALUE(K733)&lt;0,"Invalid","Valid"),"Check Format"))</f>
        <v>Valid</v>
      </c>
      <c r="W733" t="str">
        <f>IF(OR(E733="",F733=""),"Missing Date/Time",IFERROR(IF(F733&gt;E733,"Arrival After Appointment","OK"),"Check Format"))</f>
        <v>Missing Date/Time</v>
      </c>
      <c r="X733" t="str">
        <f>IF(OR(F733="",G733=""),"Missing Date/Time",IFERROR(IF(G733&lt;F733,"Discharge Before Arrival","OK"),"Check Format"))</f>
        <v>Missing Date/Time</v>
      </c>
    </row>
    <row r="734" spans="1:24" x14ac:dyDescent="0.25">
      <c r="A734" s="2" t="s">
        <v>1110</v>
      </c>
      <c r="B734" s="2" t="s">
        <v>369</v>
      </c>
      <c r="D734" s="3" t="s">
        <v>20</v>
      </c>
      <c r="F734" s="4">
        <v>45815.297222222223</v>
      </c>
      <c r="G734" s="4">
        <v>45815.368750000001</v>
      </c>
      <c r="H734" s="5">
        <v>145</v>
      </c>
      <c r="I734" s="3" t="s">
        <v>95</v>
      </c>
      <c r="J734" s="3" t="s">
        <v>67</v>
      </c>
      <c r="K734" s="5">
        <v>62</v>
      </c>
      <c r="L734" s="5">
        <v>29</v>
      </c>
      <c r="M734" s="3" t="s">
        <v>32</v>
      </c>
      <c r="N734" t="s">
        <v>24</v>
      </c>
      <c r="Q734" s="2">
        <v>198.71</v>
      </c>
      <c r="R734" s="3" t="s">
        <v>43</v>
      </c>
      <c r="S734">
        <f>COUNTIF(A:A,A734)</f>
        <v>2</v>
      </c>
      <c r="T734" t="str">
        <f>IF(OR(H734="",LOWER(TRIM(H734&amp;""))="missing",LOWER(TRIM(H734&amp;""))=""),"Missing/",IFERROR(IF(OR(VALUE(H734)&lt;0,VALUE(H734)&gt;110),"Invalid","Valid"),"Check Format"))</f>
        <v>Invalid</v>
      </c>
      <c r="U734" t="str">
        <f>IF(Raw_Data[[#This Row],[Age_Check]]="Valid",H734,"")</f>
        <v/>
      </c>
      <c r="V734" t="str">
        <f>IF(OR(K734="",UPPER(TRIM(K734&amp;""))="",LOWER(TRIM(K734&amp;""))="",LOWER(TRIM(K734&amp;""))="",LOWER(TRIM(K734&amp;""))="missing"),"Missing/",IFERROR(IF(VALUE(K734)&lt;0,"Invalid","Valid"),"Check Format"))</f>
        <v>Valid</v>
      </c>
      <c r="W734" t="str">
        <f>IF(OR(E734="",F734=""),"Missing Date/Time",IFERROR(IF(F734&gt;E734,"Arrival After Appointment","OK"),"Check Format"))</f>
        <v>Missing Date/Time</v>
      </c>
      <c r="X734" t="str">
        <f>IF(OR(F734="",G734=""),"Missing Date/Time",IFERROR(IF(G734&lt;F734,"Discharge Before Arrival","OK"),"Check Format"))</f>
        <v>OK</v>
      </c>
    </row>
    <row r="735" spans="1:24" x14ac:dyDescent="0.25">
      <c r="A735" s="2" t="s">
        <v>1110</v>
      </c>
      <c r="B735" s="2" t="s">
        <v>467</v>
      </c>
      <c r="C735" s="3" t="s">
        <v>94</v>
      </c>
      <c r="D735" s="3" t="s">
        <v>61</v>
      </c>
      <c r="E735" s="4">
        <v>45323.666666666664</v>
      </c>
      <c r="F735" s="4">
        <v>45323.645833333336</v>
      </c>
      <c r="G735" s="4">
        <v>45323.724305555559</v>
      </c>
      <c r="H735" s="5">
        <v>47</v>
      </c>
      <c r="I735" s="3" t="s">
        <v>73</v>
      </c>
      <c r="J735" s="3" t="s">
        <v>67</v>
      </c>
      <c r="K735" s="5">
        <v>65</v>
      </c>
      <c r="L735" s="5">
        <v>18</v>
      </c>
      <c r="N735" t="s">
        <v>91</v>
      </c>
      <c r="O735" s="5">
        <v>0</v>
      </c>
      <c r="P735" s="3" t="s">
        <v>42</v>
      </c>
      <c r="R735" s="3" t="s">
        <v>58</v>
      </c>
      <c r="S735">
        <f>COUNTIF(A:A,A735)</f>
        <v>2</v>
      </c>
      <c r="T735" t="str">
        <f>IF(OR(H735="",LOWER(TRIM(H735&amp;""))="missing",LOWER(TRIM(H735&amp;""))=""),"Missing/",IFERROR(IF(OR(VALUE(H735)&lt;0,VALUE(H735)&gt;110),"Invalid","Valid"),"Check Format"))</f>
        <v>Valid</v>
      </c>
      <c r="U735">
        <f>IF(Raw_Data[[#This Row],[Age_Check]]="Valid",H735,"")</f>
        <v>47</v>
      </c>
      <c r="V735" t="str">
        <f>IF(OR(K735="",UPPER(TRIM(K735&amp;""))="",LOWER(TRIM(K735&amp;""))="",LOWER(TRIM(K735&amp;""))="",LOWER(TRIM(K735&amp;""))="missing"),"Missing/",IFERROR(IF(VALUE(K735)&lt;0,"Invalid","Valid"),"Check Format"))</f>
        <v>Valid</v>
      </c>
      <c r="W735" t="str">
        <f>IF(OR(E735="",F735=""),"Missing Date/Time",IFERROR(IF(F735&gt;E735,"Arrival After Appointment","OK"),"Check Format"))</f>
        <v>OK</v>
      </c>
      <c r="X735" t="str">
        <f>IF(OR(F735="",G735=""),"Missing Date/Time",IFERROR(IF(G735&lt;F735,"Discharge Before Arrival","OK"),"Check Format"))</f>
        <v>OK</v>
      </c>
    </row>
    <row r="736" spans="1:24" x14ac:dyDescent="0.25">
      <c r="A736" s="2" t="s">
        <v>1283</v>
      </c>
      <c r="B736" s="2" t="s">
        <v>138</v>
      </c>
      <c r="D736" s="3" t="s">
        <v>30</v>
      </c>
      <c r="E736" s="4">
        <v>45785.3125</v>
      </c>
      <c r="F736" s="4">
        <v>45785.309027777781</v>
      </c>
      <c r="G736" s="4">
        <v>45785.368750000001</v>
      </c>
      <c r="I736" s="3" t="s">
        <v>73</v>
      </c>
      <c r="J736" s="3" t="s">
        <v>62</v>
      </c>
      <c r="K736" s="5">
        <v>55</v>
      </c>
      <c r="L736" s="5">
        <v>26</v>
      </c>
      <c r="N736" t="s">
        <v>69</v>
      </c>
      <c r="O736" s="5">
        <v>0</v>
      </c>
      <c r="P736" s="3" t="s">
        <v>80</v>
      </c>
      <c r="Q736" s="2">
        <v>157.13999999999999</v>
      </c>
      <c r="R736" s="3" t="s">
        <v>75</v>
      </c>
      <c r="S736">
        <f>COUNTIF(A:A,A736)</f>
        <v>1</v>
      </c>
      <c r="T736" t="str">
        <f>IF(OR(H736="",LOWER(TRIM(H736&amp;""))="missing",LOWER(TRIM(H736&amp;""))=""),"Missing/",IFERROR(IF(OR(VALUE(H736)&lt;0,VALUE(H736)&gt;110),"Invalid","Valid"),"Check Format"))</f>
        <v>Missing/</v>
      </c>
      <c r="U736" t="str">
        <f>IF(Raw_Data[[#This Row],[Age_Check]]="Valid",H736,"")</f>
        <v/>
      </c>
      <c r="V736" t="str">
        <f>IF(OR(K736="",UPPER(TRIM(K736&amp;""))="",LOWER(TRIM(K736&amp;""))="",LOWER(TRIM(K736&amp;""))="",LOWER(TRIM(K736&amp;""))="missing"),"Missing/",IFERROR(IF(VALUE(K736)&lt;0,"Invalid","Valid"),"Check Format"))</f>
        <v>Valid</v>
      </c>
      <c r="W736" t="str">
        <f>IF(OR(E736="",F736=""),"Missing Date/Time",IFERROR(IF(F736&gt;E736,"Arrival After Appointment","OK"),"Check Format"))</f>
        <v>OK</v>
      </c>
      <c r="X736" t="str">
        <f>IF(OR(F736="",G736=""),"Missing Date/Time",IFERROR(IF(G736&lt;F736,"Discharge Before Arrival","OK"),"Check Format"))</f>
        <v>OK</v>
      </c>
    </row>
    <row r="737" spans="1:24" x14ac:dyDescent="0.25">
      <c r="A737" s="2" t="s">
        <v>1284</v>
      </c>
      <c r="B737" s="2" t="s">
        <v>741</v>
      </c>
      <c r="C737" s="3" t="s">
        <v>46</v>
      </c>
      <c r="D737" s="3" t="s">
        <v>20</v>
      </c>
      <c r="E737" s="4" t="s">
        <v>1285</v>
      </c>
      <c r="F737" s="4">
        <v>45619.45208333333</v>
      </c>
      <c r="G737" s="4">
        <v>45619.532638888886</v>
      </c>
      <c r="H737" s="5">
        <v>145</v>
      </c>
      <c r="I737" s="3" t="s">
        <v>73</v>
      </c>
      <c r="J737" s="3" t="s">
        <v>67</v>
      </c>
      <c r="K737" s="5">
        <v>28</v>
      </c>
      <c r="L737" s="5">
        <v>69</v>
      </c>
      <c r="M737" s="3" t="s">
        <v>41</v>
      </c>
      <c r="N737" t="s">
        <v>69</v>
      </c>
      <c r="O737" s="5">
        <v>3</v>
      </c>
      <c r="P737" s="3" t="s">
        <v>25</v>
      </c>
      <c r="Q737" s="2">
        <v>16.39</v>
      </c>
      <c r="R737" s="3" t="s">
        <v>75</v>
      </c>
      <c r="S737">
        <f>COUNTIF(A:A,A737)</f>
        <v>1</v>
      </c>
      <c r="T737" t="str">
        <f>IF(OR(H737="",LOWER(TRIM(H737&amp;""))="missing",LOWER(TRIM(H737&amp;""))=""),"Missing/",IFERROR(IF(OR(VALUE(H737)&lt;0,VALUE(H737)&gt;110),"Invalid","Valid"),"Check Format"))</f>
        <v>Invalid</v>
      </c>
      <c r="U737" t="str">
        <f>IF(Raw_Data[[#This Row],[Age_Check]]="Valid",H737,"")</f>
        <v/>
      </c>
      <c r="V737" t="str">
        <f>IF(OR(K737="",UPPER(TRIM(K737&amp;""))="",LOWER(TRIM(K737&amp;""))="",LOWER(TRIM(K737&amp;""))="",LOWER(TRIM(K737&amp;""))="missing"),"Missing/",IFERROR(IF(VALUE(K737)&lt;0,"Invalid","Valid"),"Check Format"))</f>
        <v>Valid</v>
      </c>
      <c r="W737" t="str">
        <f>IF(OR(E737="",F737=""),"Missing Date/Time",IFERROR(IF(F737&gt;E737,"Arrival After Appointment","OK"),"Check Format"))</f>
        <v>OK</v>
      </c>
      <c r="X737" t="str">
        <f>IF(OR(F737="",G737=""),"Missing Date/Time",IFERROR(IF(G737&lt;F737,"Discharge Before Arrival","OK"),"Check Format"))</f>
        <v>OK</v>
      </c>
    </row>
    <row r="738" spans="1:24" x14ac:dyDescent="0.25">
      <c r="A738" s="2" t="s">
        <v>1286</v>
      </c>
      <c r="B738" s="2" t="s">
        <v>937</v>
      </c>
      <c r="C738" s="3" t="s">
        <v>46</v>
      </c>
      <c r="D738" s="3" t="s">
        <v>55</v>
      </c>
      <c r="E738" s="4">
        <v>45544.482638888891</v>
      </c>
      <c r="F738" s="4">
        <v>45544.470833333333</v>
      </c>
      <c r="H738" s="5">
        <v>15</v>
      </c>
      <c r="I738" s="3" t="s">
        <v>95</v>
      </c>
      <c r="J738" s="3" t="s">
        <v>62</v>
      </c>
      <c r="K738" s="5">
        <v>64</v>
      </c>
      <c r="L738" s="5">
        <v>68</v>
      </c>
      <c r="M738" s="3" t="s">
        <v>50</v>
      </c>
      <c r="N738" t="s">
        <v>74</v>
      </c>
      <c r="O738" s="5">
        <v>5</v>
      </c>
      <c r="P738" s="3" t="s">
        <v>25</v>
      </c>
      <c r="Q738" s="2">
        <v>145.54</v>
      </c>
      <c r="R738" s="3" t="s">
        <v>75</v>
      </c>
      <c r="S738">
        <f>COUNTIF(A:A,A738)</f>
        <v>1</v>
      </c>
      <c r="T738" t="str">
        <f>IF(OR(H738="",LOWER(TRIM(H738&amp;""))="missing",LOWER(TRIM(H738&amp;""))=""),"Missing/",IFERROR(IF(OR(VALUE(H738)&lt;0,VALUE(H738)&gt;110),"Invalid","Valid"),"Check Format"))</f>
        <v>Valid</v>
      </c>
      <c r="U738">
        <f>IF(Raw_Data[[#This Row],[Age_Check]]="Valid",H738,"")</f>
        <v>15</v>
      </c>
      <c r="V738" t="str">
        <f>IF(OR(K738="",UPPER(TRIM(K738&amp;""))="",LOWER(TRIM(K738&amp;""))="",LOWER(TRIM(K738&amp;""))="",LOWER(TRIM(K738&amp;""))="missing"),"Missing/",IFERROR(IF(VALUE(K738)&lt;0,"Invalid","Valid"),"Check Format"))</f>
        <v>Valid</v>
      </c>
      <c r="W738" t="str">
        <f>IF(OR(E738="",F738=""),"Missing Date/Time",IFERROR(IF(F738&gt;E738,"Arrival After Appointment","OK"),"Check Format"))</f>
        <v>OK</v>
      </c>
      <c r="X738" t="str">
        <f>IF(OR(F738="",G738=""),"Missing Date/Time",IFERROR(IF(G738&lt;F738,"Discharge Before Arrival","OK"),"Check Format"))</f>
        <v>Missing Date/Time</v>
      </c>
    </row>
    <row r="739" spans="1:24" x14ac:dyDescent="0.25">
      <c r="A739" s="2" t="s">
        <v>1287</v>
      </c>
      <c r="B739" s="2" t="s">
        <v>364</v>
      </c>
      <c r="C739" s="3" t="s">
        <v>29</v>
      </c>
      <c r="D739" s="3" t="s">
        <v>115</v>
      </c>
      <c r="E739" s="4">
        <v>45820.319444444445</v>
      </c>
      <c r="F739" s="4">
        <v>45820.316666666666</v>
      </c>
      <c r="G739" s="4">
        <v>45820.37222222222</v>
      </c>
      <c r="I739" s="3" t="s">
        <v>95</v>
      </c>
      <c r="J739" s="3" t="s">
        <v>67</v>
      </c>
      <c r="K739" s="5">
        <v>51</v>
      </c>
      <c r="L739" s="5">
        <v>25</v>
      </c>
      <c r="M739" s="3" t="s">
        <v>32</v>
      </c>
      <c r="N739" t="s">
        <v>100</v>
      </c>
      <c r="O739" s="5">
        <v>2</v>
      </c>
      <c r="P739" s="3" t="s">
        <v>80</v>
      </c>
      <c r="Q739" s="2">
        <v>130.57</v>
      </c>
      <c r="R739" s="3" t="s">
        <v>43</v>
      </c>
      <c r="S739">
        <f>COUNTIF(A:A,A739)</f>
        <v>1</v>
      </c>
      <c r="T739" t="str">
        <f>IF(OR(H739="",LOWER(TRIM(H739&amp;""))="missing",LOWER(TRIM(H739&amp;""))=""),"Missing/",IFERROR(IF(OR(VALUE(H739)&lt;0,VALUE(H739)&gt;110),"Invalid","Valid"),"Check Format"))</f>
        <v>Missing/</v>
      </c>
      <c r="U739" t="str">
        <f>IF(Raw_Data[[#This Row],[Age_Check]]="Valid",H739,"")</f>
        <v/>
      </c>
      <c r="V739" t="str">
        <f>IF(OR(K739="",UPPER(TRIM(K739&amp;""))="",LOWER(TRIM(K739&amp;""))="",LOWER(TRIM(K739&amp;""))="",LOWER(TRIM(K739&amp;""))="missing"),"Missing/",IFERROR(IF(VALUE(K739)&lt;0,"Invalid","Valid"),"Check Format"))</f>
        <v>Valid</v>
      </c>
      <c r="W739" t="str">
        <f>IF(OR(E739="",F739=""),"Missing Date/Time",IFERROR(IF(F739&gt;E739,"Arrival After Appointment","OK"),"Check Format"))</f>
        <v>OK</v>
      </c>
      <c r="X739" t="str">
        <f>IF(OR(F739="",G739=""),"Missing Date/Time",IFERROR(IF(G739&lt;F739,"Discharge Before Arrival","OK"),"Check Format"))</f>
        <v>OK</v>
      </c>
    </row>
    <row r="740" spans="1:24" x14ac:dyDescent="0.25">
      <c r="A740" s="2" t="s">
        <v>1288</v>
      </c>
      <c r="B740" s="2" t="s">
        <v>355</v>
      </c>
      <c r="C740" s="3" t="s">
        <v>94</v>
      </c>
      <c r="D740" s="3" t="s">
        <v>61</v>
      </c>
      <c r="E740" s="4">
        <v>45340.475694444445</v>
      </c>
      <c r="F740" s="4">
        <v>45340.460416666669</v>
      </c>
      <c r="G740" s="4">
        <v>45340.552777777775</v>
      </c>
      <c r="I740" s="3" t="s">
        <v>95</v>
      </c>
      <c r="K740" s="5">
        <v>106</v>
      </c>
      <c r="L740" s="5">
        <v>5</v>
      </c>
      <c r="M740" s="3" t="s">
        <v>41</v>
      </c>
      <c r="O740" s="5">
        <v>0</v>
      </c>
      <c r="P740" s="3" t="s">
        <v>80</v>
      </c>
      <c r="Q740" s="2">
        <v>267.67</v>
      </c>
      <c r="R740" s="3" t="s">
        <v>26</v>
      </c>
      <c r="S740">
        <f>COUNTIF(A:A,A740)</f>
        <v>1</v>
      </c>
      <c r="T740" t="str">
        <f>IF(OR(H740="",LOWER(TRIM(H740&amp;""))="missing",LOWER(TRIM(H740&amp;""))=""),"Missing/",IFERROR(IF(OR(VALUE(H740)&lt;0,VALUE(H740)&gt;110),"Invalid","Valid"),"Check Format"))</f>
        <v>Missing/</v>
      </c>
      <c r="U740" t="str">
        <f>IF(Raw_Data[[#This Row],[Age_Check]]="Valid",H740,"")</f>
        <v/>
      </c>
      <c r="V740" t="str">
        <f>IF(OR(K740="",UPPER(TRIM(K740&amp;""))="",LOWER(TRIM(K740&amp;""))="",LOWER(TRIM(K740&amp;""))="",LOWER(TRIM(K740&amp;""))="missing"),"Missing/",IFERROR(IF(VALUE(K740)&lt;0,"Invalid","Valid"),"Check Format"))</f>
        <v>Valid</v>
      </c>
      <c r="W740" t="str">
        <f>IF(OR(E740="",F740=""),"Missing Date/Time",IFERROR(IF(F740&gt;E740,"Arrival After Appointment","OK"),"Check Format"))</f>
        <v>OK</v>
      </c>
      <c r="X740" t="str">
        <f>IF(OR(F740="",G740=""),"Missing Date/Time",IFERROR(IF(G740&lt;F740,"Discharge Before Arrival","OK"),"Check Format"))</f>
        <v>OK</v>
      </c>
    </row>
    <row r="741" spans="1:24" x14ac:dyDescent="0.25">
      <c r="A741" s="2" t="s">
        <v>1289</v>
      </c>
      <c r="B741" s="2" t="s">
        <v>1290</v>
      </c>
      <c r="D741" s="3" t="s">
        <v>149</v>
      </c>
      <c r="E741" s="4">
        <v>45297.510416666664</v>
      </c>
      <c r="F741" s="4">
        <v>45297.492361111108</v>
      </c>
      <c r="G741" s="4">
        <v>45297.534722222219</v>
      </c>
      <c r="H741" s="5">
        <v>55</v>
      </c>
      <c r="I741" s="3" t="s">
        <v>73</v>
      </c>
      <c r="J741" s="3" t="s">
        <v>2639</v>
      </c>
      <c r="K741" s="5">
        <v>8</v>
      </c>
      <c r="L741" s="5">
        <v>27</v>
      </c>
      <c r="M741" s="3" t="s">
        <v>41</v>
      </c>
      <c r="O741" s="5">
        <v>5</v>
      </c>
      <c r="Q741" s="2">
        <v>110.66</v>
      </c>
      <c r="R741" s="3" t="s">
        <v>58</v>
      </c>
      <c r="S741">
        <f>COUNTIF(A:A,A741)</f>
        <v>1</v>
      </c>
      <c r="T741" t="str">
        <f>IF(OR(H741="",LOWER(TRIM(H741&amp;""))="missing",LOWER(TRIM(H741&amp;""))=""),"Missing/",IFERROR(IF(OR(VALUE(H741)&lt;0,VALUE(H741)&gt;110),"Invalid","Valid"),"Check Format"))</f>
        <v>Valid</v>
      </c>
      <c r="U741">
        <f>IF(Raw_Data[[#This Row],[Age_Check]]="Valid",H741,"")</f>
        <v>55</v>
      </c>
      <c r="V741" t="str">
        <f>IF(OR(K741="",UPPER(TRIM(K741&amp;""))="",LOWER(TRIM(K741&amp;""))="",LOWER(TRIM(K741&amp;""))="",LOWER(TRIM(K741&amp;""))="missing"),"Missing/",IFERROR(IF(VALUE(K741)&lt;0,"Invalid","Valid"),"Check Format"))</f>
        <v>Valid</v>
      </c>
      <c r="W741" t="str">
        <f>IF(OR(E741="",F741=""),"Missing Date/Time",IFERROR(IF(F741&gt;E741,"Arrival After Appointment","OK"),"Check Format"))</f>
        <v>OK</v>
      </c>
      <c r="X741" t="str">
        <f>IF(OR(F741="",G741=""),"Missing Date/Time",IFERROR(IF(G741&lt;F741,"Discharge Before Arrival","OK"),"Check Format"))</f>
        <v>OK</v>
      </c>
    </row>
    <row r="742" spans="1:24" x14ac:dyDescent="0.25">
      <c r="A742" s="2" t="s">
        <v>1291</v>
      </c>
      <c r="B742" s="2" t="s">
        <v>281</v>
      </c>
      <c r="C742" s="3" t="s">
        <v>19</v>
      </c>
      <c r="D742" s="3" t="s">
        <v>30</v>
      </c>
      <c r="E742" s="4">
        <v>45716.545138888891</v>
      </c>
      <c r="G742" s="4">
        <v>45716.602777777778</v>
      </c>
      <c r="H742" s="5">
        <v>85</v>
      </c>
      <c r="I742" s="3" t="s">
        <v>90</v>
      </c>
      <c r="J742" s="3" t="s">
        <v>22</v>
      </c>
      <c r="K742" s="5">
        <v>78</v>
      </c>
      <c r="L742" s="5">
        <v>5</v>
      </c>
      <c r="M742" s="3" t="s">
        <v>87</v>
      </c>
      <c r="N742" t="s">
        <v>74</v>
      </c>
      <c r="O742" s="5">
        <v>5</v>
      </c>
      <c r="P742" s="3" t="s">
        <v>25</v>
      </c>
      <c r="Q742" s="2">
        <v>181.97</v>
      </c>
      <c r="R742" s="3" t="s">
        <v>26</v>
      </c>
      <c r="S742">
        <f>COUNTIF(A:A,A742)</f>
        <v>1</v>
      </c>
      <c r="T742" t="str">
        <f>IF(OR(H742="",LOWER(TRIM(H742&amp;""))="missing",LOWER(TRIM(H742&amp;""))=""),"Missing/",IFERROR(IF(OR(VALUE(H742)&lt;0,VALUE(H742)&gt;110),"Invalid","Valid"),"Check Format"))</f>
        <v>Valid</v>
      </c>
      <c r="U742">
        <f>IF(Raw_Data[[#This Row],[Age_Check]]="Valid",H742,"")</f>
        <v>85</v>
      </c>
      <c r="V742" t="str">
        <f>IF(OR(K742="",UPPER(TRIM(K742&amp;""))="",LOWER(TRIM(K742&amp;""))="",LOWER(TRIM(K742&amp;""))="",LOWER(TRIM(K742&amp;""))="missing"),"Missing/",IFERROR(IF(VALUE(K742)&lt;0,"Invalid","Valid"),"Check Format"))</f>
        <v>Valid</v>
      </c>
      <c r="W742" t="str">
        <f>IF(OR(E742="",F742=""),"Missing Date/Time",IFERROR(IF(F742&gt;E742,"Arrival After Appointment","OK"),"Check Format"))</f>
        <v>Missing Date/Time</v>
      </c>
      <c r="X742" t="str">
        <f>IF(OR(F742="",G742=""),"Missing Date/Time",IFERROR(IF(G742&lt;F742,"Discharge Before Arrival","OK"),"Check Format"))</f>
        <v>Missing Date/Time</v>
      </c>
    </row>
    <row r="743" spans="1:24" x14ac:dyDescent="0.25">
      <c r="A743" s="2" t="s">
        <v>1292</v>
      </c>
      <c r="B743" s="2" t="s">
        <v>741</v>
      </c>
      <c r="C743" s="3" t="s">
        <v>19</v>
      </c>
      <c r="D743" s="3" t="s">
        <v>149</v>
      </c>
      <c r="E743" s="4">
        <v>46016.746527777781</v>
      </c>
      <c r="F743" s="4">
        <v>46016.743055555555</v>
      </c>
      <c r="H743" s="5">
        <v>145</v>
      </c>
      <c r="I743" s="3" t="s">
        <v>95</v>
      </c>
      <c r="J743" s="3" t="s">
        <v>22</v>
      </c>
      <c r="K743" s="5">
        <v>128</v>
      </c>
      <c r="L743" s="5">
        <v>7</v>
      </c>
      <c r="M743" s="3" t="s">
        <v>63</v>
      </c>
      <c r="O743" s="5">
        <v>6</v>
      </c>
      <c r="P743" s="3" t="s">
        <v>25</v>
      </c>
      <c r="Q743" s="2">
        <v>160.18</v>
      </c>
      <c r="R743" s="3" t="s">
        <v>43</v>
      </c>
      <c r="S743">
        <f>COUNTIF(A:A,A743)</f>
        <v>1</v>
      </c>
      <c r="T743" t="str">
        <f>IF(OR(H743="",LOWER(TRIM(H743&amp;""))="missing",LOWER(TRIM(H743&amp;""))=""),"Missing/",IFERROR(IF(OR(VALUE(H743)&lt;0,VALUE(H743)&gt;110),"Invalid","Valid"),"Check Format"))</f>
        <v>Invalid</v>
      </c>
      <c r="U743" t="str">
        <f>IF(Raw_Data[[#This Row],[Age_Check]]="Valid",H743,"")</f>
        <v/>
      </c>
      <c r="V743" t="str">
        <f>IF(OR(K743="",UPPER(TRIM(K743&amp;""))="",LOWER(TRIM(K743&amp;""))="",LOWER(TRIM(K743&amp;""))="",LOWER(TRIM(K743&amp;""))="missing"),"Missing/",IFERROR(IF(VALUE(K743)&lt;0,"Invalid","Valid"),"Check Format"))</f>
        <v>Valid</v>
      </c>
      <c r="W743" t="str">
        <f>IF(OR(E743="",F743=""),"Missing Date/Time",IFERROR(IF(F743&gt;E743,"Arrival After Appointment","OK"),"Check Format"))</f>
        <v>OK</v>
      </c>
      <c r="X743" t="str">
        <f>IF(OR(F743="",G743=""),"Missing Date/Time",IFERROR(IF(G743&lt;F743,"Discharge Before Arrival","OK"),"Check Format"))</f>
        <v>Missing Date/Time</v>
      </c>
    </row>
    <row r="744" spans="1:24" x14ac:dyDescent="0.25">
      <c r="A744" s="2" t="s">
        <v>1293</v>
      </c>
      <c r="B744" s="2" t="s">
        <v>949</v>
      </c>
      <c r="C744" s="3" t="s">
        <v>94</v>
      </c>
      <c r="D744" s="3" t="s">
        <v>149</v>
      </c>
      <c r="E744" s="4">
        <v>45700.354166666664</v>
      </c>
      <c r="F744" s="4">
        <v>45993.351388888892</v>
      </c>
      <c r="G744" s="4">
        <v>45993.404861111114</v>
      </c>
      <c r="I744" s="3" t="s">
        <v>73</v>
      </c>
      <c r="J744" s="3" t="s">
        <v>67</v>
      </c>
      <c r="K744" s="5">
        <v>34</v>
      </c>
      <c r="L744" s="5">
        <v>39</v>
      </c>
      <c r="M744" s="3" t="s">
        <v>63</v>
      </c>
      <c r="N744" t="s">
        <v>24</v>
      </c>
      <c r="P744" s="3" t="s">
        <v>80</v>
      </c>
      <c r="Q744" s="2">
        <v>146.53</v>
      </c>
      <c r="R744" s="3" t="s">
        <v>26</v>
      </c>
      <c r="S744">
        <f>COUNTIF(A:A,A744)</f>
        <v>1</v>
      </c>
      <c r="T744" t="str">
        <f>IF(OR(H744="",LOWER(TRIM(H744&amp;""))="missing",LOWER(TRIM(H744&amp;""))=""),"Missing/",IFERROR(IF(OR(VALUE(H744)&lt;0,VALUE(H744)&gt;110),"Invalid","Valid"),"Check Format"))</f>
        <v>Missing/</v>
      </c>
      <c r="U744" t="str">
        <f>IF(Raw_Data[[#This Row],[Age_Check]]="Valid",H744,"")</f>
        <v/>
      </c>
      <c r="V744" t="str">
        <f>IF(OR(K744="",UPPER(TRIM(K744&amp;""))="",LOWER(TRIM(K744&amp;""))="",LOWER(TRIM(K744&amp;""))="",LOWER(TRIM(K744&amp;""))="missing"),"Missing/",IFERROR(IF(VALUE(K744)&lt;0,"Invalid","Valid"),"Check Format"))</f>
        <v>Valid</v>
      </c>
      <c r="W744" t="str">
        <f>IF(OR(E744="",F744=""),"Missing Date/Time",IFERROR(IF(F744&gt;E744,"Arrival After Appointment","OK"),"Check Format"))</f>
        <v>Arrival After Appointment</v>
      </c>
      <c r="X744" t="str">
        <f>IF(OR(F744="",G744=""),"Missing Date/Time",IFERROR(IF(G744&lt;F744,"Discharge Before Arrival","OK"),"Check Format"))</f>
        <v>OK</v>
      </c>
    </row>
    <row r="745" spans="1:24" x14ac:dyDescent="0.25">
      <c r="A745" s="2" t="s">
        <v>1294</v>
      </c>
      <c r="B745" s="2" t="s">
        <v>194</v>
      </c>
      <c r="C745" s="3" t="s">
        <v>94</v>
      </c>
      <c r="D745" s="3" t="s">
        <v>66</v>
      </c>
      <c r="E745" s="4" t="s">
        <v>1295</v>
      </c>
      <c r="G745" s="4">
        <v>45408.743055555555</v>
      </c>
      <c r="H745" s="5">
        <v>145</v>
      </c>
      <c r="I745" s="3" t="s">
        <v>95</v>
      </c>
      <c r="J745" s="3" t="s">
        <v>67</v>
      </c>
      <c r="K745" s="5">
        <v>35</v>
      </c>
      <c r="L745" s="5">
        <v>40</v>
      </c>
      <c r="M745" s="3" t="s">
        <v>23</v>
      </c>
      <c r="N745" t="s">
        <v>100</v>
      </c>
      <c r="O745" s="5">
        <v>1</v>
      </c>
      <c r="P745" s="3" t="s">
        <v>42</v>
      </c>
      <c r="Q745" s="2">
        <v>289.35000000000002</v>
      </c>
      <c r="R745" s="3" t="s">
        <v>58</v>
      </c>
      <c r="S745">
        <f>COUNTIF(A:A,A745)</f>
        <v>1</v>
      </c>
      <c r="T745" t="str">
        <f>IF(OR(H745="",LOWER(TRIM(H745&amp;""))="missing",LOWER(TRIM(H745&amp;""))=""),"Missing/",IFERROR(IF(OR(VALUE(H745)&lt;0,VALUE(H745)&gt;110),"Invalid","Valid"),"Check Format"))</f>
        <v>Invalid</v>
      </c>
      <c r="U745" t="str">
        <f>IF(Raw_Data[[#This Row],[Age_Check]]="Valid",H745,"")</f>
        <v/>
      </c>
      <c r="V745" t="str">
        <f>IF(OR(K745="",UPPER(TRIM(K745&amp;""))="",LOWER(TRIM(K745&amp;""))="",LOWER(TRIM(K745&amp;""))="",LOWER(TRIM(K745&amp;""))="missing"),"Missing/",IFERROR(IF(VALUE(K745)&lt;0,"Invalid","Valid"),"Check Format"))</f>
        <v>Valid</v>
      </c>
      <c r="W745" t="str">
        <f>IF(OR(E745="",F745=""),"Missing Date/Time",IFERROR(IF(F745&gt;E745,"Arrival After Appointment","OK"),"Check Format"))</f>
        <v>Missing Date/Time</v>
      </c>
      <c r="X745" t="str">
        <f>IF(OR(F745="",G745=""),"Missing Date/Time",IFERROR(IF(G745&lt;F745,"Discharge Before Arrival","OK"),"Check Format"))</f>
        <v>Missing Date/Time</v>
      </c>
    </row>
    <row r="746" spans="1:24" x14ac:dyDescent="0.25">
      <c r="A746" s="2" t="s">
        <v>1296</v>
      </c>
      <c r="B746" s="2" t="s">
        <v>602</v>
      </c>
      <c r="C746" s="3" t="s">
        <v>19</v>
      </c>
      <c r="D746" s="3" t="s">
        <v>47</v>
      </c>
      <c r="E746" s="4">
        <v>45850.34375</v>
      </c>
      <c r="F746" s="4">
        <v>45850.322916666664</v>
      </c>
      <c r="J746" s="3" t="s">
        <v>150</v>
      </c>
      <c r="K746" s="5">
        <v>51</v>
      </c>
      <c r="L746" s="5">
        <v>44</v>
      </c>
      <c r="M746" s="3" t="s">
        <v>63</v>
      </c>
      <c r="O746" s="5">
        <v>6</v>
      </c>
      <c r="P746" s="3" t="s">
        <v>80</v>
      </c>
      <c r="Q746" s="2">
        <v>41.54</v>
      </c>
      <c r="R746" s="3" t="s">
        <v>75</v>
      </c>
      <c r="S746">
        <f>COUNTIF(A:A,A746)</f>
        <v>1</v>
      </c>
      <c r="T746" t="str">
        <f>IF(OR(H746="",LOWER(TRIM(H746&amp;""))="missing",LOWER(TRIM(H746&amp;""))=""),"Missing/",IFERROR(IF(OR(VALUE(H746)&lt;0,VALUE(H746)&gt;110),"Invalid","Valid"),"Check Format"))</f>
        <v>Missing/</v>
      </c>
      <c r="U746" t="str">
        <f>IF(Raw_Data[[#This Row],[Age_Check]]="Valid",H746,"")</f>
        <v/>
      </c>
      <c r="V746" t="str">
        <f>IF(OR(K746="",UPPER(TRIM(K746&amp;""))="",LOWER(TRIM(K746&amp;""))="",LOWER(TRIM(K746&amp;""))="",LOWER(TRIM(K746&amp;""))="missing"),"Missing/",IFERROR(IF(VALUE(K746)&lt;0,"Invalid","Valid"),"Check Format"))</f>
        <v>Valid</v>
      </c>
      <c r="W746" t="str">
        <f>IF(OR(E746="",F746=""),"Missing Date/Time",IFERROR(IF(F746&gt;E746,"Arrival After Appointment","OK"),"Check Format"))</f>
        <v>OK</v>
      </c>
      <c r="X746" t="str">
        <f>IF(OR(F746="",G746=""),"Missing Date/Time",IFERROR(IF(G746&lt;F746,"Discharge Before Arrival","OK"),"Check Format"))</f>
        <v>Missing Date/Time</v>
      </c>
    </row>
    <row r="747" spans="1:24" x14ac:dyDescent="0.25">
      <c r="A747" s="2" t="s">
        <v>1297</v>
      </c>
      <c r="B747" s="2" t="s">
        <v>245</v>
      </c>
      <c r="D747" s="3" t="s">
        <v>149</v>
      </c>
      <c r="E747" s="4">
        <v>45656.652777777781</v>
      </c>
      <c r="F747" s="4">
        <v>45656.640972222223</v>
      </c>
      <c r="G747" s="4">
        <v>45656.697222222225</v>
      </c>
      <c r="H747" s="5">
        <v>145</v>
      </c>
      <c r="I747" s="3" t="s">
        <v>95</v>
      </c>
      <c r="J747" s="3" t="s">
        <v>2639</v>
      </c>
      <c r="K747" s="5">
        <v>24</v>
      </c>
      <c r="L747" s="5">
        <v>40</v>
      </c>
      <c r="N747" t="s">
        <v>24</v>
      </c>
      <c r="P747" s="3" t="s">
        <v>25</v>
      </c>
      <c r="Q747" s="2">
        <v>263.73</v>
      </c>
      <c r="R747" s="3" t="s">
        <v>43</v>
      </c>
      <c r="S747">
        <f>COUNTIF(A:A,A747)</f>
        <v>1</v>
      </c>
      <c r="T747" t="str">
        <f>IF(OR(H747="",LOWER(TRIM(H747&amp;""))="missing",LOWER(TRIM(H747&amp;""))=""),"Missing/",IFERROR(IF(OR(VALUE(H747)&lt;0,VALUE(H747)&gt;110),"Invalid","Valid"),"Check Format"))</f>
        <v>Invalid</v>
      </c>
      <c r="U747" t="str">
        <f>IF(Raw_Data[[#This Row],[Age_Check]]="Valid",H747,"")</f>
        <v/>
      </c>
      <c r="V747" t="str">
        <f>IF(OR(K747="",UPPER(TRIM(K747&amp;""))="",LOWER(TRIM(K747&amp;""))="",LOWER(TRIM(K747&amp;""))="",LOWER(TRIM(K747&amp;""))="missing"),"Missing/",IFERROR(IF(VALUE(K747)&lt;0,"Invalid","Valid"),"Check Format"))</f>
        <v>Valid</v>
      </c>
      <c r="W747" t="str">
        <f>IF(OR(E747="",F747=""),"Missing Date/Time",IFERROR(IF(F747&gt;E747,"Arrival After Appointment","OK"),"Check Format"))</f>
        <v>OK</v>
      </c>
      <c r="X747" t="str">
        <f>IF(OR(F747="",G747=""),"Missing Date/Time",IFERROR(IF(G747&lt;F747,"Discharge Before Arrival","OK"),"Check Format"))</f>
        <v>OK</v>
      </c>
    </row>
    <row r="748" spans="1:24" x14ac:dyDescent="0.25">
      <c r="A748" s="2" t="s">
        <v>1298</v>
      </c>
      <c r="B748" s="2" t="s">
        <v>607</v>
      </c>
      <c r="C748" s="3" t="s">
        <v>46</v>
      </c>
      <c r="D748" s="3" t="s">
        <v>209</v>
      </c>
      <c r="E748" s="4">
        <v>45901.545138888891</v>
      </c>
      <c r="F748" s="4">
        <v>45901.531944444447</v>
      </c>
      <c r="G748" s="4">
        <v>45901.611805555556</v>
      </c>
      <c r="H748" s="5">
        <v>64</v>
      </c>
      <c r="I748" s="3" t="s">
        <v>73</v>
      </c>
      <c r="J748" s="3" t="s">
        <v>62</v>
      </c>
      <c r="K748" s="5">
        <v>70</v>
      </c>
      <c r="L748" s="5">
        <v>26</v>
      </c>
      <c r="P748" s="3" t="s">
        <v>25</v>
      </c>
      <c r="Q748" s="2">
        <v>144.94</v>
      </c>
      <c r="R748" s="3" t="s">
        <v>43</v>
      </c>
      <c r="S748">
        <f>COUNTIF(A:A,A748)</f>
        <v>1</v>
      </c>
      <c r="T748" t="str">
        <f>IF(OR(H748="",LOWER(TRIM(H748&amp;""))="missing",LOWER(TRIM(H748&amp;""))=""),"Missing/",IFERROR(IF(OR(VALUE(H748)&lt;0,VALUE(H748)&gt;110),"Invalid","Valid"),"Check Format"))</f>
        <v>Valid</v>
      </c>
      <c r="U748">
        <f>IF(Raw_Data[[#This Row],[Age_Check]]="Valid",H748,"")</f>
        <v>64</v>
      </c>
      <c r="V748" t="str">
        <f>IF(OR(K748="",UPPER(TRIM(K748&amp;""))="",LOWER(TRIM(K748&amp;""))="",LOWER(TRIM(K748&amp;""))="",LOWER(TRIM(K748&amp;""))="missing"),"Missing/",IFERROR(IF(VALUE(K748)&lt;0,"Invalid","Valid"),"Check Format"))</f>
        <v>Valid</v>
      </c>
      <c r="W748" t="str">
        <f>IF(OR(E748="",F748=""),"Missing Date/Time",IFERROR(IF(F748&gt;E748,"Arrival After Appointment","OK"),"Check Format"))</f>
        <v>OK</v>
      </c>
      <c r="X748" t="str">
        <f>IF(OR(F748="",G748=""),"Missing Date/Time",IFERROR(IF(G748&lt;F748,"Discharge Before Arrival","OK"),"Check Format"))</f>
        <v>OK</v>
      </c>
    </row>
    <row r="749" spans="1:24" x14ac:dyDescent="0.25">
      <c r="A749" s="2" t="s">
        <v>1299</v>
      </c>
      <c r="B749" s="2" t="s">
        <v>433</v>
      </c>
      <c r="C749" s="3" t="s">
        <v>37</v>
      </c>
      <c r="D749" s="3" t="s">
        <v>72</v>
      </c>
      <c r="E749" s="4">
        <v>45886.545138888891</v>
      </c>
      <c r="F749" s="4">
        <v>45886.538888888892</v>
      </c>
      <c r="G749" s="4">
        <v>45886.584027777775</v>
      </c>
      <c r="H749" s="5">
        <v>145</v>
      </c>
      <c r="I749" s="3" t="s">
        <v>73</v>
      </c>
      <c r="J749" s="3" t="s">
        <v>150</v>
      </c>
      <c r="K749" s="5">
        <v>14</v>
      </c>
      <c r="L749" s="5">
        <v>42</v>
      </c>
      <c r="M749" s="3" t="s">
        <v>41</v>
      </c>
      <c r="N749" t="s">
        <v>69</v>
      </c>
      <c r="O749" s="5">
        <v>0</v>
      </c>
      <c r="P749" s="3" t="s">
        <v>25</v>
      </c>
      <c r="Q749" s="2">
        <v>215.59</v>
      </c>
      <c r="R749" s="3" t="s">
        <v>58</v>
      </c>
      <c r="S749">
        <f>COUNTIF(A:A,A749)</f>
        <v>1</v>
      </c>
      <c r="T749" t="str">
        <f>IF(OR(H749="",LOWER(TRIM(H749&amp;""))="missing",LOWER(TRIM(H749&amp;""))=""),"Missing/",IFERROR(IF(OR(VALUE(H749)&lt;0,VALUE(H749)&gt;110),"Invalid","Valid"),"Check Format"))</f>
        <v>Invalid</v>
      </c>
      <c r="U749" t="str">
        <f>IF(Raw_Data[[#This Row],[Age_Check]]="Valid",H749,"")</f>
        <v/>
      </c>
      <c r="V749" t="str">
        <f>IF(OR(K749="",UPPER(TRIM(K749&amp;""))="",LOWER(TRIM(K749&amp;""))="",LOWER(TRIM(K749&amp;""))="",LOWER(TRIM(K749&amp;""))="missing"),"Missing/",IFERROR(IF(VALUE(K749)&lt;0,"Invalid","Valid"),"Check Format"))</f>
        <v>Valid</v>
      </c>
      <c r="W749" t="str">
        <f>IF(OR(E749="",F749=""),"Missing Date/Time",IFERROR(IF(F749&gt;E749,"Arrival After Appointment","OK"),"Check Format"))</f>
        <v>OK</v>
      </c>
      <c r="X749" t="str">
        <f>IF(OR(F749="",G749=""),"Missing Date/Time",IFERROR(IF(G749&lt;F749,"Discharge Before Arrival","OK"),"Check Format"))</f>
        <v>OK</v>
      </c>
    </row>
    <row r="750" spans="1:24" x14ac:dyDescent="0.25">
      <c r="A750" s="2" t="s">
        <v>1300</v>
      </c>
      <c r="B750" s="2" t="s">
        <v>631</v>
      </c>
      <c r="C750" s="3" t="s">
        <v>37</v>
      </c>
      <c r="D750" s="3" t="s">
        <v>106</v>
      </c>
      <c r="E750" s="4">
        <v>45723.784722222219</v>
      </c>
      <c r="F750" s="4">
        <v>45723.76458333333</v>
      </c>
      <c r="G750" s="4">
        <v>45723.829861111109</v>
      </c>
      <c r="J750" s="3" t="s">
        <v>22</v>
      </c>
      <c r="K750" s="5">
        <v>42</v>
      </c>
      <c r="L750" s="5">
        <v>23</v>
      </c>
      <c r="M750" s="3" t="s">
        <v>63</v>
      </c>
      <c r="N750" t="s">
        <v>69</v>
      </c>
      <c r="O750" s="5">
        <v>1</v>
      </c>
      <c r="P750" s="3" t="s">
        <v>80</v>
      </c>
      <c r="Q750" s="2">
        <v>166.27</v>
      </c>
      <c r="R750" s="3" t="s">
        <v>58</v>
      </c>
      <c r="S750">
        <f>COUNTIF(A:A,A750)</f>
        <v>1</v>
      </c>
      <c r="T750" t="str">
        <f>IF(OR(H750="",LOWER(TRIM(H750&amp;""))="missing",LOWER(TRIM(H750&amp;""))=""),"Missing/",IFERROR(IF(OR(VALUE(H750)&lt;0,VALUE(H750)&gt;110),"Invalid","Valid"),"Check Format"))</f>
        <v>Missing/</v>
      </c>
      <c r="U750" t="str">
        <f>IF(Raw_Data[[#This Row],[Age_Check]]="Valid",H750,"")</f>
        <v/>
      </c>
      <c r="V750" t="str">
        <f>IF(OR(K750="",UPPER(TRIM(K750&amp;""))="",LOWER(TRIM(K750&amp;""))="",LOWER(TRIM(K750&amp;""))="",LOWER(TRIM(K750&amp;""))="missing"),"Missing/",IFERROR(IF(VALUE(K750)&lt;0,"Invalid","Valid"),"Check Format"))</f>
        <v>Valid</v>
      </c>
      <c r="W750" t="str">
        <f>IF(OR(E750="",F750=""),"Missing Date/Time",IFERROR(IF(F750&gt;E750,"Arrival After Appointment","OK"),"Check Format"))</f>
        <v>OK</v>
      </c>
      <c r="X750" t="str">
        <f>IF(OR(F750="",G750=""),"Missing Date/Time",IFERROR(IF(G750&lt;F750,"Discharge Before Arrival","OK"),"Check Format"))</f>
        <v>OK</v>
      </c>
    </row>
    <row r="751" spans="1:24" x14ac:dyDescent="0.25">
      <c r="A751" s="2" t="s">
        <v>1301</v>
      </c>
      <c r="B751" s="2" t="s">
        <v>211</v>
      </c>
      <c r="C751" s="3" t="s">
        <v>37</v>
      </c>
      <c r="D751" s="3" t="s">
        <v>61</v>
      </c>
      <c r="E751" s="4">
        <v>45885.451388888891</v>
      </c>
      <c r="F751" s="4">
        <v>45885.443055555559</v>
      </c>
      <c r="G751" s="4">
        <v>45885.501388888886</v>
      </c>
      <c r="H751" s="5">
        <v>145</v>
      </c>
      <c r="I751" s="3" t="s">
        <v>95</v>
      </c>
      <c r="J751" s="3" t="s">
        <v>67</v>
      </c>
      <c r="K751" s="5">
        <v>42</v>
      </c>
      <c r="L751" s="5">
        <v>30</v>
      </c>
      <c r="N751" t="s">
        <v>69</v>
      </c>
      <c r="O751" s="5">
        <v>0</v>
      </c>
      <c r="P751" s="3" t="s">
        <v>80</v>
      </c>
      <c r="Q751" s="2">
        <v>312.98</v>
      </c>
      <c r="R751" s="3" t="s">
        <v>26</v>
      </c>
      <c r="S751">
        <f>COUNTIF(A:A,A751)</f>
        <v>1</v>
      </c>
      <c r="T751" t="str">
        <f>IF(OR(H751="",LOWER(TRIM(H751&amp;""))="missing",LOWER(TRIM(H751&amp;""))=""),"Missing/",IFERROR(IF(OR(VALUE(H751)&lt;0,VALUE(H751)&gt;110),"Invalid","Valid"),"Check Format"))</f>
        <v>Invalid</v>
      </c>
      <c r="U751" t="str">
        <f>IF(Raw_Data[[#This Row],[Age_Check]]="Valid",H751,"")</f>
        <v/>
      </c>
      <c r="V751" t="str">
        <f>IF(OR(K751="",UPPER(TRIM(K751&amp;""))="",LOWER(TRIM(K751&amp;""))="",LOWER(TRIM(K751&amp;""))="",LOWER(TRIM(K751&amp;""))="missing"),"Missing/",IFERROR(IF(VALUE(K751)&lt;0,"Invalid","Valid"),"Check Format"))</f>
        <v>Valid</v>
      </c>
      <c r="W751" t="str">
        <f>IF(OR(E751="",F751=""),"Missing Date/Time",IFERROR(IF(F751&gt;E751,"Arrival After Appointment","OK"),"Check Format"))</f>
        <v>OK</v>
      </c>
      <c r="X751" t="str">
        <f>IF(OR(F751="",G751=""),"Missing Date/Time",IFERROR(IF(G751&lt;F751,"Discharge Before Arrival","OK"),"Check Format"))</f>
        <v>OK</v>
      </c>
    </row>
    <row r="752" spans="1:24" x14ac:dyDescent="0.25">
      <c r="A752" s="2" t="s">
        <v>1302</v>
      </c>
      <c r="B752" s="2" t="s">
        <v>699</v>
      </c>
      <c r="C752" s="3" t="s">
        <v>37</v>
      </c>
      <c r="D752" s="3" t="s">
        <v>66</v>
      </c>
      <c r="E752" s="4">
        <v>45930.336805555555</v>
      </c>
      <c r="F752" s="4">
        <v>45930.320138888892</v>
      </c>
      <c r="G752" s="4">
        <v>45930.388194444444</v>
      </c>
      <c r="H752" s="5">
        <v>20</v>
      </c>
      <c r="I752" s="3" t="s">
        <v>95</v>
      </c>
      <c r="J752" s="3" t="s">
        <v>22</v>
      </c>
      <c r="K752" s="5">
        <v>49</v>
      </c>
      <c r="L752" s="5">
        <v>25</v>
      </c>
      <c r="M752" s="3" t="s">
        <v>23</v>
      </c>
      <c r="N752" t="s">
        <v>24</v>
      </c>
      <c r="P752" s="3" t="s">
        <v>80</v>
      </c>
      <c r="Q752" s="2">
        <v>93.2</v>
      </c>
      <c r="R752" s="3" t="s">
        <v>75</v>
      </c>
      <c r="S752">
        <f>COUNTIF(A:A,A752)</f>
        <v>1</v>
      </c>
      <c r="T752" t="str">
        <f>IF(OR(H752="",LOWER(TRIM(H752&amp;""))="missing",LOWER(TRIM(H752&amp;""))=""),"Missing/",IFERROR(IF(OR(VALUE(H752)&lt;0,VALUE(H752)&gt;110),"Invalid","Valid"),"Check Format"))</f>
        <v>Valid</v>
      </c>
      <c r="U752">
        <f>IF(Raw_Data[[#This Row],[Age_Check]]="Valid",H752,"")</f>
        <v>20</v>
      </c>
      <c r="V752" t="str">
        <f>IF(OR(K752="",UPPER(TRIM(K752&amp;""))="",LOWER(TRIM(K752&amp;""))="",LOWER(TRIM(K752&amp;""))="",LOWER(TRIM(K752&amp;""))="missing"),"Missing/",IFERROR(IF(VALUE(K752)&lt;0,"Invalid","Valid"),"Check Format"))</f>
        <v>Valid</v>
      </c>
      <c r="W752" t="str">
        <f>IF(OR(E752="",F752=""),"Missing Date/Time",IFERROR(IF(F752&gt;E752,"Arrival After Appointment","OK"),"Check Format"))</f>
        <v>OK</v>
      </c>
      <c r="X752" t="str">
        <f>IF(OR(F752="",G752=""),"Missing Date/Time",IFERROR(IF(G752&lt;F752,"Discharge Before Arrival","OK"),"Check Format"))</f>
        <v>OK</v>
      </c>
    </row>
    <row r="753" spans="1:24" x14ac:dyDescent="0.25">
      <c r="A753" s="2" t="s">
        <v>1303</v>
      </c>
      <c r="B753" s="2" t="s">
        <v>1304</v>
      </c>
      <c r="C753" s="3" t="s">
        <v>94</v>
      </c>
      <c r="D753" s="3" t="s">
        <v>72</v>
      </c>
      <c r="E753" s="4" t="s">
        <v>1305</v>
      </c>
      <c r="F753" s="4">
        <v>45620.631944444445</v>
      </c>
      <c r="G753" s="4">
        <v>45620.730555555558</v>
      </c>
      <c r="H753" s="5">
        <v>63</v>
      </c>
      <c r="I753" s="3" t="s">
        <v>90</v>
      </c>
      <c r="J753" s="3" t="s">
        <v>62</v>
      </c>
      <c r="K753" s="5">
        <v>84</v>
      </c>
      <c r="L753" s="5">
        <v>28</v>
      </c>
      <c r="M753" s="3" t="s">
        <v>23</v>
      </c>
      <c r="P753" s="3" t="s">
        <v>42</v>
      </c>
      <c r="R753" s="3" t="s">
        <v>43</v>
      </c>
      <c r="S753">
        <f>COUNTIF(A:A,A753)</f>
        <v>1</v>
      </c>
      <c r="T753" t="str">
        <f>IF(OR(H753="",LOWER(TRIM(H753&amp;""))="missing",LOWER(TRIM(H753&amp;""))=""),"Missing/",IFERROR(IF(OR(VALUE(H753)&lt;0,VALUE(H753)&gt;110),"Invalid","Valid"),"Check Format"))</f>
        <v>Valid</v>
      </c>
      <c r="U753">
        <f>IF(Raw_Data[[#This Row],[Age_Check]]="Valid",H753,"")</f>
        <v>63</v>
      </c>
      <c r="V753" t="str">
        <f>IF(OR(K753="",UPPER(TRIM(K753&amp;""))="",LOWER(TRIM(K753&amp;""))="",LOWER(TRIM(K753&amp;""))="",LOWER(TRIM(K753&amp;""))="missing"),"Missing/",IFERROR(IF(VALUE(K753)&lt;0,"Invalid","Valid"),"Check Format"))</f>
        <v>Valid</v>
      </c>
      <c r="W753" t="str">
        <f>IF(OR(E753="",F753=""),"Missing Date/Time",IFERROR(IF(F753&gt;E753,"Arrival After Appointment","OK"),"Check Format"))</f>
        <v>OK</v>
      </c>
      <c r="X753" t="str">
        <f>IF(OR(F753="",G753=""),"Missing Date/Time",IFERROR(IF(G753&lt;F753,"Discharge Before Arrival","OK"),"Check Format"))</f>
        <v>OK</v>
      </c>
    </row>
    <row r="754" spans="1:24" x14ac:dyDescent="0.25">
      <c r="A754" s="2" t="s">
        <v>1306</v>
      </c>
      <c r="B754" s="2" t="s">
        <v>710</v>
      </c>
      <c r="C754" s="3" t="s">
        <v>94</v>
      </c>
      <c r="D754" s="3" t="s">
        <v>38</v>
      </c>
      <c r="E754" s="4">
        <v>45718.545138888891</v>
      </c>
      <c r="F754" s="4">
        <v>45718.531944444447</v>
      </c>
      <c r="G754" s="4">
        <v>45718.607638888891</v>
      </c>
      <c r="H754" s="5">
        <v>69</v>
      </c>
      <c r="J754" s="3" t="s">
        <v>62</v>
      </c>
      <c r="K754" s="5">
        <v>35</v>
      </c>
      <c r="L754" s="5">
        <v>55</v>
      </c>
      <c r="M754" s="3" t="s">
        <v>87</v>
      </c>
      <c r="N754" t="s">
        <v>69</v>
      </c>
      <c r="O754" s="5">
        <v>5</v>
      </c>
      <c r="P754" s="3" t="s">
        <v>25</v>
      </c>
      <c r="Q754" s="2">
        <v>258.57</v>
      </c>
      <c r="R754" s="3" t="s">
        <v>58</v>
      </c>
      <c r="S754">
        <f>COUNTIF(A:A,A754)</f>
        <v>1</v>
      </c>
      <c r="T754" t="str">
        <f>IF(OR(H754="",LOWER(TRIM(H754&amp;""))="missing",LOWER(TRIM(H754&amp;""))=""),"Missing/",IFERROR(IF(OR(VALUE(H754)&lt;0,VALUE(H754)&gt;110),"Invalid","Valid"),"Check Format"))</f>
        <v>Valid</v>
      </c>
      <c r="U754">
        <f>IF(Raw_Data[[#This Row],[Age_Check]]="Valid",H754,"")</f>
        <v>69</v>
      </c>
      <c r="V754" t="str">
        <f>IF(OR(K754="",UPPER(TRIM(K754&amp;""))="",LOWER(TRIM(K754&amp;""))="",LOWER(TRIM(K754&amp;""))="",LOWER(TRIM(K754&amp;""))="missing"),"Missing/",IFERROR(IF(VALUE(K754)&lt;0,"Invalid","Valid"),"Check Format"))</f>
        <v>Valid</v>
      </c>
      <c r="W754" t="str">
        <f>IF(OR(E754="",F754=""),"Missing Date/Time",IFERROR(IF(F754&gt;E754,"Arrival After Appointment","OK"),"Check Format"))</f>
        <v>OK</v>
      </c>
      <c r="X754" t="str">
        <f>IF(OR(F754="",G754=""),"Missing Date/Time",IFERROR(IF(G754&lt;F754,"Discharge Before Arrival","OK"),"Check Format"))</f>
        <v>OK</v>
      </c>
    </row>
    <row r="755" spans="1:24" x14ac:dyDescent="0.25">
      <c r="A755" s="2" t="s">
        <v>1307</v>
      </c>
      <c r="B755" s="2" t="s">
        <v>208</v>
      </c>
      <c r="C755" s="3" t="s">
        <v>46</v>
      </c>
      <c r="D755" s="3" t="s">
        <v>209</v>
      </c>
      <c r="E755" s="4">
        <v>45523.53125</v>
      </c>
      <c r="F755" s="4">
        <v>45523.518055555556</v>
      </c>
      <c r="G755" s="4">
        <v>45523.55972222222</v>
      </c>
      <c r="J755" s="3" t="s">
        <v>171</v>
      </c>
      <c r="K755" s="5">
        <v>36</v>
      </c>
      <c r="L755" s="5">
        <v>5</v>
      </c>
      <c r="P755" s="3" t="s">
        <v>25</v>
      </c>
      <c r="Q755" s="2">
        <v>225.6</v>
      </c>
      <c r="R755" s="3" t="s">
        <v>75</v>
      </c>
      <c r="S755">
        <f>COUNTIF(A:A,A755)</f>
        <v>1</v>
      </c>
      <c r="T755" t="str">
        <f>IF(OR(H755="",LOWER(TRIM(H755&amp;""))="missing",LOWER(TRIM(H755&amp;""))=""),"Missing/",IFERROR(IF(OR(VALUE(H755)&lt;0,VALUE(H755)&gt;110),"Invalid","Valid"),"Check Format"))</f>
        <v>Missing/</v>
      </c>
      <c r="U755" t="str">
        <f>IF(Raw_Data[[#This Row],[Age_Check]]="Valid",H755,"")</f>
        <v/>
      </c>
      <c r="V755" t="str">
        <f>IF(OR(K755="",UPPER(TRIM(K755&amp;""))="",LOWER(TRIM(K755&amp;""))="",LOWER(TRIM(K755&amp;""))="",LOWER(TRIM(K755&amp;""))="missing"),"Missing/",IFERROR(IF(VALUE(K755)&lt;0,"Invalid","Valid"),"Check Format"))</f>
        <v>Valid</v>
      </c>
      <c r="W755" t="str">
        <f>IF(OR(E755="",F755=""),"Missing Date/Time",IFERROR(IF(F755&gt;E755,"Arrival After Appointment","OK"),"Check Format"))</f>
        <v>OK</v>
      </c>
      <c r="X755" t="str">
        <f>IF(OR(F755="",G755=""),"Missing Date/Time",IFERROR(IF(G755&lt;F755,"Discharge Before Arrival","OK"),"Check Format"))</f>
        <v>OK</v>
      </c>
    </row>
    <row r="756" spans="1:24" x14ac:dyDescent="0.25">
      <c r="A756" s="2" t="s">
        <v>1308</v>
      </c>
      <c r="B756" s="2" t="s">
        <v>650</v>
      </c>
      <c r="C756" s="3" t="s">
        <v>94</v>
      </c>
      <c r="D756" s="3" t="s">
        <v>66</v>
      </c>
      <c r="E756" s="4">
        <v>45894.475694444445</v>
      </c>
      <c r="G756" s="4">
        <v>45894.53125</v>
      </c>
      <c r="H756" s="5">
        <v>46</v>
      </c>
      <c r="I756" s="3" t="s">
        <v>95</v>
      </c>
      <c r="J756" s="3" t="s">
        <v>67</v>
      </c>
      <c r="K756" s="5">
        <v>34</v>
      </c>
      <c r="L756" s="5">
        <v>46</v>
      </c>
      <c r="M756" s="3" t="s">
        <v>87</v>
      </c>
      <c r="N756" t="s">
        <v>91</v>
      </c>
      <c r="O756" s="5">
        <v>0</v>
      </c>
      <c r="P756" s="3" t="s">
        <v>25</v>
      </c>
      <c r="Q756" s="2">
        <v>0</v>
      </c>
      <c r="R756" s="3" t="s">
        <v>58</v>
      </c>
      <c r="S756">
        <f>COUNTIF(A:A,A756)</f>
        <v>1</v>
      </c>
      <c r="T756" t="str">
        <f>IF(OR(H756="",LOWER(TRIM(H756&amp;""))="missing",LOWER(TRIM(H756&amp;""))=""),"Missing/",IFERROR(IF(OR(VALUE(H756)&lt;0,VALUE(H756)&gt;110),"Invalid","Valid"),"Check Format"))</f>
        <v>Valid</v>
      </c>
      <c r="U756">
        <f>IF(Raw_Data[[#This Row],[Age_Check]]="Valid",H756,"")</f>
        <v>46</v>
      </c>
      <c r="V756" t="str">
        <f>IF(OR(K756="",UPPER(TRIM(K756&amp;""))="",LOWER(TRIM(K756&amp;""))="",LOWER(TRIM(K756&amp;""))="",LOWER(TRIM(K756&amp;""))="missing"),"Missing/",IFERROR(IF(VALUE(K756)&lt;0,"Invalid","Valid"),"Check Format"))</f>
        <v>Valid</v>
      </c>
      <c r="W756" t="str">
        <f>IF(OR(E756="",F756=""),"Missing Date/Time",IFERROR(IF(F756&gt;E756,"Arrival After Appointment","OK"),"Check Format"))</f>
        <v>Missing Date/Time</v>
      </c>
      <c r="X756" t="str">
        <f>IF(OR(F756="",G756=""),"Missing Date/Time",IFERROR(IF(G756&lt;F756,"Discharge Before Arrival","OK"),"Check Format"))</f>
        <v>Missing Date/Time</v>
      </c>
    </row>
    <row r="757" spans="1:24" x14ac:dyDescent="0.25">
      <c r="A757" s="2" t="s">
        <v>1309</v>
      </c>
      <c r="B757" s="2" t="s">
        <v>1151</v>
      </c>
      <c r="C757" s="3" t="s">
        <v>94</v>
      </c>
      <c r="D757" s="3" t="s">
        <v>30</v>
      </c>
      <c r="E757" s="4">
        <v>45860.552083333336</v>
      </c>
      <c r="F757" s="4">
        <v>45860.539583333331</v>
      </c>
      <c r="G757" s="4">
        <v>45860.620833333334</v>
      </c>
      <c r="H757" s="5">
        <v>47</v>
      </c>
      <c r="I757" s="3" t="s">
        <v>95</v>
      </c>
      <c r="J757" s="3" t="s">
        <v>67</v>
      </c>
      <c r="K757" s="5">
        <v>89</v>
      </c>
      <c r="L757" s="5">
        <v>10</v>
      </c>
      <c r="M757" s="3" t="s">
        <v>32</v>
      </c>
      <c r="N757" t="s">
        <v>74</v>
      </c>
      <c r="O757" s="5">
        <v>6</v>
      </c>
      <c r="P757" s="3" t="s">
        <v>42</v>
      </c>
      <c r="Q757" s="2">
        <v>203.46</v>
      </c>
      <c r="R757" s="3" t="s">
        <v>75</v>
      </c>
      <c r="S757">
        <f>COUNTIF(A:A,A757)</f>
        <v>1</v>
      </c>
      <c r="T757" t="str">
        <f>IF(OR(H757="",LOWER(TRIM(H757&amp;""))="missing",LOWER(TRIM(H757&amp;""))=""),"Missing/",IFERROR(IF(OR(VALUE(H757)&lt;0,VALUE(H757)&gt;110),"Invalid","Valid"),"Check Format"))</f>
        <v>Valid</v>
      </c>
      <c r="U757">
        <f>IF(Raw_Data[[#This Row],[Age_Check]]="Valid",H757,"")</f>
        <v>47</v>
      </c>
      <c r="V757" t="str">
        <f>IF(OR(K757="",UPPER(TRIM(K757&amp;""))="",LOWER(TRIM(K757&amp;""))="",LOWER(TRIM(K757&amp;""))="",LOWER(TRIM(K757&amp;""))="missing"),"Missing/",IFERROR(IF(VALUE(K757)&lt;0,"Invalid","Valid"),"Check Format"))</f>
        <v>Valid</v>
      </c>
      <c r="W757" t="str">
        <f>IF(OR(E757="",F757=""),"Missing Date/Time",IFERROR(IF(F757&gt;E757,"Arrival After Appointment","OK"),"Check Format"))</f>
        <v>OK</v>
      </c>
      <c r="X757" t="str">
        <f>IF(OR(F757="",G757=""),"Missing Date/Time",IFERROR(IF(G757&lt;F757,"Discharge Before Arrival","OK"),"Check Format"))</f>
        <v>OK</v>
      </c>
    </row>
    <row r="758" spans="1:24" x14ac:dyDescent="0.25">
      <c r="A758" s="2" t="s">
        <v>1310</v>
      </c>
      <c r="B758" s="2" t="s">
        <v>1311</v>
      </c>
      <c r="C758" s="3" t="s">
        <v>46</v>
      </c>
      <c r="D758" s="3" t="s">
        <v>209</v>
      </c>
      <c r="E758" s="4">
        <v>45548.375</v>
      </c>
      <c r="F758" s="4">
        <v>45548.359027777777</v>
      </c>
      <c r="G758" s="4">
        <v>45548.425000000003</v>
      </c>
      <c r="I758" s="3" t="s">
        <v>73</v>
      </c>
      <c r="J758" s="3" t="s">
        <v>22</v>
      </c>
      <c r="K758" s="5">
        <v>58</v>
      </c>
      <c r="L758" s="5">
        <v>14</v>
      </c>
      <c r="N758" t="s">
        <v>74</v>
      </c>
      <c r="P758" s="3" t="s">
        <v>80</v>
      </c>
      <c r="R758" s="3" t="s">
        <v>75</v>
      </c>
      <c r="S758">
        <f>COUNTIF(A:A,A758)</f>
        <v>1</v>
      </c>
      <c r="T758" t="str">
        <f>IF(OR(H758="",LOWER(TRIM(H758&amp;""))="missing",LOWER(TRIM(H758&amp;""))=""),"Missing/",IFERROR(IF(OR(VALUE(H758)&lt;0,VALUE(H758)&gt;110),"Invalid","Valid"),"Check Format"))</f>
        <v>Missing/</v>
      </c>
      <c r="U758" t="str">
        <f>IF(Raw_Data[[#This Row],[Age_Check]]="Valid",H758,"")</f>
        <v/>
      </c>
      <c r="V758" t="str">
        <f>IF(OR(K758="",UPPER(TRIM(K758&amp;""))="",LOWER(TRIM(K758&amp;""))="",LOWER(TRIM(K758&amp;""))="",LOWER(TRIM(K758&amp;""))="missing"),"Missing/",IFERROR(IF(VALUE(K758)&lt;0,"Invalid","Valid"),"Check Format"))</f>
        <v>Valid</v>
      </c>
      <c r="W758" t="str">
        <f>IF(OR(E758="",F758=""),"Missing Date/Time",IFERROR(IF(F758&gt;E758,"Arrival After Appointment","OK"),"Check Format"))</f>
        <v>OK</v>
      </c>
      <c r="X758" t="str">
        <f>IF(OR(F758="",G758=""),"Missing Date/Time",IFERROR(IF(G758&lt;F758,"Discharge Before Arrival","OK"),"Check Format"))</f>
        <v>OK</v>
      </c>
    </row>
    <row r="759" spans="1:24" x14ac:dyDescent="0.25">
      <c r="A759" s="2" t="s">
        <v>1312</v>
      </c>
      <c r="B759" s="2" t="s">
        <v>535</v>
      </c>
      <c r="C759" s="3" t="s">
        <v>29</v>
      </c>
      <c r="D759" s="3" t="s">
        <v>149</v>
      </c>
      <c r="E759" s="4">
        <v>45745.527777777781</v>
      </c>
      <c r="F759" s="4">
        <v>45745.523611111108</v>
      </c>
      <c r="G759" s="4">
        <v>45745.588194444441</v>
      </c>
      <c r="I759" s="3" t="s">
        <v>95</v>
      </c>
      <c r="J759" s="3" t="s">
        <v>67</v>
      </c>
      <c r="K759" s="5">
        <v>43</v>
      </c>
      <c r="L759" s="5">
        <v>44</v>
      </c>
      <c r="M759" s="3" t="s">
        <v>50</v>
      </c>
      <c r="N759" t="s">
        <v>91</v>
      </c>
      <c r="O759" s="5">
        <v>0</v>
      </c>
      <c r="Q759" s="2">
        <v>153.47</v>
      </c>
      <c r="R759" s="3" t="s">
        <v>43</v>
      </c>
      <c r="S759">
        <f>COUNTIF(A:A,A759)</f>
        <v>1</v>
      </c>
      <c r="T759" t="str">
        <f>IF(OR(H759="",LOWER(TRIM(H759&amp;""))="missing",LOWER(TRIM(H759&amp;""))=""),"Missing/",IFERROR(IF(OR(VALUE(H759)&lt;0,VALUE(H759)&gt;110),"Invalid","Valid"),"Check Format"))</f>
        <v>Missing/</v>
      </c>
      <c r="U759" t="str">
        <f>IF(Raw_Data[[#This Row],[Age_Check]]="Valid",H759,"")</f>
        <v/>
      </c>
      <c r="V759" t="str">
        <f>IF(OR(K759="",UPPER(TRIM(K759&amp;""))="",LOWER(TRIM(K759&amp;""))="",LOWER(TRIM(K759&amp;""))="",LOWER(TRIM(K759&amp;""))="missing"),"Missing/",IFERROR(IF(VALUE(K759)&lt;0,"Invalid","Valid"),"Check Format"))</f>
        <v>Valid</v>
      </c>
      <c r="W759" t="str">
        <f>IF(OR(E759="",F759=""),"Missing Date/Time",IFERROR(IF(F759&gt;E759,"Arrival After Appointment","OK"),"Check Format"))</f>
        <v>OK</v>
      </c>
      <c r="X759" t="str">
        <f>IF(OR(F759="",G759=""),"Missing Date/Time",IFERROR(IF(G759&lt;F759,"Discharge Before Arrival","OK"),"Check Format"))</f>
        <v>OK</v>
      </c>
    </row>
    <row r="760" spans="1:24" x14ac:dyDescent="0.25">
      <c r="A760" s="2" t="s">
        <v>1313</v>
      </c>
      <c r="B760" s="2" t="s">
        <v>141</v>
      </c>
      <c r="C760" s="3" t="s">
        <v>46</v>
      </c>
      <c r="D760" s="3" t="s">
        <v>149</v>
      </c>
      <c r="E760" s="4" t="s">
        <v>1314</v>
      </c>
      <c r="F760" s="4">
        <v>45403.561805555553</v>
      </c>
      <c r="G760" s="4">
        <v>45403.677083333336</v>
      </c>
      <c r="H760" s="5">
        <v>15</v>
      </c>
      <c r="I760" s="3" t="s">
        <v>95</v>
      </c>
      <c r="J760" s="3" t="s">
        <v>150</v>
      </c>
      <c r="K760" s="5">
        <v>78</v>
      </c>
      <c r="L760" s="5">
        <v>67</v>
      </c>
      <c r="M760" s="3" t="s">
        <v>63</v>
      </c>
      <c r="N760" t="s">
        <v>69</v>
      </c>
      <c r="O760" s="5">
        <v>0</v>
      </c>
      <c r="P760" s="3" t="s">
        <v>42</v>
      </c>
      <c r="Q760" s="2">
        <v>19.86</v>
      </c>
      <c r="R760" s="3" t="s">
        <v>75</v>
      </c>
      <c r="S760">
        <f>COUNTIF(A:A,A760)</f>
        <v>1</v>
      </c>
      <c r="T760" t="str">
        <f>IF(OR(H760="",LOWER(TRIM(H760&amp;""))="missing",LOWER(TRIM(H760&amp;""))=""),"Missing/",IFERROR(IF(OR(VALUE(H760)&lt;0,VALUE(H760)&gt;110),"Invalid","Valid"),"Check Format"))</f>
        <v>Valid</v>
      </c>
      <c r="U760">
        <f>IF(Raw_Data[[#This Row],[Age_Check]]="Valid",H760,"")</f>
        <v>15</v>
      </c>
      <c r="V760" t="str">
        <f>IF(OR(K760="",UPPER(TRIM(K760&amp;""))="",LOWER(TRIM(K760&amp;""))="",LOWER(TRIM(K760&amp;""))="",LOWER(TRIM(K760&amp;""))="missing"),"Missing/",IFERROR(IF(VALUE(K760)&lt;0,"Invalid","Valid"),"Check Format"))</f>
        <v>Valid</v>
      </c>
      <c r="W760" t="str">
        <f>IF(OR(E760="",F760=""),"Missing Date/Time",IFERROR(IF(F760&gt;E760,"Arrival After Appointment","OK"),"Check Format"))</f>
        <v>OK</v>
      </c>
      <c r="X760" t="str">
        <f>IF(OR(F760="",G760=""),"Missing Date/Time",IFERROR(IF(G760&lt;F760,"Discharge Before Arrival","OK"),"Check Format"))</f>
        <v>OK</v>
      </c>
    </row>
    <row r="761" spans="1:24" x14ac:dyDescent="0.25">
      <c r="A761" s="2" t="s">
        <v>1315</v>
      </c>
      <c r="B761" s="2" t="s">
        <v>357</v>
      </c>
      <c r="C761" s="3" t="s">
        <v>19</v>
      </c>
      <c r="D761" s="3" t="s">
        <v>55</v>
      </c>
      <c r="E761" s="4">
        <v>45718.295138888891</v>
      </c>
      <c r="F761" s="4">
        <v>45691.276388888888</v>
      </c>
      <c r="G761" s="4">
        <v>45691.397222222222</v>
      </c>
      <c r="H761" s="5">
        <v>145</v>
      </c>
      <c r="I761" s="3" t="s">
        <v>95</v>
      </c>
      <c r="J761" s="3" t="s">
        <v>62</v>
      </c>
      <c r="K761" s="5">
        <v>114</v>
      </c>
      <c r="L761" s="5">
        <v>33</v>
      </c>
      <c r="M761" s="3" t="s">
        <v>87</v>
      </c>
      <c r="N761" t="s">
        <v>74</v>
      </c>
      <c r="O761" s="5">
        <v>5</v>
      </c>
      <c r="P761" s="3" t="s">
        <v>80</v>
      </c>
      <c r="Q761" s="2">
        <v>73.099999999999994</v>
      </c>
      <c r="R761" s="3" t="s">
        <v>58</v>
      </c>
      <c r="S761">
        <f>COUNTIF(A:A,A761)</f>
        <v>1</v>
      </c>
      <c r="T761" t="str">
        <f>IF(OR(H761="",LOWER(TRIM(H761&amp;""))="missing",LOWER(TRIM(H761&amp;""))=""),"Missing/",IFERROR(IF(OR(VALUE(H761)&lt;0,VALUE(H761)&gt;110),"Invalid","Valid"),"Check Format"))</f>
        <v>Invalid</v>
      </c>
      <c r="U761" t="str">
        <f>IF(Raw_Data[[#This Row],[Age_Check]]="Valid",H761,"")</f>
        <v/>
      </c>
      <c r="V761" t="str">
        <f>IF(OR(K761="",UPPER(TRIM(K761&amp;""))="",LOWER(TRIM(K761&amp;""))="",LOWER(TRIM(K761&amp;""))="",LOWER(TRIM(K761&amp;""))="missing"),"Missing/",IFERROR(IF(VALUE(K761)&lt;0,"Invalid","Valid"),"Check Format"))</f>
        <v>Valid</v>
      </c>
      <c r="W761" t="str">
        <f>IF(OR(E761="",F761=""),"Missing Date/Time",IFERROR(IF(F761&gt;E761,"Arrival After Appointment","OK"),"Check Format"))</f>
        <v>OK</v>
      </c>
      <c r="X761" t="str">
        <f>IF(OR(F761="",G761=""),"Missing Date/Time",IFERROR(IF(G761&lt;F761,"Discharge Before Arrival","OK"),"Check Format"))</f>
        <v>OK</v>
      </c>
    </row>
    <row r="762" spans="1:24" x14ac:dyDescent="0.25">
      <c r="A762" s="2" t="s">
        <v>1316</v>
      </c>
      <c r="B762" s="2" t="s">
        <v>431</v>
      </c>
      <c r="C762" s="3" t="s">
        <v>94</v>
      </c>
      <c r="D762" s="3" t="s">
        <v>174</v>
      </c>
      <c r="E762" s="4">
        <v>45492.340277777781</v>
      </c>
      <c r="F762" s="4">
        <v>45492.331250000003</v>
      </c>
      <c r="G762" s="4">
        <v>45492.367361111108</v>
      </c>
      <c r="I762" s="3" t="s">
        <v>73</v>
      </c>
      <c r="J762" s="3" t="s">
        <v>150</v>
      </c>
      <c r="K762" s="5">
        <v>11</v>
      </c>
      <c r="L762" s="5">
        <v>28</v>
      </c>
      <c r="M762" s="3" t="s">
        <v>68</v>
      </c>
      <c r="N762" t="s">
        <v>100</v>
      </c>
      <c r="O762" s="5">
        <v>1</v>
      </c>
      <c r="P762" s="3" t="s">
        <v>25</v>
      </c>
      <c r="Q762" s="2">
        <v>218.73</v>
      </c>
      <c r="R762" s="3" t="s">
        <v>58</v>
      </c>
      <c r="S762">
        <f>COUNTIF(A:A,A762)</f>
        <v>1</v>
      </c>
      <c r="T762" t="str">
        <f>IF(OR(H762="",LOWER(TRIM(H762&amp;""))="missing",LOWER(TRIM(H762&amp;""))=""),"Missing/",IFERROR(IF(OR(VALUE(H762)&lt;0,VALUE(H762)&gt;110),"Invalid","Valid"),"Check Format"))</f>
        <v>Missing/</v>
      </c>
      <c r="U762" t="str">
        <f>IF(Raw_Data[[#This Row],[Age_Check]]="Valid",H762,"")</f>
        <v/>
      </c>
      <c r="V762" t="str">
        <f>IF(OR(K762="",UPPER(TRIM(K762&amp;""))="",LOWER(TRIM(K762&amp;""))="",LOWER(TRIM(K762&amp;""))="",LOWER(TRIM(K762&amp;""))="missing"),"Missing/",IFERROR(IF(VALUE(K762)&lt;0,"Invalid","Valid"),"Check Format"))</f>
        <v>Valid</v>
      </c>
      <c r="W762" t="str">
        <f>IF(OR(E762="",F762=""),"Missing Date/Time",IFERROR(IF(F762&gt;E762,"Arrival After Appointment","OK"),"Check Format"))</f>
        <v>OK</v>
      </c>
      <c r="X762" t="str">
        <f>IF(OR(F762="",G762=""),"Missing Date/Time",IFERROR(IF(G762&lt;F762,"Discharge Before Arrival","OK"),"Check Format"))</f>
        <v>OK</v>
      </c>
    </row>
    <row r="763" spans="1:24" x14ac:dyDescent="0.25">
      <c r="A763" s="2" t="s">
        <v>1317</v>
      </c>
      <c r="B763" s="2" t="s">
        <v>697</v>
      </c>
      <c r="C763" s="3" t="s">
        <v>29</v>
      </c>
      <c r="D763" s="3" t="s">
        <v>115</v>
      </c>
      <c r="E763" s="4" t="s">
        <v>1318</v>
      </c>
      <c r="F763" s="4">
        <v>45687.604166666664</v>
      </c>
      <c r="G763" s="4">
        <v>45687.702777777777</v>
      </c>
      <c r="H763" s="5">
        <v>39</v>
      </c>
      <c r="J763" s="3" t="s">
        <v>62</v>
      </c>
      <c r="K763" s="5">
        <v>53</v>
      </c>
      <c r="L763" s="5">
        <v>59</v>
      </c>
      <c r="M763" s="3" t="s">
        <v>50</v>
      </c>
      <c r="Q763" s="2">
        <v>28.91</v>
      </c>
      <c r="R763" s="3" t="s">
        <v>75</v>
      </c>
      <c r="S763">
        <f>COUNTIF(A:A,A763)</f>
        <v>1</v>
      </c>
      <c r="T763" t="str">
        <f>IF(OR(H763="",LOWER(TRIM(H763&amp;""))="missing",LOWER(TRIM(H763&amp;""))=""),"Missing/",IFERROR(IF(OR(VALUE(H763)&lt;0,VALUE(H763)&gt;110),"Invalid","Valid"),"Check Format"))</f>
        <v>Valid</v>
      </c>
      <c r="U763">
        <f>IF(Raw_Data[[#This Row],[Age_Check]]="Valid",H763,"")</f>
        <v>39</v>
      </c>
      <c r="V763" t="str">
        <f>IF(OR(K763="",UPPER(TRIM(K763&amp;""))="",LOWER(TRIM(K763&amp;""))="",LOWER(TRIM(K763&amp;""))="",LOWER(TRIM(K763&amp;""))="missing"),"Missing/",IFERROR(IF(VALUE(K763)&lt;0,"Invalid","Valid"),"Check Format"))</f>
        <v>Valid</v>
      </c>
      <c r="W763" t="str">
        <f>IF(OR(E763="",F763=""),"Missing Date/Time",IFERROR(IF(F763&gt;E763,"Arrival After Appointment","OK"),"Check Format"))</f>
        <v>OK</v>
      </c>
      <c r="X763" t="str">
        <f>IF(OR(F763="",G763=""),"Missing Date/Time",IFERROR(IF(G763&lt;F763,"Discharge Before Arrival","OK"),"Check Format"))</f>
        <v>OK</v>
      </c>
    </row>
    <row r="764" spans="1:24" x14ac:dyDescent="0.25">
      <c r="A764" s="2" t="s">
        <v>1319</v>
      </c>
      <c r="B764" s="2" t="s">
        <v>1072</v>
      </c>
      <c r="C764" s="3" t="s">
        <v>94</v>
      </c>
      <c r="D764" s="3" t="s">
        <v>47</v>
      </c>
      <c r="E764" s="4">
        <v>45604.725694444445</v>
      </c>
      <c r="F764" s="4">
        <v>45604.706944444442</v>
      </c>
      <c r="G764" s="4">
        <v>45604.771527777775</v>
      </c>
      <c r="H764" s="5">
        <v>17</v>
      </c>
      <c r="I764" s="3" t="s">
        <v>95</v>
      </c>
      <c r="J764" s="3" t="s">
        <v>22</v>
      </c>
      <c r="K764" s="5">
        <v>57</v>
      </c>
      <c r="L764" s="5">
        <v>9</v>
      </c>
      <c r="M764" s="3" t="s">
        <v>32</v>
      </c>
      <c r="N764" t="s">
        <v>103</v>
      </c>
      <c r="P764" s="3" t="s">
        <v>42</v>
      </c>
      <c r="Q764" s="2">
        <v>174.09</v>
      </c>
      <c r="R764" s="3" t="s">
        <v>26</v>
      </c>
      <c r="S764">
        <f>COUNTIF(A:A,A764)</f>
        <v>1</v>
      </c>
      <c r="T764" t="str">
        <f>IF(OR(H764="",LOWER(TRIM(H764&amp;""))="missing",LOWER(TRIM(H764&amp;""))=""),"Missing/",IFERROR(IF(OR(VALUE(H764)&lt;0,VALUE(H764)&gt;110),"Invalid","Valid"),"Check Format"))</f>
        <v>Valid</v>
      </c>
      <c r="U764">
        <f>IF(Raw_Data[[#This Row],[Age_Check]]="Valid",H764,"")</f>
        <v>17</v>
      </c>
      <c r="V764" t="str">
        <f>IF(OR(K764="",UPPER(TRIM(K764&amp;""))="",LOWER(TRIM(K764&amp;""))="",LOWER(TRIM(K764&amp;""))="",LOWER(TRIM(K764&amp;""))="missing"),"Missing/",IFERROR(IF(VALUE(K764)&lt;0,"Invalid","Valid"),"Check Format"))</f>
        <v>Valid</v>
      </c>
      <c r="W764" t="str">
        <f>IF(OR(E764="",F764=""),"Missing Date/Time",IFERROR(IF(F764&gt;E764,"Arrival After Appointment","OK"),"Check Format"))</f>
        <v>OK</v>
      </c>
      <c r="X764" t="str">
        <f>IF(OR(F764="",G764=""),"Missing Date/Time",IFERROR(IF(G764&lt;F764,"Discharge Before Arrival","OK"),"Check Format"))</f>
        <v>OK</v>
      </c>
    </row>
    <row r="765" spans="1:24" x14ac:dyDescent="0.25">
      <c r="A765" s="2" t="s">
        <v>1320</v>
      </c>
      <c r="B765" s="2" t="s">
        <v>697</v>
      </c>
      <c r="C765" s="3" t="s">
        <v>46</v>
      </c>
      <c r="D765" s="3" t="s">
        <v>47</v>
      </c>
      <c r="E765" s="4">
        <v>45699.427083333336</v>
      </c>
      <c r="F765" s="4">
        <v>45699.40902777778</v>
      </c>
      <c r="G765" s="4">
        <v>45699.505555555559</v>
      </c>
      <c r="H765" s="5">
        <v>87</v>
      </c>
      <c r="I765" s="3" t="s">
        <v>73</v>
      </c>
      <c r="J765" s="3" t="s">
        <v>22</v>
      </c>
      <c r="K765" s="5">
        <v>89</v>
      </c>
      <c r="L765" s="5">
        <v>24</v>
      </c>
      <c r="M765" s="3" t="s">
        <v>32</v>
      </c>
      <c r="N765" t="s">
        <v>91</v>
      </c>
      <c r="O765" s="5">
        <v>1</v>
      </c>
      <c r="Q765" s="2">
        <v>0</v>
      </c>
      <c r="R765" s="3" t="s">
        <v>26</v>
      </c>
      <c r="S765">
        <f>COUNTIF(A:A,A765)</f>
        <v>1</v>
      </c>
      <c r="T765" t="str">
        <f>IF(OR(H765="",LOWER(TRIM(H765&amp;""))="missing",LOWER(TRIM(H765&amp;""))=""),"Missing/",IFERROR(IF(OR(VALUE(H765)&lt;0,VALUE(H765)&gt;110),"Invalid","Valid"),"Check Format"))</f>
        <v>Valid</v>
      </c>
      <c r="U765">
        <f>IF(Raw_Data[[#This Row],[Age_Check]]="Valid",H765,"")</f>
        <v>87</v>
      </c>
      <c r="V765" t="str">
        <f>IF(OR(K765="",UPPER(TRIM(K765&amp;""))="",LOWER(TRIM(K765&amp;""))="",LOWER(TRIM(K765&amp;""))="",LOWER(TRIM(K765&amp;""))="missing"),"Missing/",IFERROR(IF(VALUE(K765)&lt;0,"Invalid","Valid"),"Check Format"))</f>
        <v>Valid</v>
      </c>
      <c r="W765" t="str">
        <f>IF(OR(E765="",F765=""),"Missing Date/Time",IFERROR(IF(F765&gt;E765,"Arrival After Appointment","OK"),"Check Format"))</f>
        <v>OK</v>
      </c>
      <c r="X765" t="str">
        <f>IF(OR(F765="",G765=""),"Missing Date/Time",IFERROR(IF(G765&lt;F765,"Discharge Before Arrival","OK"),"Check Format"))</f>
        <v>OK</v>
      </c>
    </row>
    <row r="766" spans="1:24" x14ac:dyDescent="0.25">
      <c r="A766" s="2" t="s">
        <v>1321</v>
      </c>
      <c r="B766" s="2" t="s">
        <v>579</v>
      </c>
      <c r="C766" s="3" t="s">
        <v>37</v>
      </c>
      <c r="D766" s="3" t="s">
        <v>23</v>
      </c>
      <c r="E766" s="4">
        <v>45553.538194444445</v>
      </c>
      <c r="F766" s="4">
        <v>45553.526388888888</v>
      </c>
      <c r="G766" s="4">
        <v>45553.609722222223</v>
      </c>
      <c r="H766" s="5">
        <v>145</v>
      </c>
      <c r="I766" s="3" t="s">
        <v>73</v>
      </c>
      <c r="J766" s="3" t="s">
        <v>2639</v>
      </c>
      <c r="K766" s="5">
        <v>64</v>
      </c>
      <c r="L766" s="5">
        <v>39</v>
      </c>
      <c r="M766" s="3" t="s">
        <v>41</v>
      </c>
      <c r="N766" t="s">
        <v>24</v>
      </c>
      <c r="O766" s="5">
        <v>3</v>
      </c>
      <c r="Q766" s="2">
        <v>177.34</v>
      </c>
      <c r="R766" s="3" t="s">
        <v>58</v>
      </c>
      <c r="S766">
        <f>COUNTIF(A:A,A766)</f>
        <v>1</v>
      </c>
      <c r="T766" t="str">
        <f>IF(OR(H766="",LOWER(TRIM(H766&amp;""))="missing",LOWER(TRIM(H766&amp;""))=""),"Missing/",IFERROR(IF(OR(VALUE(H766)&lt;0,VALUE(H766)&gt;110),"Invalid","Valid"),"Check Format"))</f>
        <v>Invalid</v>
      </c>
      <c r="U766" t="str">
        <f>IF(Raw_Data[[#This Row],[Age_Check]]="Valid",H766,"")</f>
        <v/>
      </c>
      <c r="V766" t="str">
        <f>IF(OR(K766="",UPPER(TRIM(K766&amp;""))="",LOWER(TRIM(K766&amp;""))="",LOWER(TRIM(K766&amp;""))="",LOWER(TRIM(K766&amp;""))="missing"),"Missing/",IFERROR(IF(VALUE(K766)&lt;0,"Invalid","Valid"),"Check Format"))</f>
        <v>Valid</v>
      </c>
      <c r="W766" t="str">
        <f>IF(OR(E766="",F766=""),"Missing Date/Time",IFERROR(IF(F766&gt;E766,"Arrival After Appointment","OK"),"Check Format"))</f>
        <v>OK</v>
      </c>
      <c r="X766" t="str">
        <f>IF(OR(F766="",G766=""),"Missing Date/Time",IFERROR(IF(G766&lt;F766,"Discharge Before Arrival","OK"),"Check Format"))</f>
        <v>OK</v>
      </c>
    </row>
    <row r="767" spans="1:24" x14ac:dyDescent="0.25">
      <c r="A767" s="2" t="s">
        <v>1322</v>
      </c>
      <c r="B767" s="2" t="s">
        <v>273</v>
      </c>
      <c r="C767" s="3" t="s">
        <v>94</v>
      </c>
      <c r="D767" s="3" t="s">
        <v>209</v>
      </c>
      <c r="E767" s="4">
        <v>45777.638888888891</v>
      </c>
      <c r="F767" s="4">
        <v>45777.633333333331</v>
      </c>
      <c r="G767" s="4">
        <v>45777.717361111114</v>
      </c>
      <c r="I767" s="3" t="s">
        <v>95</v>
      </c>
      <c r="K767" s="5">
        <v>101</v>
      </c>
      <c r="L767" s="5">
        <v>12</v>
      </c>
      <c r="M767" s="3" t="s">
        <v>87</v>
      </c>
      <c r="P767" s="3" t="s">
        <v>42</v>
      </c>
      <c r="R767" s="3" t="s">
        <v>26</v>
      </c>
      <c r="S767">
        <f>COUNTIF(A:A,A767)</f>
        <v>1</v>
      </c>
      <c r="T767" t="str">
        <f>IF(OR(H767="",LOWER(TRIM(H767&amp;""))="missing",LOWER(TRIM(H767&amp;""))=""),"Missing/",IFERROR(IF(OR(VALUE(H767)&lt;0,VALUE(H767)&gt;110),"Invalid","Valid"),"Check Format"))</f>
        <v>Missing/</v>
      </c>
      <c r="U767" t="str">
        <f>IF(Raw_Data[[#This Row],[Age_Check]]="Valid",H767,"")</f>
        <v/>
      </c>
      <c r="V767" t="str">
        <f>IF(OR(K767="",UPPER(TRIM(K767&amp;""))="",LOWER(TRIM(K767&amp;""))="",LOWER(TRIM(K767&amp;""))="",LOWER(TRIM(K767&amp;""))="missing"),"Missing/",IFERROR(IF(VALUE(K767)&lt;0,"Invalid","Valid"),"Check Format"))</f>
        <v>Valid</v>
      </c>
      <c r="W767" t="str">
        <f>IF(OR(E767="",F767=""),"Missing Date/Time",IFERROR(IF(F767&gt;E767,"Arrival After Appointment","OK"),"Check Format"))</f>
        <v>OK</v>
      </c>
      <c r="X767" t="str">
        <f>IF(OR(F767="",G767=""),"Missing Date/Time",IFERROR(IF(G767&lt;F767,"Discharge Before Arrival","OK"),"Check Format"))</f>
        <v>OK</v>
      </c>
    </row>
    <row r="768" spans="1:24" x14ac:dyDescent="0.25">
      <c r="A768" s="2" t="s">
        <v>1323</v>
      </c>
      <c r="B768" s="2" t="s">
        <v>333</v>
      </c>
      <c r="D768" s="3" t="s">
        <v>20</v>
      </c>
      <c r="E768" s="4">
        <v>45401.326388888891</v>
      </c>
      <c r="F768" s="4">
        <v>45401.31527777778</v>
      </c>
      <c r="G768" s="4">
        <v>45401.419444444444</v>
      </c>
      <c r="J768" s="3" t="s">
        <v>150</v>
      </c>
      <c r="K768" s="5">
        <v>81</v>
      </c>
      <c r="L768" s="5">
        <v>53</v>
      </c>
      <c r="O768" s="5">
        <v>5</v>
      </c>
      <c r="Q768" s="2">
        <v>2.71</v>
      </c>
      <c r="R768" s="3" t="s">
        <v>58</v>
      </c>
      <c r="S768">
        <f>COUNTIF(A:A,A768)</f>
        <v>1</v>
      </c>
      <c r="T768" t="str">
        <f>IF(OR(H768="",LOWER(TRIM(H768&amp;""))="missing",LOWER(TRIM(H768&amp;""))=""),"Missing/",IFERROR(IF(OR(VALUE(H768)&lt;0,VALUE(H768)&gt;110),"Invalid","Valid"),"Check Format"))</f>
        <v>Missing/</v>
      </c>
      <c r="U768" t="str">
        <f>IF(Raw_Data[[#This Row],[Age_Check]]="Valid",H768,"")</f>
        <v/>
      </c>
      <c r="V768" t="str">
        <f>IF(OR(K768="",UPPER(TRIM(K768&amp;""))="",LOWER(TRIM(K768&amp;""))="",LOWER(TRIM(K768&amp;""))="",LOWER(TRIM(K768&amp;""))="missing"),"Missing/",IFERROR(IF(VALUE(K768)&lt;0,"Invalid","Valid"),"Check Format"))</f>
        <v>Valid</v>
      </c>
      <c r="W768" t="str">
        <f>IF(OR(E768="",F768=""),"Missing Date/Time",IFERROR(IF(F768&gt;E768,"Arrival After Appointment","OK"),"Check Format"))</f>
        <v>OK</v>
      </c>
      <c r="X768" t="str">
        <f>IF(OR(F768="",G768=""),"Missing Date/Time",IFERROR(IF(G768&lt;F768,"Discharge Before Arrival","OK"),"Check Format"))</f>
        <v>OK</v>
      </c>
    </row>
    <row r="769" spans="1:24" x14ac:dyDescent="0.25">
      <c r="A769" s="2" t="s">
        <v>1324</v>
      </c>
      <c r="B769" s="2" t="s">
        <v>1325</v>
      </c>
      <c r="C769" s="3" t="s">
        <v>46</v>
      </c>
      <c r="D769" s="3" t="s">
        <v>61</v>
      </c>
      <c r="E769" s="4">
        <v>46011.399305555555</v>
      </c>
      <c r="F769" s="4">
        <v>46011.398611111108</v>
      </c>
      <c r="G769" s="4">
        <v>46011.462500000001</v>
      </c>
      <c r="H769" s="5">
        <v>145</v>
      </c>
      <c r="I769" s="3" t="s">
        <v>95</v>
      </c>
      <c r="J769" s="3" t="s">
        <v>62</v>
      </c>
      <c r="K769" s="5">
        <v>69</v>
      </c>
      <c r="L769" s="5">
        <v>22</v>
      </c>
      <c r="M769" s="3" t="s">
        <v>63</v>
      </c>
      <c r="N769" t="s">
        <v>69</v>
      </c>
      <c r="O769" s="5">
        <v>2</v>
      </c>
      <c r="Q769" s="2">
        <v>138.47999999999999</v>
      </c>
      <c r="R769" s="3" t="s">
        <v>43</v>
      </c>
      <c r="S769">
        <f>COUNTIF(A:A,A769)</f>
        <v>1</v>
      </c>
      <c r="T769" t="str">
        <f>IF(OR(H769="",LOWER(TRIM(H769&amp;""))="missing",LOWER(TRIM(H769&amp;""))=""),"Missing/",IFERROR(IF(OR(VALUE(H769)&lt;0,VALUE(H769)&gt;110),"Invalid","Valid"),"Check Format"))</f>
        <v>Invalid</v>
      </c>
      <c r="U769" t="str">
        <f>IF(Raw_Data[[#This Row],[Age_Check]]="Valid",H769,"")</f>
        <v/>
      </c>
      <c r="V769" t="str">
        <f>IF(OR(K769="",UPPER(TRIM(K769&amp;""))="",LOWER(TRIM(K769&amp;""))="",LOWER(TRIM(K769&amp;""))="",LOWER(TRIM(K769&amp;""))="missing"),"Missing/",IFERROR(IF(VALUE(K769)&lt;0,"Invalid","Valid"),"Check Format"))</f>
        <v>Valid</v>
      </c>
      <c r="W769" t="str">
        <f>IF(OR(E769="",F769=""),"Missing Date/Time",IFERROR(IF(F769&gt;E769,"Arrival After Appointment","OK"),"Check Format"))</f>
        <v>OK</v>
      </c>
      <c r="X769" t="str">
        <f>IF(OR(F769="",G769=""),"Missing Date/Time",IFERROR(IF(G769&lt;F769,"Discharge Before Arrival","OK"),"Check Format"))</f>
        <v>OK</v>
      </c>
    </row>
    <row r="770" spans="1:24" x14ac:dyDescent="0.25">
      <c r="A770" s="2" t="s">
        <v>1326</v>
      </c>
      <c r="B770" s="2" t="s">
        <v>1327</v>
      </c>
      <c r="C770" s="3" t="s">
        <v>94</v>
      </c>
      <c r="D770" s="3" t="s">
        <v>47</v>
      </c>
      <c r="E770" s="4">
        <v>45873.340277777781</v>
      </c>
      <c r="F770" s="4">
        <v>45873.327777777777</v>
      </c>
      <c r="G770" s="4">
        <v>45873.404861111114</v>
      </c>
      <c r="H770" s="5">
        <v>145</v>
      </c>
      <c r="I770" s="3" t="s">
        <v>95</v>
      </c>
      <c r="J770" s="3" t="s">
        <v>62</v>
      </c>
      <c r="K770" s="5">
        <v>70</v>
      </c>
      <c r="L770" s="5">
        <v>23</v>
      </c>
      <c r="M770" s="3" t="s">
        <v>50</v>
      </c>
      <c r="N770" t="s">
        <v>69</v>
      </c>
      <c r="O770" s="5">
        <v>2</v>
      </c>
      <c r="Q770" s="2">
        <v>90.94</v>
      </c>
      <c r="R770" s="3" t="s">
        <v>43</v>
      </c>
      <c r="S770">
        <f>COUNTIF(A:A,A770)</f>
        <v>1</v>
      </c>
      <c r="T770" t="str">
        <f>IF(OR(H770="",LOWER(TRIM(H770&amp;""))="missing",LOWER(TRIM(H770&amp;""))=""),"Missing/",IFERROR(IF(OR(VALUE(H770)&lt;0,VALUE(H770)&gt;110),"Invalid","Valid"),"Check Format"))</f>
        <v>Invalid</v>
      </c>
      <c r="U770" t="str">
        <f>IF(Raw_Data[[#This Row],[Age_Check]]="Valid",H770,"")</f>
        <v/>
      </c>
      <c r="V770" t="str">
        <f>IF(OR(K770="",UPPER(TRIM(K770&amp;""))="",LOWER(TRIM(K770&amp;""))="",LOWER(TRIM(K770&amp;""))="",LOWER(TRIM(K770&amp;""))="missing"),"Missing/",IFERROR(IF(VALUE(K770)&lt;0,"Invalid","Valid"),"Check Format"))</f>
        <v>Valid</v>
      </c>
      <c r="W770" t="str">
        <f>IF(OR(E770="",F770=""),"Missing Date/Time",IFERROR(IF(F770&gt;E770,"Arrival After Appointment","OK"),"Check Format"))</f>
        <v>OK</v>
      </c>
      <c r="X770" t="str">
        <f>IF(OR(F770="",G770=""),"Missing Date/Time",IFERROR(IF(G770&lt;F770,"Discharge Before Arrival","OK"),"Check Format"))</f>
        <v>OK</v>
      </c>
    </row>
    <row r="771" spans="1:24" x14ac:dyDescent="0.25">
      <c r="A771" s="2" t="s">
        <v>1328</v>
      </c>
      <c r="B771" s="2" t="s">
        <v>1329</v>
      </c>
      <c r="C771" s="3" t="s">
        <v>46</v>
      </c>
      <c r="D771" s="3" t="s">
        <v>72</v>
      </c>
      <c r="E771" s="4">
        <v>46000.645833333336</v>
      </c>
      <c r="F771" s="4">
        <v>46000.631944444445</v>
      </c>
      <c r="G771" s="4">
        <v>46000.695138888892</v>
      </c>
      <c r="I771" s="3" t="s">
        <v>95</v>
      </c>
      <c r="J771" s="3" t="s">
        <v>62</v>
      </c>
      <c r="K771" s="5">
        <v>59</v>
      </c>
      <c r="L771" s="5">
        <v>12</v>
      </c>
      <c r="M771" s="3" t="s">
        <v>23</v>
      </c>
      <c r="N771" t="s">
        <v>74</v>
      </c>
      <c r="P771" s="3" t="s">
        <v>80</v>
      </c>
      <c r="Q771" s="2">
        <v>58.13</v>
      </c>
      <c r="R771" s="3" t="s">
        <v>58</v>
      </c>
      <c r="S771">
        <f>COUNTIF(A:A,A771)</f>
        <v>1</v>
      </c>
      <c r="T771" t="str">
        <f>IF(OR(H771="",LOWER(TRIM(H771&amp;""))="missing",LOWER(TRIM(H771&amp;""))=""),"Missing/",IFERROR(IF(OR(VALUE(H771)&lt;0,VALUE(H771)&gt;110),"Invalid","Valid"),"Check Format"))</f>
        <v>Missing/</v>
      </c>
      <c r="U771" t="str">
        <f>IF(Raw_Data[[#This Row],[Age_Check]]="Valid",H771,"")</f>
        <v/>
      </c>
      <c r="V771" t="str">
        <f>IF(OR(K771="",UPPER(TRIM(K771&amp;""))="",LOWER(TRIM(K771&amp;""))="",LOWER(TRIM(K771&amp;""))="",LOWER(TRIM(K771&amp;""))="missing"),"Missing/",IFERROR(IF(VALUE(K771)&lt;0,"Invalid","Valid"),"Check Format"))</f>
        <v>Valid</v>
      </c>
      <c r="W771" t="str">
        <f>IF(OR(E771="",F771=""),"Missing Date/Time",IFERROR(IF(F771&gt;E771,"Arrival After Appointment","OK"),"Check Format"))</f>
        <v>OK</v>
      </c>
      <c r="X771" t="str">
        <f>IF(OR(F771="",G771=""),"Missing Date/Time",IFERROR(IF(G771&lt;F771,"Discharge Before Arrival","OK"),"Check Format"))</f>
        <v>OK</v>
      </c>
    </row>
    <row r="772" spans="1:24" x14ac:dyDescent="0.25">
      <c r="A772" s="2" t="s">
        <v>1330</v>
      </c>
      <c r="B772" s="2" t="s">
        <v>1331</v>
      </c>
      <c r="C772" s="3" t="s">
        <v>46</v>
      </c>
      <c r="D772" s="3" t="s">
        <v>47</v>
      </c>
      <c r="E772" s="4">
        <v>45858.475694444445</v>
      </c>
      <c r="F772" s="4">
        <v>45858.470138888886</v>
      </c>
      <c r="G772" s="4">
        <v>45858.539583333331</v>
      </c>
      <c r="H772" s="5">
        <v>82</v>
      </c>
      <c r="I772" s="3" t="s">
        <v>73</v>
      </c>
      <c r="J772" s="3" t="s">
        <v>2639</v>
      </c>
      <c r="K772" s="5">
        <v>81</v>
      </c>
      <c r="L772" s="5">
        <v>11</v>
      </c>
      <c r="M772" s="3" t="s">
        <v>41</v>
      </c>
      <c r="N772" t="s">
        <v>103</v>
      </c>
      <c r="Q772" s="2">
        <v>198.31</v>
      </c>
      <c r="R772" s="3" t="s">
        <v>58</v>
      </c>
      <c r="S772">
        <f>COUNTIF(A:A,A772)</f>
        <v>1</v>
      </c>
      <c r="T772" t="str">
        <f>IF(OR(H772="",LOWER(TRIM(H772&amp;""))="missing",LOWER(TRIM(H772&amp;""))=""),"Missing/",IFERROR(IF(OR(VALUE(H772)&lt;0,VALUE(H772)&gt;110),"Invalid","Valid"),"Check Format"))</f>
        <v>Valid</v>
      </c>
      <c r="U772">
        <f>IF(Raw_Data[[#This Row],[Age_Check]]="Valid",H772,"")</f>
        <v>82</v>
      </c>
      <c r="V772" t="str">
        <f>IF(OR(K772="",UPPER(TRIM(K772&amp;""))="",LOWER(TRIM(K772&amp;""))="",LOWER(TRIM(K772&amp;""))="",LOWER(TRIM(K772&amp;""))="missing"),"Missing/",IFERROR(IF(VALUE(K772)&lt;0,"Invalid","Valid"),"Check Format"))</f>
        <v>Valid</v>
      </c>
      <c r="W772" t="str">
        <f>IF(OR(E772="",F772=""),"Missing Date/Time",IFERROR(IF(F772&gt;E772,"Arrival After Appointment","OK"),"Check Format"))</f>
        <v>OK</v>
      </c>
      <c r="X772" t="str">
        <f>IF(OR(F772="",G772=""),"Missing Date/Time",IFERROR(IF(G772&lt;F772,"Discharge Before Arrival","OK"),"Check Format"))</f>
        <v>OK</v>
      </c>
    </row>
    <row r="773" spans="1:24" x14ac:dyDescent="0.25">
      <c r="A773" s="2" t="s">
        <v>1332</v>
      </c>
      <c r="B773" s="2" t="s">
        <v>204</v>
      </c>
      <c r="C773" s="3" t="s">
        <v>94</v>
      </c>
      <c r="D773" s="3" t="s">
        <v>23</v>
      </c>
      <c r="E773" s="4" t="s">
        <v>1333</v>
      </c>
      <c r="F773" s="4">
        <v>45309.602777777778</v>
      </c>
      <c r="G773" s="4">
        <v>45309.65902777778</v>
      </c>
      <c r="I773" s="3" t="s">
        <v>95</v>
      </c>
      <c r="J773" s="3" t="s">
        <v>171</v>
      </c>
      <c r="K773" s="5">
        <v>74</v>
      </c>
      <c r="L773" s="5">
        <v>5</v>
      </c>
      <c r="N773" t="s">
        <v>69</v>
      </c>
      <c r="O773" s="5">
        <v>3</v>
      </c>
      <c r="P773" s="3" t="s">
        <v>25</v>
      </c>
      <c r="Q773" s="2">
        <v>90.79</v>
      </c>
      <c r="R773" s="3" t="s">
        <v>58</v>
      </c>
      <c r="S773">
        <f>COUNTIF(A:A,A773)</f>
        <v>1</v>
      </c>
      <c r="T773" t="str">
        <f>IF(OR(H773="",LOWER(TRIM(H773&amp;""))="missing",LOWER(TRIM(H773&amp;""))=""),"Missing/",IFERROR(IF(OR(VALUE(H773)&lt;0,VALUE(H773)&gt;110),"Invalid","Valid"),"Check Format"))</f>
        <v>Missing/</v>
      </c>
      <c r="U773" t="str">
        <f>IF(Raw_Data[[#This Row],[Age_Check]]="Valid",H773,"")</f>
        <v/>
      </c>
      <c r="V773" t="str">
        <f>IF(OR(K773="",UPPER(TRIM(K773&amp;""))="",LOWER(TRIM(K773&amp;""))="",LOWER(TRIM(K773&amp;""))="",LOWER(TRIM(K773&amp;""))="missing"),"Missing/",IFERROR(IF(VALUE(K773)&lt;0,"Invalid","Valid"),"Check Format"))</f>
        <v>Valid</v>
      </c>
      <c r="W773" t="str">
        <f>IF(OR(E773="",F773=""),"Missing Date/Time",IFERROR(IF(F773&gt;E773,"Arrival After Appointment","OK"),"Check Format"))</f>
        <v>OK</v>
      </c>
      <c r="X773" t="str">
        <f>IF(OR(F773="",G773=""),"Missing Date/Time",IFERROR(IF(G773&lt;F773,"Discharge Before Arrival","OK"),"Check Format"))</f>
        <v>OK</v>
      </c>
    </row>
    <row r="774" spans="1:24" x14ac:dyDescent="0.25">
      <c r="A774" s="2" t="s">
        <v>1334</v>
      </c>
      <c r="B774" s="2" t="s">
        <v>749</v>
      </c>
      <c r="C774" s="3" t="s">
        <v>19</v>
      </c>
      <c r="D774" s="3" t="s">
        <v>23</v>
      </c>
      <c r="E774" s="4">
        <v>45384.760416666664</v>
      </c>
      <c r="F774" s="4">
        <v>45384.742361111108</v>
      </c>
      <c r="G774" s="4">
        <v>45384.838888888888</v>
      </c>
      <c r="H774" s="5">
        <v>145</v>
      </c>
      <c r="I774" s="3" t="s">
        <v>73</v>
      </c>
      <c r="J774" s="3" t="s">
        <v>22</v>
      </c>
      <c r="K774" s="5">
        <v>99</v>
      </c>
      <c r="L774" s="5">
        <v>14</v>
      </c>
      <c r="M774" s="3" t="s">
        <v>87</v>
      </c>
      <c r="Q774" s="2">
        <v>107.85</v>
      </c>
      <c r="R774" s="3" t="s">
        <v>43</v>
      </c>
      <c r="S774">
        <f>COUNTIF(A:A,A774)</f>
        <v>1</v>
      </c>
      <c r="T774" t="str">
        <f>IF(OR(H774="",LOWER(TRIM(H774&amp;""))="missing",LOWER(TRIM(H774&amp;""))=""),"Missing/",IFERROR(IF(OR(VALUE(H774)&lt;0,VALUE(H774)&gt;110),"Invalid","Valid"),"Check Format"))</f>
        <v>Invalid</v>
      </c>
      <c r="U774" t="str">
        <f>IF(Raw_Data[[#This Row],[Age_Check]]="Valid",H774,"")</f>
        <v/>
      </c>
      <c r="V774" t="str">
        <f>IF(OR(K774="",UPPER(TRIM(K774&amp;""))="",LOWER(TRIM(K774&amp;""))="",LOWER(TRIM(K774&amp;""))="",LOWER(TRIM(K774&amp;""))="missing"),"Missing/",IFERROR(IF(VALUE(K774)&lt;0,"Invalid","Valid"),"Check Format"))</f>
        <v>Valid</v>
      </c>
      <c r="W774" t="str">
        <f>IF(OR(E774="",F774=""),"Missing Date/Time",IFERROR(IF(F774&gt;E774,"Arrival After Appointment","OK"),"Check Format"))</f>
        <v>OK</v>
      </c>
      <c r="X774" t="str">
        <f>IF(OR(F774="",G774=""),"Missing Date/Time",IFERROR(IF(G774&lt;F774,"Discharge Before Arrival","OK"),"Check Format"))</f>
        <v>OK</v>
      </c>
    </row>
    <row r="775" spans="1:24" x14ac:dyDescent="0.25">
      <c r="A775" s="2" t="s">
        <v>1335</v>
      </c>
      <c r="B775" s="2" t="s">
        <v>381</v>
      </c>
      <c r="C775" s="3" t="s">
        <v>46</v>
      </c>
      <c r="D775" s="3" t="s">
        <v>55</v>
      </c>
      <c r="E775" s="4">
        <v>45436.569444444445</v>
      </c>
      <c r="F775" s="4">
        <v>45436.557638888888</v>
      </c>
      <c r="G775" s="4">
        <v>45436.652777777781</v>
      </c>
      <c r="J775" s="3" t="s">
        <v>67</v>
      </c>
      <c r="K775" s="5">
        <v>74</v>
      </c>
      <c r="L775" s="5">
        <v>46</v>
      </c>
      <c r="M775" s="3" t="s">
        <v>23</v>
      </c>
      <c r="N775" t="s">
        <v>24</v>
      </c>
      <c r="O775" s="5">
        <v>6</v>
      </c>
      <c r="P775" s="3" t="s">
        <v>25</v>
      </c>
      <c r="Q775" s="2">
        <v>124.88</v>
      </c>
      <c r="R775" s="3" t="s">
        <v>75</v>
      </c>
      <c r="S775">
        <f>COUNTIF(A:A,A775)</f>
        <v>1</v>
      </c>
      <c r="T775" t="str">
        <f>IF(OR(H775="",LOWER(TRIM(H775&amp;""))="missing",LOWER(TRIM(H775&amp;""))=""),"Missing/",IFERROR(IF(OR(VALUE(H775)&lt;0,VALUE(H775)&gt;110),"Invalid","Valid"),"Check Format"))</f>
        <v>Missing/</v>
      </c>
      <c r="U775" t="str">
        <f>IF(Raw_Data[[#This Row],[Age_Check]]="Valid",H775,"")</f>
        <v/>
      </c>
      <c r="V775" t="str">
        <f>IF(OR(K775="",UPPER(TRIM(K775&amp;""))="",LOWER(TRIM(K775&amp;""))="",LOWER(TRIM(K775&amp;""))="",LOWER(TRIM(K775&amp;""))="missing"),"Missing/",IFERROR(IF(VALUE(K775)&lt;0,"Invalid","Valid"),"Check Format"))</f>
        <v>Valid</v>
      </c>
      <c r="W775" t="str">
        <f>IF(OR(E775="",F775=""),"Missing Date/Time",IFERROR(IF(F775&gt;E775,"Arrival After Appointment","OK"),"Check Format"))</f>
        <v>OK</v>
      </c>
      <c r="X775" t="str">
        <f>IF(OR(F775="",G775=""),"Missing Date/Time",IFERROR(IF(G775&lt;F775,"Discharge Before Arrival","OK"),"Check Format"))</f>
        <v>OK</v>
      </c>
    </row>
    <row r="776" spans="1:24" x14ac:dyDescent="0.25">
      <c r="A776" s="2" t="s">
        <v>1336</v>
      </c>
      <c r="B776" s="2" t="s">
        <v>1304</v>
      </c>
      <c r="C776" s="3" t="s">
        <v>19</v>
      </c>
      <c r="D776" s="3" t="s">
        <v>23</v>
      </c>
      <c r="E776" s="4">
        <v>45371.690972222219</v>
      </c>
      <c r="F776" s="4">
        <v>45371.671527777777</v>
      </c>
      <c r="G776" s="4">
        <v>45371.756249999999</v>
      </c>
      <c r="J776" s="3" t="s">
        <v>67</v>
      </c>
      <c r="K776" s="5">
        <v>37</v>
      </c>
      <c r="L776" s="5">
        <v>57</v>
      </c>
      <c r="M776" s="3" t="s">
        <v>68</v>
      </c>
      <c r="N776" t="s">
        <v>69</v>
      </c>
      <c r="O776" s="5">
        <v>1</v>
      </c>
      <c r="P776" s="3" t="s">
        <v>25</v>
      </c>
      <c r="Q776" s="2">
        <v>284.11</v>
      </c>
      <c r="R776" s="3" t="s">
        <v>26</v>
      </c>
      <c r="S776">
        <f>COUNTIF(A:A,A776)</f>
        <v>1</v>
      </c>
      <c r="T776" t="str">
        <f>IF(OR(H776="",LOWER(TRIM(H776&amp;""))="missing",LOWER(TRIM(H776&amp;""))=""),"Missing/",IFERROR(IF(OR(VALUE(H776)&lt;0,VALUE(H776)&gt;110),"Invalid","Valid"),"Check Format"))</f>
        <v>Missing/</v>
      </c>
      <c r="U776" t="str">
        <f>IF(Raw_Data[[#This Row],[Age_Check]]="Valid",H776,"")</f>
        <v/>
      </c>
      <c r="V776" t="str">
        <f>IF(OR(K776="",UPPER(TRIM(K776&amp;""))="",LOWER(TRIM(K776&amp;""))="",LOWER(TRIM(K776&amp;""))="",LOWER(TRIM(K776&amp;""))="missing"),"Missing/",IFERROR(IF(VALUE(K776)&lt;0,"Invalid","Valid"),"Check Format"))</f>
        <v>Valid</v>
      </c>
      <c r="W776" t="str">
        <f>IF(OR(E776="",F776=""),"Missing Date/Time",IFERROR(IF(F776&gt;E776,"Arrival After Appointment","OK"),"Check Format"))</f>
        <v>OK</v>
      </c>
      <c r="X776" t="str">
        <f>IF(OR(F776="",G776=""),"Missing Date/Time",IFERROR(IF(G776&lt;F776,"Discharge Before Arrival","OK"),"Check Format"))</f>
        <v>OK</v>
      </c>
    </row>
    <row r="777" spans="1:24" x14ac:dyDescent="0.25">
      <c r="A777" s="2" t="s">
        <v>1337</v>
      </c>
      <c r="B777" s="2" t="s">
        <v>389</v>
      </c>
      <c r="D777" s="3" t="s">
        <v>30</v>
      </c>
      <c r="E777" s="4">
        <v>45764.517361111109</v>
      </c>
      <c r="F777" s="4">
        <v>45764.515972222223</v>
      </c>
      <c r="G777" s="4">
        <v>45764.604166666664</v>
      </c>
      <c r="I777" s="3" t="s">
        <v>95</v>
      </c>
      <c r="K777" s="5">
        <v>92</v>
      </c>
      <c r="L777" s="5">
        <v>33</v>
      </c>
      <c r="M777" s="3" t="s">
        <v>68</v>
      </c>
      <c r="N777" t="s">
        <v>100</v>
      </c>
      <c r="Q777" s="2">
        <v>80.34</v>
      </c>
      <c r="R777" s="3" t="s">
        <v>26</v>
      </c>
      <c r="S777">
        <f>COUNTIF(A:A,A777)</f>
        <v>1</v>
      </c>
      <c r="T777" t="str">
        <f>IF(OR(H777="",LOWER(TRIM(H777&amp;""))="missing",LOWER(TRIM(H777&amp;""))=""),"Missing/",IFERROR(IF(OR(VALUE(H777)&lt;0,VALUE(H777)&gt;110),"Invalid","Valid"),"Check Format"))</f>
        <v>Missing/</v>
      </c>
      <c r="U777" t="str">
        <f>IF(Raw_Data[[#This Row],[Age_Check]]="Valid",H777,"")</f>
        <v/>
      </c>
      <c r="V777" t="str">
        <f>IF(OR(K777="",UPPER(TRIM(K777&amp;""))="",LOWER(TRIM(K777&amp;""))="",LOWER(TRIM(K777&amp;""))="",LOWER(TRIM(K777&amp;""))="missing"),"Missing/",IFERROR(IF(VALUE(K777)&lt;0,"Invalid","Valid"),"Check Format"))</f>
        <v>Valid</v>
      </c>
      <c r="W777" t="str">
        <f>IF(OR(E777="",F777=""),"Missing Date/Time",IFERROR(IF(F777&gt;E777,"Arrival After Appointment","OK"),"Check Format"))</f>
        <v>OK</v>
      </c>
      <c r="X777" t="str">
        <f>IF(OR(F777="",G777=""),"Missing Date/Time",IFERROR(IF(G777&lt;F777,"Discharge Before Arrival","OK"),"Check Format"))</f>
        <v>OK</v>
      </c>
    </row>
    <row r="778" spans="1:24" x14ac:dyDescent="0.25">
      <c r="A778" s="2" t="s">
        <v>1338</v>
      </c>
      <c r="B778" s="2" t="s">
        <v>1109</v>
      </c>
      <c r="D778" s="3" t="s">
        <v>55</v>
      </c>
      <c r="E778" s="4">
        <v>45704.395833333336</v>
      </c>
      <c r="F778" s="4">
        <v>45704.383333333331</v>
      </c>
      <c r="I778" s="3" t="s">
        <v>39</v>
      </c>
      <c r="J778" s="3" t="s">
        <v>22</v>
      </c>
      <c r="K778" s="5">
        <v>28</v>
      </c>
      <c r="L778" s="5">
        <v>41</v>
      </c>
      <c r="M778" s="3" t="s">
        <v>63</v>
      </c>
      <c r="N778" t="s">
        <v>69</v>
      </c>
      <c r="P778" s="3" t="s">
        <v>42</v>
      </c>
      <c r="Q778" s="2">
        <v>178.47</v>
      </c>
      <c r="R778" s="3" t="s">
        <v>58</v>
      </c>
      <c r="S778">
        <f>COUNTIF(A:A,A778)</f>
        <v>1</v>
      </c>
      <c r="T778" t="str">
        <f>IF(OR(H778="",LOWER(TRIM(H778&amp;""))="missing",LOWER(TRIM(H778&amp;""))=""),"Missing/",IFERROR(IF(OR(VALUE(H778)&lt;0,VALUE(H778)&gt;110),"Invalid","Valid"),"Check Format"))</f>
        <v>Missing/</v>
      </c>
      <c r="U778" t="str">
        <f>IF(Raw_Data[[#This Row],[Age_Check]]="Valid",H778,"")</f>
        <v/>
      </c>
      <c r="V778" t="str">
        <f>IF(OR(K778="",UPPER(TRIM(K778&amp;""))="",LOWER(TRIM(K778&amp;""))="",LOWER(TRIM(K778&amp;""))="",LOWER(TRIM(K778&amp;""))="missing"),"Missing/",IFERROR(IF(VALUE(K778)&lt;0,"Invalid","Valid"),"Check Format"))</f>
        <v>Valid</v>
      </c>
      <c r="W778" t="str">
        <f>IF(OR(E778="",F778=""),"Missing Date/Time",IFERROR(IF(F778&gt;E778,"Arrival After Appointment","OK"),"Check Format"))</f>
        <v>OK</v>
      </c>
      <c r="X778" t="str">
        <f>IF(OR(F778="",G778=""),"Missing Date/Time",IFERROR(IF(G778&lt;F778,"Discharge Before Arrival","OK"),"Check Format"))</f>
        <v>Missing Date/Time</v>
      </c>
    </row>
    <row r="779" spans="1:24" x14ac:dyDescent="0.25">
      <c r="A779" s="2" t="s">
        <v>1339</v>
      </c>
      <c r="B779" s="2" t="s">
        <v>846</v>
      </c>
      <c r="C779" s="3" t="s">
        <v>46</v>
      </c>
      <c r="D779" s="3" t="s">
        <v>55</v>
      </c>
      <c r="E779" s="4">
        <v>45663.375</v>
      </c>
      <c r="F779" s="4">
        <v>45809.375</v>
      </c>
      <c r="G779" s="4">
        <v>45809.479166666664</v>
      </c>
      <c r="I779" s="3" t="s">
        <v>95</v>
      </c>
      <c r="J779" s="3" t="s">
        <v>171</v>
      </c>
      <c r="K779" s="5">
        <v>107</v>
      </c>
      <c r="L779" s="5">
        <v>43</v>
      </c>
      <c r="M779" s="3" t="s">
        <v>50</v>
      </c>
      <c r="N779" t="s">
        <v>91</v>
      </c>
      <c r="O779" s="5">
        <v>4</v>
      </c>
      <c r="P779" s="3" t="s">
        <v>80</v>
      </c>
      <c r="Q779" s="2">
        <v>24.75</v>
      </c>
      <c r="R779" s="3" t="s">
        <v>43</v>
      </c>
      <c r="S779">
        <f>COUNTIF(A:A,A779)</f>
        <v>1</v>
      </c>
      <c r="T779" t="str">
        <f>IF(OR(H779="",LOWER(TRIM(H779&amp;""))="missing",LOWER(TRIM(H779&amp;""))=""),"Missing/",IFERROR(IF(OR(VALUE(H779)&lt;0,VALUE(H779)&gt;110),"Invalid","Valid"),"Check Format"))</f>
        <v>Missing/</v>
      </c>
      <c r="U779" t="str">
        <f>IF(Raw_Data[[#This Row],[Age_Check]]="Valid",H779,"")</f>
        <v/>
      </c>
      <c r="V779" t="str">
        <f>IF(OR(K779="",UPPER(TRIM(K779&amp;""))="",LOWER(TRIM(K779&amp;""))="",LOWER(TRIM(K779&amp;""))="",LOWER(TRIM(K779&amp;""))="missing"),"Missing/",IFERROR(IF(VALUE(K779)&lt;0,"Invalid","Valid"),"Check Format"))</f>
        <v>Valid</v>
      </c>
      <c r="W779" t="str">
        <f>IF(OR(E779="",F779=""),"Missing Date/Time",IFERROR(IF(F779&gt;E779,"Arrival After Appointment","OK"),"Check Format"))</f>
        <v>Arrival After Appointment</v>
      </c>
      <c r="X779" t="str">
        <f>IF(OR(F779="",G779=""),"Missing Date/Time",IFERROR(IF(G779&lt;F779,"Discharge Before Arrival","OK"),"Check Format"))</f>
        <v>OK</v>
      </c>
    </row>
    <row r="780" spans="1:24" x14ac:dyDescent="0.25">
      <c r="A780" s="2" t="s">
        <v>1340</v>
      </c>
      <c r="B780" s="2" t="s">
        <v>267</v>
      </c>
      <c r="C780" s="3" t="s">
        <v>19</v>
      </c>
      <c r="D780" s="3" t="s">
        <v>209</v>
      </c>
      <c r="E780" s="4" t="s">
        <v>1341</v>
      </c>
      <c r="F780" s="4">
        <v>45807.388888888891</v>
      </c>
      <c r="G780" s="4">
        <v>45807.477777777778</v>
      </c>
      <c r="H780" s="5">
        <v>23</v>
      </c>
      <c r="I780" s="3" t="s">
        <v>90</v>
      </c>
      <c r="J780" s="3" t="s">
        <v>150</v>
      </c>
      <c r="K780" s="5">
        <v>94</v>
      </c>
      <c r="L780" s="5">
        <v>14</v>
      </c>
      <c r="M780" s="3" t="s">
        <v>32</v>
      </c>
      <c r="N780" t="s">
        <v>24</v>
      </c>
      <c r="O780" s="5">
        <v>0</v>
      </c>
      <c r="P780" s="3" t="s">
        <v>25</v>
      </c>
      <c r="Q780" s="2">
        <v>114.28</v>
      </c>
      <c r="R780" s="3" t="s">
        <v>26</v>
      </c>
      <c r="S780">
        <f>COUNTIF(A:A,A780)</f>
        <v>1</v>
      </c>
      <c r="T780" t="str">
        <f>IF(OR(H780="",LOWER(TRIM(H780&amp;""))="missing",LOWER(TRIM(H780&amp;""))=""),"Missing/",IFERROR(IF(OR(VALUE(H780)&lt;0,VALUE(H780)&gt;110),"Invalid","Valid"),"Check Format"))</f>
        <v>Valid</v>
      </c>
      <c r="U780">
        <f>IF(Raw_Data[[#This Row],[Age_Check]]="Valid",H780,"")</f>
        <v>23</v>
      </c>
      <c r="V780" t="str">
        <f>IF(OR(K780="",UPPER(TRIM(K780&amp;""))="",LOWER(TRIM(K780&amp;""))="",LOWER(TRIM(K780&amp;""))="",LOWER(TRIM(K780&amp;""))="missing"),"Missing/",IFERROR(IF(VALUE(K780)&lt;0,"Invalid","Valid"),"Check Format"))</f>
        <v>Valid</v>
      </c>
      <c r="W780" t="str">
        <f>IF(OR(E780="",F780=""),"Missing Date/Time",IFERROR(IF(F780&gt;E780,"Arrival After Appointment","OK"),"Check Format"))</f>
        <v>OK</v>
      </c>
      <c r="X780" t="str">
        <f>IF(OR(F780="",G780=""),"Missing Date/Time",IFERROR(IF(G780&lt;F780,"Discharge Before Arrival","OK"),"Check Format"))</f>
        <v>OK</v>
      </c>
    </row>
    <row r="781" spans="1:24" x14ac:dyDescent="0.25">
      <c r="A781" s="2" t="s">
        <v>1342</v>
      </c>
      <c r="B781" s="2" t="s">
        <v>761</v>
      </c>
      <c r="C781" s="3" t="s">
        <v>29</v>
      </c>
      <c r="D781" s="3" t="s">
        <v>115</v>
      </c>
      <c r="E781" s="4">
        <v>45785.333333333336</v>
      </c>
      <c r="F781" s="4">
        <v>45785.320138888892</v>
      </c>
      <c r="G781" s="4">
        <v>45785.425694444442</v>
      </c>
      <c r="I781" s="3" t="s">
        <v>73</v>
      </c>
      <c r="J781" s="3" t="s">
        <v>150</v>
      </c>
      <c r="K781" s="5">
        <v>66</v>
      </c>
      <c r="L781" s="5">
        <v>67</v>
      </c>
      <c r="M781" s="3" t="s">
        <v>41</v>
      </c>
      <c r="N781" t="s">
        <v>69</v>
      </c>
      <c r="P781" s="3" t="s">
        <v>25</v>
      </c>
      <c r="Q781" s="2">
        <v>393.79</v>
      </c>
      <c r="R781" s="3" t="s">
        <v>43</v>
      </c>
      <c r="S781">
        <f>COUNTIF(A:A,A781)</f>
        <v>1</v>
      </c>
      <c r="T781" t="str">
        <f>IF(OR(H781="",LOWER(TRIM(H781&amp;""))="missing",LOWER(TRIM(H781&amp;""))=""),"Missing/",IFERROR(IF(OR(VALUE(H781)&lt;0,VALUE(H781)&gt;110),"Invalid","Valid"),"Check Format"))</f>
        <v>Missing/</v>
      </c>
      <c r="U781" t="str">
        <f>IF(Raw_Data[[#This Row],[Age_Check]]="Valid",H781,"")</f>
        <v/>
      </c>
      <c r="V781" t="str">
        <f>IF(OR(K781="",UPPER(TRIM(K781&amp;""))="",LOWER(TRIM(K781&amp;""))="",LOWER(TRIM(K781&amp;""))="",LOWER(TRIM(K781&amp;""))="missing"),"Missing/",IFERROR(IF(VALUE(K781)&lt;0,"Invalid","Valid"),"Check Format"))</f>
        <v>Valid</v>
      </c>
      <c r="W781" t="str">
        <f>IF(OR(E781="",F781=""),"Missing Date/Time",IFERROR(IF(F781&gt;E781,"Arrival After Appointment","OK"),"Check Format"))</f>
        <v>OK</v>
      </c>
      <c r="X781" t="str">
        <f>IF(OR(F781="",G781=""),"Missing Date/Time",IFERROR(IF(G781&lt;F781,"Discharge Before Arrival","OK"),"Check Format"))</f>
        <v>OK</v>
      </c>
    </row>
    <row r="782" spans="1:24" x14ac:dyDescent="0.25">
      <c r="A782" s="2" t="s">
        <v>1343</v>
      </c>
      <c r="B782" s="2" t="s">
        <v>733</v>
      </c>
      <c r="C782" s="3" t="s">
        <v>94</v>
      </c>
      <c r="D782" s="3" t="s">
        <v>23</v>
      </c>
      <c r="E782" s="4">
        <v>45875.385416666664</v>
      </c>
      <c r="F782" s="4">
        <v>45875.370833333334</v>
      </c>
      <c r="I782" s="3" t="s">
        <v>73</v>
      </c>
      <c r="J782" s="3" t="s">
        <v>67</v>
      </c>
      <c r="K782" s="5">
        <v>79</v>
      </c>
      <c r="L782" s="5">
        <v>28</v>
      </c>
      <c r="M782" s="3" t="s">
        <v>63</v>
      </c>
      <c r="O782" s="5">
        <v>3</v>
      </c>
      <c r="Q782" s="2">
        <v>187.76</v>
      </c>
      <c r="R782" s="3" t="s">
        <v>26</v>
      </c>
      <c r="S782">
        <f>COUNTIF(A:A,A782)</f>
        <v>1</v>
      </c>
      <c r="T782" t="str">
        <f>IF(OR(H782="",LOWER(TRIM(H782&amp;""))="missing",LOWER(TRIM(H782&amp;""))=""),"Missing/",IFERROR(IF(OR(VALUE(H782)&lt;0,VALUE(H782)&gt;110),"Invalid","Valid"),"Check Format"))</f>
        <v>Missing/</v>
      </c>
      <c r="U782" t="str">
        <f>IF(Raw_Data[[#This Row],[Age_Check]]="Valid",H782,"")</f>
        <v/>
      </c>
      <c r="V782" t="str">
        <f>IF(OR(K782="",UPPER(TRIM(K782&amp;""))="",LOWER(TRIM(K782&amp;""))="",LOWER(TRIM(K782&amp;""))="",LOWER(TRIM(K782&amp;""))="missing"),"Missing/",IFERROR(IF(VALUE(K782)&lt;0,"Invalid","Valid"),"Check Format"))</f>
        <v>Valid</v>
      </c>
      <c r="W782" t="str">
        <f>IF(OR(E782="",F782=""),"Missing Date/Time",IFERROR(IF(F782&gt;E782,"Arrival After Appointment","OK"),"Check Format"))</f>
        <v>OK</v>
      </c>
      <c r="X782" t="str">
        <f>IF(OR(F782="",G782=""),"Missing Date/Time",IFERROR(IF(G782&lt;F782,"Discharge Before Arrival","OK"),"Check Format"))</f>
        <v>Missing Date/Time</v>
      </c>
    </row>
    <row r="783" spans="1:24" x14ac:dyDescent="0.25">
      <c r="A783" s="2" t="s">
        <v>1344</v>
      </c>
      <c r="B783" s="2" t="s">
        <v>896</v>
      </c>
      <c r="C783" s="3" t="s">
        <v>19</v>
      </c>
      <c r="D783" s="3" t="s">
        <v>149</v>
      </c>
      <c r="E783" s="4">
        <v>45451.559027777781</v>
      </c>
      <c r="F783" s="4">
        <v>45510.543055555558</v>
      </c>
      <c r="H783" s="5">
        <v>145</v>
      </c>
      <c r="I783" s="3" t="s">
        <v>95</v>
      </c>
      <c r="J783" s="3" t="s">
        <v>171</v>
      </c>
      <c r="K783" s="5">
        <v>89</v>
      </c>
      <c r="L783" s="5">
        <v>26</v>
      </c>
      <c r="M783" s="3" t="s">
        <v>32</v>
      </c>
      <c r="N783" t="s">
        <v>24</v>
      </c>
      <c r="O783" s="5">
        <v>3</v>
      </c>
      <c r="P783" s="3" t="s">
        <v>80</v>
      </c>
      <c r="Q783" s="2">
        <v>288.62</v>
      </c>
      <c r="R783" s="3" t="s">
        <v>58</v>
      </c>
      <c r="S783">
        <f>COUNTIF(A:A,A783)</f>
        <v>1</v>
      </c>
      <c r="T783" t="str">
        <f>IF(OR(H783="",LOWER(TRIM(H783&amp;""))="missing",LOWER(TRIM(H783&amp;""))=""),"Missing/",IFERROR(IF(OR(VALUE(H783)&lt;0,VALUE(H783)&gt;110),"Invalid","Valid"),"Check Format"))</f>
        <v>Invalid</v>
      </c>
      <c r="U783" t="str">
        <f>IF(Raw_Data[[#This Row],[Age_Check]]="Valid",H783,"")</f>
        <v/>
      </c>
      <c r="V783" t="str">
        <f>IF(OR(K783="",UPPER(TRIM(K783&amp;""))="",LOWER(TRIM(K783&amp;""))="",LOWER(TRIM(K783&amp;""))="",LOWER(TRIM(K783&amp;""))="missing"),"Missing/",IFERROR(IF(VALUE(K783)&lt;0,"Invalid","Valid"),"Check Format"))</f>
        <v>Valid</v>
      </c>
      <c r="W783" t="str">
        <f>IF(OR(E783="",F783=""),"Missing Date/Time",IFERROR(IF(F783&gt;E783,"Arrival After Appointment","OK"),"Check Format"))</f>
        <v>Arrival After Appointment</v>
      </c>
      <c r="X783" t="str">
        <f>IF(OR(F783="",G783=""),"Missing Date/Time",IFERROR(IF(G783&lt;F783,"Discharge Before Arrival","OK"),"Check Format"))</f>
        <v>Missing Date/Time</v>
      </c>
    </row>
    <row r="784" spans="1:24" x14ac:dyDescent="0.25">
      <c r="A784" s="2" t="s">
        <v>1345</v>
      </c>
      <c r="B784" s="2" t="s">
        <v>259</v>
      </c>
      <c r="C784" s="3" t="s">
        <v>46</v>
      </c>
      <c r="D784" s="3" t="s">
        <v>20</v>
      </c>
      <c r="E784" s="4">
        <v>45866.739583333336</v>
      </c>
      <c r="F784" s="4">
        <v>45866.720138888886</v>
      </c>
      <c r="G784" s="4">
        <v>45866.813194444447</v>
      </c>
      <c r="I784" s="3" t="s">
        <v>90</v>
      </c>
      <c r="J784" s="3" t="s">
        <v>67</v>
      </c>
      <c r="K784" s="5">
        <v>66</v>
      </c>
      <c r="L784" s="5">
        <v>40</v>
      </c>
      <c r="M784" s="3" t="s">
        <v>50</v>
      </c>
      <c r="N784" t="s">
        <v>91</v>
      </c>
      <c r="O784" s="5">
        <v>6</v>
      </c>
      <c r="P784" s="3" t="s">
        <v>25</v>
      </c>
      <c r="Q784" s="2">
        <v>198.27</v>
      </c>
      <c r="R784" s="3" t="s">
        <v>75</v>
      </c>
      <c r="S784">
        <f>COUNTIF(A:A,A784)</f>
        <v>1</v>
      </c>
      <c r="T784" t="str">
        <f>IF(OR(H784="",LOWER(TRIM(H784&amp;""))="missing",LOWER(TRIM(H784&amp;""))=""),"Missing/",IFERROR(IF(OR(VALUE(H784)&lt;0,VALUE(H784)&gt;110),"Invalid","Valid"),"Check Format"))</f>
        <v>Missing/</v>
      </c>
      <c r="U784" t="str">
        <f>IF(Raw_Data[[#This Row],[Age_Check]]="Valid",H784,"")</f>
        <v/>
      </c>
      <c r="V784" t="str">
        <f>IF(OR(K784="",UPPER(TRIM(K784&amp;""))="",LOWER(TRIM(K784&amp;""))="",LOWER(TRIM(K784&amp;""))="",LOWER(TRIM(K784&amp;""))="missing"),"Missing/",IFERROR(IF(VALUE(K784)&lt;0,"Invalid","Valid"),"Check Format"))</f>
        <v>Valid</v>
      </c>
      <c r="W784" t="str">
        <f>IF(OR(E784="",F784=""),"Missing Date/Time",IFERROR(IF(F784&gt;E784,"Arrival After Appointment","OK"),"Check Format"))</f>
        <v>OK</v>
      </c>
      <c r="X784" t="str">
        <f>IF(OR(F784="",G784=""),"Missing Date/Time",IFERROR(IF(G784&lt;F784,"Discharge Before Arrival","OK"),"Check Format"))</f>
        <v>OK</v>
      </c>
    </row>
    <row r="785" spans="1:24" x14ac:dyDescent="0.25">
      <c r="A785" s="2" t="s">
        <v>1346</v>
      </c>
      <c r="B785" s="2" t="s">
        <v>1347</v>
      </c>
      <c r="C785" s="3" t="s">
        <v>37</v>
      </c>
      <c r="D785" s="3" t="s">
        <v>20</v>
      </c>
      <c r="E785" s="4">
        <v>45720.447916666664</v>
      </c>
      <c r="F785" s="4">
        <v>45750.427083333336</v>
      </c>
      <c r="G785" s="4">
        <v>45750.530555555553</v>
      </c>
      <c r="I785" s="3" t="s">
        <v>90</v>
      </c>
      <c r="K785" s="5">
        <v>72</v>
      </c>
      <c r="L785" s="5">
        <v>47</v>
      </c>
      <c r="N785" t="s">
        <v>69</v>
      </c>
      <c r="P785" s="3" t="s">
        <v>25</v>
      </c>
      <c r="R785" s="3" t="s">
        <v>58</v>
      </c>
      <c r="S785">
        <f>COUNTIF(A:A,A785)</f>
        <v>1</v>
      </c>
      <c r="T785" t="str">
        <f>IF(OR(H785="",LOWER(TRIM(H785&amp;""))="missing",LOWER(TRIM(H785&amp;""))=""),"Missing/",IFERROR(IF(OR(VALUE(H785)&lt;0,VALUE(H785)&gt;110),"Invalid","Valid"),"Check Format"))</f>
        <v>Missing/</v>
      </c>
      <c r="U785" t="str">
        <f>IF(Raw_Data[[#This Row],[Age_Check]]="Valid",H785,"")</f>
        <v/>
      </c>
      <c r="V785" t="str">
        <f>IF(OR(K785="",UPPER(TRIM(K785&amp;""))="",LOWER(TRIM(K785&amp;""))="",LOWER(TRIM(K785&amp;""))="",LOWER(TRIM(K785&amp;""))="missing"),"Missing/",IFERROR(IF(VALUE(K785)&lt;0,"Invalid","Valid"),"Check Format"))</f>
        <v>Valid</v>
      </c>
      <c r="W785" t="str">
        <f>IF(OR(E785="",F785=""),"Missing Date/Time",IFERROR(IF(F785&gt;E785,"Arrival After Appointment","OK"),"Check Format"))</f>
        <v>Arrival After Appointment</v>
      </c>
      <c r="X785" t="str">
        <f>IF(OR(F785="",G785=""),"Missing Date/Time",IFERROR(IF(G785&lt;F785,"Discharge Before Arrival","OK"),"Check Format"))</f>
        <v>OK</v>
      </c>
    </row>
    <row r="786" spans="1:24" x14ac:dyDescent="0.25">
      <c r="A786" s="2" t="s">
        <v>1348</v>
      </c>
      <c r="B786" s="2" t="s">
        <v>545</v>
      </c>
      <c r="C786" s="3" t="s">
        <v>37</v>
      </c>
      <c r="D786" s="3" t="s">
        <v>66</v>
      </c>
      <c r="E786" s="4">
        <v>45751.684027777781</v>
      </c>
      <c r="F786" s="4">
        <v>45751.668055555558</v>
      </c>
      <c r="G786" s="4">
        <v>45751.723611111112</v>
      </c>
      <c r="H786" s="5">
        <v>145</v>
      </c>
      <c r="I786" s="3" t="s">
        <v>39</v>
      </c>
      <c r="J786" s="3" t="s">
        <v>150</v>
      </c>
      <c r="K786" s="5">
        <v>36</v>
      </c>
      <c r="L786" s="5">
        <v>21</v>
      </c>
      <c r="M786" s="3" t="s">
        <v>41</v>
      </c>
      <c r="N786" t="s">
        <v>100</v>
      </c>
      <c r="P786" s="3" t="s">
        <v>42</v>
      </c>
      <c r="Q786" s="2">
        <v>56.99</v>
      </c>
      <c r="R786" s="3" t="s">
        <v>58</v>
      </c>
      <c r="S786">
        <f>COUNTIF(A:A,A786)</f>
        <v>1</v>
      </c>
      <c r="T786" t="str">
        <f>IF(OR(H786="",LOWER(TRIM(H786&amp;""))="missing",LOWER(TRIM(H786&amp;""))=""),"Missing/",IFERROR(IF(OR(VALUE(H786)&lt;0,VALUE(H786)&gt;110),"Invalid","Valid"),"Check Format"))</f>
        <v>Invalid</v>
      </c>
      <c r="U786" t="str">
        <f>IF(Raw_Data[[#This Row],[Age_Check]]="Valid",H786,"")</f>
        <v/>
      </c>
      <c r="V786" t="str">
        <f>IF(OR(K786="",UPPER(TRIM(K786&amp;""))="",LOWER(TRIM(K786&amp;""))="",LOWER(TRIM(K786&amp;""))="",LOWER(TRIM(K786&amp;""))="missing"),"Missing/",IFERROR(IF(VALUE(K786)&lt;0,"Invalid","Valid"),"Check Format"))</f>
        <v>Valid</v>
      </c>
      <c r="W786" t="str">
        <f>IF(OR(E786="",F786=""),"Missing Date/Time",IFERROR(IF(F786&gt;E786,"Arrival After Appointment","OK"),"Check Format"))</f>
        <v>OK</v>
      </c>
      <c r="X786" t="str">
        <f>IF(OR(F786="",G786=""),"Missing Date/Time",IFERROR(IF(G786&lt;F786,"Discharge Before Arrival","OK"),"Check Format"))</f>
        <v>OK</v>
      </c>
    </row>
    <row r="787" spans="1:24" x14ac:dyDescent="0.25">
      <c r="A787" s="2" t="s">
        <v>1349</v>
      </c>
      <c r="B787" s="2" t="s">
        <v>994</v>
      </c>
      <c r="C787" s="3" t="s">
        <v>46</v>
      </c>
      <c r="D787" s="3" t="s">
        <v>38</v>
      </c>
      <c r="E787" s="4">
        <v>45394.336805555555</v>
      </c>
      <c r="F787" s="4">
        <v>45394.319444444445</v>
      </c>
      <c r="G787" s="4">
        <v>45394.419444444444</v>
      </c>
      <c r="I787" s="3" t="s">
        <v>95</v>
      </c>
      <c r="J787" s="3" t="s">
        <v>62</v>
      </c>
      <c r="K787" s="5">
        <v>73</v>
      </c>
      <c r="L787" s="5">
        <v>46</v>
      </c>
      <c r="M787" s="3" t="s">
        <v>68</v>
      </c>
      <c r="N787" t="s">
        <v>69</v>
      </c>
      <c r="P787" s="3" t="s">
        <v>25</v>
      </c>
      <c r="Q787" s="2">
        <v>181.62</v>
      </c>
      <c r="R787" s="3" t="s">
        <v>43</v>
      </c>
      <c r="S787">
        <f>COUNTIF(A:A,A787)</f>
        <v>1</v>
      </c>
      <c r="T787" t="str">
        <f>IF(OR(H787="",LOWER(TRIM(H787&amp;""))="missing",LOWER(TRIM(H787&amp;""))=""),"Missing/",IFERROR(IF(OR(VALUE(H787)&lt;0,VALUE(H787)&gt;110),"Invalid","Valid"),"Check Format"))</f>
        <v>Missing/</v>
      </c>
      <c r="U787" t="str">
        <f>IF(Raw_Data[[#This Row],[Age_Check]]="Valid",H787,"")</f>
        <v/>
      </c>
      <c r="V787" t="str">
        <f>IF(OR(K787="",UPPER(TRIM(K787&amp;""))="",LOWER(TRIM(K787&amp;""))="",LOWER(TRIM(K787&amp;""))="",LOWER(TRIM(K787&amp;""))="missing"),"Missing/",IFERROR(IF(VALUE(K787)&lt;0,"Invalid","Valid"),"Check Format"))</f>
        <v>Valid</v>
      </c>
      <c r="W787" t="str">
        <f>IF(OR(E787="",F787=""),"Missing Date/Time",IFERROR(IF(F787&gt;E787,"Arrival After Appointment","OK"),"Check Format"))</f>
        <v>OK</v>
      </c>
      <c r="X787" t="str">
        <f>IF(OR(F787="",G787=""),"Missing Date/Time",IFERROR(IF(G787&lt;F787,"Discharge Before Arrival","OK"),"Check Format"))</f>
        <v>OK</v>
      </c>
    </row>
    <row r="788" spans="1:24" x14ac:dyDescent="0.25">
      <c r="A788" s="2" t="s">
        <v>1350</v>
      </c>
      <c r="B788" s="2" t="s">
        <v>650</v>
      </c>
      <c r="C788" s="3" t="s">
        <v>94</v>
      </c>
      <c r="D788" s="3" t="s">
        <v>209</v>
      </c>
      <c r="E788" s="4">
        <v>45377.715277777781</v>
      </c>
      <c r="F788" s="4">
        <v>45377.708333333336</v>
      </c>
      <c r="G788" s="4">
        <v>45377.817361111112</v>
      </c>
      <c r="H788" s="5">
        <v>72</v>
      </c>
      <c r="I788" s="3" t="s">
        <v>95</v>
      </c>
      <c r="J788" s="3" t="s">
        <v>67</v>
      </c>
      <c r="K788" s="5">
        <v>116</v>
      </c>
      <c r="L788" s="5">
        <v>31</v>
      </c>
      <c r="M788" s="3" t="s">
        <v>68</v>
      </c>
      <c r="N788" t="s">
        <v>69</v>
      </c>
      <c r="P788" s="3" t="s">
        <v>25</v>
      </c>
      <c r="Q788" s="2">
        <v>198.5</v>
      </c>
      <c r="R788" s="3" t="s">
        <v>43</v>
      </c>
      <c r="S788">
        <f>COUNTIF(A:A,A788)</f>
        <v>1</v>
      </c>
      <c r="T788" t="str">
        <f>IF(OR(H788="",LOWER(TRIM(H788&amp;""))="missing",LOWER(TRIM(H788&amp;""))=""),"Missing/",IFERROR(IF(OR(VALUE(H788)&lt;0,VALUE(H788)&gt;110),"Invalid","Valid"),"Check Format"))</f>
        <v>Valid</v>
      </c>
      <c r="U788">
        <f>IF(Raw_Data[[#This Row],[Age_Check]]="Valid",H788,"")</f>
        <v>72</v>
      </c>
      <c r="V788" t="str">
        <f>IF(OR(K788="",UPPER(TRIM(K788&amp;""))="",LOWER(TRIM(K788&amp;""))="",LOWER(TRIM(K788&amp;""))="",LOWER(TRIM(K788&amp;""))="missing"),"Missing/",IFERROR(IF(VALUE(K788)&lt;0,"Invalid","Valid"),"Check Format"))</f>
        <v>Valid</v>
      </c>
      <c r="W788" t="str">
        <f>IF(OR(E788="",F788=""),"Missing Date/Time",IFERROR(IF(F788&gt;E788,"Arrival After Appointment","OK"),"Check Format"))</f>
        <v>OK</v>
      </c>
      <c r="X788" t="str">
        <f>IF(OR(F788="",G788=""),"Missing Date/Time",IFERROR(IF(G788&lt;F788,"Discharge Before Arrival","OK"),"Check Format"))</f>
        <v>OK</v>
      </c>
    </row>
    <row r="789" spans="1:24" x14ac:dyDescent="0.25">
      <c r="A789" s="2" t="s">
        <v>1351</v>
      </c>
      <c r="B789" s="2" t="s">
        <v>1023</v>
      </c>
      <c r="C789" s="3" t="s">
        <v>46</v>
      </c>
      <c r="D789" s="3" t="s">
        <v>174</v>
      </c>
      <c r="E789" s="4">
        <v>45728.739583333336</v>
      </c>
      <c r="G789" s="4">
        <v>45994.770138888889</v>
      </c>
      <c r="I789" s="3" t="s">
        <v>73</v>
      </c>
      <c r="J789" s="3" t="s">
        <v>22</v>
      </c>
      <c r="K789" s="5">
        <v>19</v>
      </c>
      <c r="L789" s="5">
        <v>25</v>
      </c>
      <c r="M789" s="3" t="s">
        <v>68</v>
      </c>
      <c r="N789" t="s">
        <v>24</v>
      </c>
      <c r="O789" s="5">
        <v>5</v>
      </c>
      <c r="P789" s="3" t="s">
        <v>25</v>
      </c>
      <c r="Q789" s="2">
        <v>200.64</v>
      </c>
      <c r="R789" s="3" t="s">
        <v>26</v>
      </c>
      <c r="S789">
        <f>COUNTIF(A:A,A789)</f>
        <v>1</v>
      </c>
      <c r="T789" t="str">
        <f>IF(OR(H789="",LOWER(TRIM(H789&amp;""))="missing",LOWER(TRIM(H789&amp;""))=""),"Missing/",IFERROR(IF(OR(VALUE(H789)&lt;0,VALUE(H789)&gt;110),"Invalid","Valid"),"Check Format"))</f>
        <v>Missing/</v>
      </c>
      <c r="U789" t="str">
        <f>IF(Raw_Data[[#This Row],[Age_Check]]="Valid",H789,"")</f>
        <v/>
      </c>
      <c r="V789" t="str">
        <f>IF(OR(K789="",UPPER(TRIM(K789&amp;""))="",LOWER(TRIM(K789&amp;""))="",LOWER(TRIM(K789&amp;""))="",LOWER(TRIM(K789&amp;""))="missing"),"Missing/",IFERROR(IF(VALUE(K789)&lt;0,"Invalid","Valid"),"Check Format"))</f>
        <v>Valid</v>
      </c>
      <c r="W789" t="str">
        <f>IF(OR(E789="",F789=""),"Missing Date/Time",IFERROR(IF(F789&gt;E789,"Arrival After Appointment","OK"),"Check Format"))</f>
        <v>Missing Date/Time</v>
      </c>
      <c r="X789" t="str">
        <f>IF(OR(F789="",G789=""),"Missing Date/Time",IFERROR(IF(G789&lt;F789,"Discharge Before Arrival","OK"),"Check Format"))</f>
        <v>Missing Date/Time</v>
      </c>
    </row>
    <row r="790" spans="1:24" x14ac:dyDescent="0.25">
      <c r="A790" s="2" t="s">
        <v>1352</v>
      </c>
      <c r="B790" s="2" t="s">
        <v>341</v>
      </c>
      <c r="C790" s="3" t="s">
        <v>37</v>
      </c>
      <c r="D790" s="3" t="s">
        <v>72</v>
      </c>
      <c r="E790" s="4" t="s">
        <v>1353</v>
      </c>
      <c r="F790" s="4">
        <v>45974.316666666666</v>
      </c>
      <c r="G790" s="4">
        <v>45974.411805555559</v>
      </c>
      <c r="H790" s="5">
        <v>145</v>
      </c>
      <c r="I790" s="3" t="s">
        <v>73</v>
      </c>
      <c r="J790" s="3" t="s">
        <v>67</v>
      </c>
      <c r="K790" s="5">
        <v>87</v>
      </c>
      <c r="L790" s="5">
        <v>26</v>
      </c>
      <c r="M790" s="3" t="s">
        <v>87</v>
      </c>
      <c r="N790" t="s">
        <v>103</v>
      </c>
      <c r="O790" s="5">
        <v>3</v>
      </c>
      <c r="P790" s="3" t="s">
        <v>80</v>
      </c>
      <c r="Q790" s="2">
        <v>139.27000000000001</v>
      </c>
      <c r="R790" s="3" t="s">
        <v>26</v>
      </c>
      <c r="S790">
        <f>COUNTIF(A:A,A790)</f>
        <v>1</v>
      </c>
      <c r="T790" t="str">
        <f>IF(OR(H790="",LOWER(TRIM(H790&amp;""))="missing",LOWER(TRIM(H790&amp;""))=""),"Missing/",IFERROR(IF(OR(VALUE(H790)&lt;0,VALUE(H790)&gt;110),"Invalid","Valid"),"Check Format"))</f>
        <v>Invalid</v>
      </c>
      <c r="U790" t="str">
        <f>IF(Raw_Data[[#This Row],[Age_Check]]="Valid",H790,"")</f>
        <v/>
      </c>
      <c r="V790" t="str">
        <f>IF(OR(K790="",UPPER(TRIM(K790&amp;""))="",LOWER(TRIM(K790&amp;""))="",LOWER(TRIM(K790&amp;""))="",LOWER(TRIM(K790&amp;""))="missing"),"Missing/",IFERROR(IF(VALUE(K790)&lt;0,"Invalid","Valid"),"Check Format"))</f>
        <v>Valid</v>
      </c>
      <c r="W790" t="str">
        <f>IF(OR(E790="",F790=""),"Missing Date/Time",IFERROR(IF(F790&gt;E790,"Arrival After Appointment","OK"),"Check Format"))</f>
        <v>OK</v>
      </c>
      <c r="X790" t="str">
        <f>IF(OR(F790="",G790=""),"Missing Date/Time",IFERROR(IF(G790&lt;F790,"Discharge Before Arrival","OK"),"Check Format"))</f>
        <v>OK</v>
      </c>
    </row>
    <row r="791" spans="1:24" x14ac:dyDescent="0.25">
      <c r="A791" s="2" t="s">
        <v>1354</v>
      </c>
      <c r="B791" s="2" t="s">
        <v>418</v>
      </c>
      <c r="C791" s="3" t="s">
        <v>94</v>
      </c>
      <c r="D791" s="3" t="s">
        <v>20</v>
      </c>
      <c r="E791" s="4" t="s">
        <v>1355</v>
      </c>
      <c r="F791" s="4">
        <v>45365.631249999999</v>
      </c>
      <c r="G791" s="4">
        <v>45365.65902777778</v>
      </c>
      <c r="J791" s="3" t="s">
        <v>62</v>
      </c>
      <c r="K791" s="5">
        <v>4</v>
      </c>
      <c r="L791" s="5">
        <v>25</v>
      </c>
      <c r="M791" s="3" t="s">
        <v>41</v>
      </c>
      <c r="N791" t="s">
        <v>69</v>
      </c>
      <c r="O791" s="5">
        <v>0</v>
      </c>
      <c r="P791" s="3" t="s">
        <v>25</v>
      </c>
      <c r="R791" s="3" t="s">
        <v>58</v>
      </c>
      <c r="S791">
        <f>COUNTIF(A:A,A791)</f>
        <v>1</v>
      </c>
      <c r="T791" t="str">
        <f>IF(OR(H791="",LOWER(TRIM(H791&amp;""))="missing",LOWER(TRIM(H791&amp;""))=""),"Missing/",IFERROR(IF(OR(VALUE(H791)&lt;0,VALUE(H791)&gt;110),"Invalid","Valid"),"Check Format"))</f>
        <v>Missing/</v>
      </c>
      <c r="U791" t="str">
        <f>IF(Raw_Data[[#This Row],[Age_Check]]="Valid",H791,"")</f>
        <v/>
      </c>
      <c r="V791" t="str">
        <f>IF(OR(K791="",UPPER(TRIM(K791&amp;""))="",LOWER(TRIM(K791&amp;""))="",LOWER(TRIM(K791&amp;""))="",LOWER(TRIM(K791&amp;""))="missing"),"Missing/",IFERROR(IF(VALUE(K791)&lt;0,"Invalid","Valid"),"Check Format"))</f>
        <v>Valid</v>
      </c>
      <c r="W791" t="str">
        <f>IF(OR(E791="",F791=""),"Missing Date/Time",IFERROR(IF(F791&gt;E791,"Arrival After Appointment","OK"),"Check Format"))</f>
        <v>OK</v>
      </c>
      <c r="X791" t="str">
        <f>IF(OR(F791="",G791=""),"Missing Date/Time",IFERROR(IF(G791&lt;F791,"Discharge Before Arrival","OK"),"Check Format"))</f>
        <v>OK</v>
      </c>
    </row>
    <row r="792" spans="1:24" x14ac:dyDescent="0.25">
      <c r="A792" s="2" t="s">
        <v>1356</v>
      </c>
      <c r="B792" s="2" t="s">
        <v>631</v>
      </c>
      <c r="C792" s="3" t="s">
        <v>94</v>
      </c>
      <c r="D792" s="3" t="s">
        <v>209</v>
      </c>
      <c r="E792" s="4">
        <v>45951.3125</v>
      </c>
      <c r="F792" s="4">
        <v>45951.302083333336</v>
      </c>
      <c r="G792" s="4">
        <v>45951.40347222222</v>
      </c>
      <c r="J792" s="3" t="s">
        <v>67</v>
      </c>
      <c r="K792" s="5">
        <v>89</v>
      </c>
      <c r="L792" s="5">
        <v>42</v>
      </c>
      <c r="M792" s="3" t="s">
        <v>63</v>
      </c>
      <c r="N792" t="s">
        <v>69</v>
      </c>
      <c r="O792" s="5">
        <v>6</v>
      </c>
      <c r="Q792" s="2">
        <v>185.05</v>
      </c>
      <c r="R792" s="3" t="s">
        <v>26</v>
      </c>
      <c r="S792">
        <f>COUNTIF(A:A,A792)</f>
        <v>1</v>
      </c>
      <c r="T792" t="str">
        <f>IF(OR(H792="",LOWER(TRIM(H792&amp;""))="missing",LOWER(TRIM(H792&amp;""))=""),"Missing/",IFERROR(IF(OR(VALUE(H792)&lt;0,VALUE(H792)&gt;110),"Invalid","Valid"),"Check Format"))</f>
        <v>Missing/</v>
      </c>
      <c r="U792" t="str">
        <f>IF(Raw_Data[[#This Row],[Age_Check]]="Valid",H792,"")</f>
        <v/>
      </c>
      <c r="V792" t="str">
        <f>IF(OR(K792="",UPPER(TRIM(K792&amp;""))="",LOWER(TRIM(K792&amp;""))="",LOWER(TRIM(K792&amp;""))="",LOWER(TRIM(K792&amp;""))="missing"),"Missing/",IFERROR(IF(VALUE(K792)&lt;0,"Invalid","Valid"),"Check Format"))</f>
        <v>Valid</v>
      </c>
      <c r="W792" t="str">
        <f>IF(OR(E792="",F792=""),"Missing Date/Time",IFERROR(IF(F792&gt;E792,"Arrival After Appointment","OK"),"Check Format"))</f>
        <v>OK</v>
      </c>
      <c r="X792" t="str">
        <f>IF(OR(F792="",G792=""),"Missing Date/Time",IFERROR(IF(G792&lt;F792,"Discharge Before Arrival","OK"),"Check Format"))</f>
        <v>OK</v>
      </c>
    </row>
    <row r="793" spans="1:24" x14ac:dyDescent="0.25">
      <c r="A793" s="2" t="s">
        <v>1357</v>
      </c>
      <c r="B793" s="2" t="s">
        <v>1193</v>
      </c>
      <c r="C793" s="3" t="s">
        <v>29</v>
      </c>
      <c r="D793" s="3" t="s">
        <v>174</v>
      </c>
      <c r="E793" s="4">
        <v>45313.3125</v>
      </c>
      <c r="G793" s="4">
        <v>45313.375694444447</v>
      </c>
      <c r="H793" s="5">
        <v>44</v>
      </c>
      <c r="I793" s="3" t="s">
        <v>73</v>
      </c>
      <c r="J793" s="3" t="s">
        <v>62</v>
      </c>
      <c r="K793" s="5">
        <v>59</v>
      </c>
      <c r="L793" s="5">
        <v>32</v>
      </c>
      <c r="M793" s="3" t="s">
        <v>50</v>
      </c>
      <c r="N793" t="s">
        <v>69</v>
      </c>
      <c r="O793" s="5">
        <v>3</v>
      </c>
      <c r="P793" s="3" t="s">
        <v>80</v>
      </c>
      <c r="Q793" s="2">
        <v>92.17</v>
      </c>
      <c r="R793" s="3" t="s">
        <v>58</v>
      </c>
      <c r="S793">
        <f>COUNTIF(A:A,A793)</f>
        <v>1</v>
      </c>
      <c r="T793" t="str">
        <f>IF(OR(H793="",LOWER(TRIM(H793&amp;""))="missing",LOWER(TRIM(H793&amp;""))=""),"Missing/",IFERROR(IF(OR(VALUE(H793)&lt;0,VALUE(H793)&gt;110),"Invalid","Valid"),"Check Format"))</f>
        <v>Valid</v>
      </c>
      <c r="U793">
        <f>IF(Raw_Data[[#This Row],[Age_Check]]="Valid",H793,"")</f>
        <v>44</v>
      </c>
      <c r="V793" t="str">
        <f>IF(OR(K793="",UPPER(TRIM(K793&amp;""))="",LOWER(TRIM(K793&amp;""))="",LOWER(TRIM(K793&amp;""))="",LOWER(TRIM(K793&amp;""))="missing"),"Missing/",IFERROR(IF(VALUE(K793)&lt;0,"Invalid","Valid"),"Check Format"))</f>
        <v>Valid</v>
      </c>
      <c r="W793" t="str">
        <f>IF(OR(E793="",F793=""),"Missing Date/Time",IFERROR(IF(F793&gt;E793,"Arrival After Appointment","OK"),"Check Format"))</f>
        <v>Missing Date/Time</v>
      </c>
      <c r="X793" t="str">
        <f>IF(OR(F793="",G793=""),"Missing Date/Time",IFERROR(IF(G793&lt;F793,"Discharge Before Arrival","OK"),"Check Format"))</f>
        <v>Missing Date/Time</v>
      </c>
    </row>
    <row r="794" spans="1:24" x14ac:dyDescent="0.25">
      <c r="A794" s="2" t="s">
        <v>1358</v>
      </c>
      <c r="B794" s="2" t="s">
        <v>1359</v>
      </c>
      <c r="C794" s="3" t="s">
        <v>19</v>
      </c>
      <c r="D794" s="3" t="s">
        <v>20</v>
      </c>
      <c r="E794" s="4">
        <v>45934.409722222219</v>
      </c>
      <c r="F794" s="4">
        <v>45934.393750000003</v>
      </c>
      <c r="G794" s="4">
        <v>45934.493750000001</v>
      </c>
      <c r="I794" s="3" t="s">
        <v>95</v>
      </c>
      <c r="J794" s="3" t="s">
        <v>171</v>
      </c>
      <c r="K794" s="5">
        <v>82</v>
      </c>
      <c r="L794" s="5">
        <v>39</v>
      </c>
      <c r="M794" s="3" t="s">
        <v>87</v>
      </c>
      <c r="N794" t="s">
        <v>91</v>
      </c>
      <c r="Q794" s="2">
        <v>184.36</v>
      </c>
      <c r="R794" s="3" t="s">
        <v>26</v>
      </c>
      <c r="S794">
        <f>COUNTIF(A:A,A794)</f>
        <v>1</v>
      </c>
      <c r="T794" t="str">
        <f>IF(OR(H794="",LOWER(TRIM(H794&amp;""))="missing",LOWER(TRIM(H794&amp;""))=""),"Missing/",IFERROR(IF(OR(VALUE(H794)&lt;0,VALUE(H794)&gt;110),"Invalid","Valid"),"Check Format"))</f>
        <v>Missing/</v>
      </c>
      <c r="U794" t="str">
        <f>IF(Raw_Data[[#This Row],[Age_Check]]="Valid",H794,"")</f>
        <v/>
      </c>
      <c r="V794" t="str">
        <f>IF(OR(K794="",UPPER(TRIM(K794&amp;""))="",LOWER(TRIM(K794&amp;""))="",LOWER(TRIM(K794&amp;""))="",LOWER(TRIM(K794&amp;""))="missing"),"Missing/",IFERROR(IF(VALUE(K794)&lt;0,"Invalid","Valid"),"Check Format"))</f>
        <v>Valid</v>
      </c>
      <c r="W794" t="str">
        <f>IF(OR(E794="",F794=""),"Missing Date/Time",IFERROR(IF(F794&gt;E794,"Arrival After Appointment","OK"),"Check Format"))</f>
        <v>OK</v>
      </c>
      <c r="X794" t="str">
        <f>IF(OR(F794="",G794=""),"Missing Date/Time",IFERROR(IF(G794&lt;F794,"Discharge Before Arrival","OK"),"Check Format"))</f>
        <v>OK</v>
      </c>
    </row>
    <row r="795" spans="1:24" x14ac:dyDescent="0.25">
      <c r="A795" s="2" t="s">
        <v>1360</v>
      </c>
      <c r="B795" s="2" t="s">
        <v>1155</v>
      </c>
      <c r="C795" s="3" t="s">
        <v>94</v>
      </c>
      <c r="D795" s="3" t="s">
        <v>72</v>
      </c>
      <c r="E795" s="4">
        <v>45447.336805555555</v>
      </c>
      <c r="F795" s="4">
        <v>45447.336805555555</v>
      </c>
      <c r="G795" s="4">
        <v>45447.367361111108</v>
      </c>
      <c r="I795" s="3" t="s">
        <v>39</v>
      </c>
      <c r="J795" s="3" t="s">
        <v>67</v>
      </c>
      <c r="K795" s="5">
        <v>39</v>
      </c>
      <c r="L795" s="5">
        <v>5</v>
      </c>
      <c r="M795" s="3" t="s">
        <v>32</v>
      </c>
      <c r="N795" t="s">
        <v>91</v>
      </c>
      <c r="O795" s="5">
        <v>5</v>
      </c>
      <c r="P795" s="3" t="s">
        <v>80</v>
      </c>
      <c r="Q795" s="2">
        <v>232.77</v>
      </c>
      <c r="R795" s="3" t="s">
        <v>26</v>
      </c>
      <c r="S795">
        <f>COUNTIF(A:A,A795)</f>
        <v>1</v>
      </c>
      <c r="T795" t="str">
        <f>IF(OR(H795="",LOWER(TRIM(H795&amp;""))="missing",LOWER(TRIM(H795&amp;""))=""),"Missing/",IFERROR(IF(OR(VALUE(H795)&lt;0,VALUE(H795)&gt;110),"Invalid","Valid"),"Check Format"))</f>
        <v>Missing/</v>
      </c>
      <c r="U795" t="str">
        <f>IF(Raw_Data[[#This Row],[Age_Check]]="Valid",H795,"")</f>
        <v/>
      </c>
      <c r="V795" t="str">
        <f>IF(OR(K795="",UPPER(TRIM(K795&amp;""))="",LOWER(TRIM(K795&amp;""))="",LOWER(TRIM(K795&amp;""))="",LOWER(TRIM(K795&amp;""))="missing"),"Missing/",IFERROR(IF(VALUE(K795)&lt;0,"Invalid","Valid"),"Check Format"))</f>
        <v>Valid</v>
      </c>
      <c r="W795" t="str">
        <f>IF(OR(E795="",F795=""),"Missing Date/Time",IFERROR(IF(F795&gt;E795,"Arrival After Appointment","OK"),"Check Format"))</f>
        <v>OK</v>
      </c>
      <c r="X795" t="str">
        <f>IF(OR(F795="",G795=""),"Missing Date/Time",IFERROR(IF(G795&lt;F795,"Discharge Before Arrival","OK"),"Check Format"))</f>
        <v>OK</v>
      </c>
    </row>
    <row r="796" spans="1:24" x14ac:dyDescent="0.25">
      <c r="A796" s="2" t="s">
        <v>1361</v>
      </c>
      <c r="B796" s="2" t="s">
        <v>830</v>
      </c>
      <c r="D796" s="3" t="s">
        <v>38</v>
      </c>
      <c r="F796" s="4">
        <v>45528.426388888889</v>
      </c>
      <c r="G796" s="4">
        <v>45528.477083333331</v>
      </c>
      <c r="I796" s="3" t="s">
        <v>95</v>
      </c>
      <c r="J796" s="3" t="s">
        <v>171</v>
      </c>
      <c r="K796" s="5">
        <v>41</v>
      </c>
      <c r="L796" s="5">
        <v>16</v>
      </c>
      <c r="M796" s="3" t="s">
        <v>68</v>
      </c>
      <c r="N796" t="s">
        <v>74</v>
      </c>
      <c r="O796" s="5">
        <v>4</v>
      </c>
      <c r="Q796" s="2">
        <v>200.48</v>
      </c>
      <c r="R796" s="3" t="s">
        <v>43</v>
      </c>
      <c r="S796">
        <f>COUNTIF(A:A,A796)</f>
        <v>1</v>
      </c>
      <c r="T796" t="str">
        <f>IF(OR(H796="",LOWER(TRIM(H796&amp;""))="missing",LOWER(TRIM(H796&amp;""))=""),"Missing/",IFERROR(IF(OR(VALUE(H796)&lt;0,VALUE(H796)&gt;110),"Invalid","Valid"),"Check Format"))</f>
        <v>Missing/</v>
      </c>
      <c r="U796" t="str">
        <f>IF(Raw_Data[[#This Row],[Age_Check]]="Valid",H796,"")</f>
        <v/>
      </c>
      <c r="V796" t="str">
        <f>IF(OR(K796="",UPPER(TRIM(K796&amp;""))="",LOWER(TRIM(K796&amp;""))="",LOWER(TRIM(K796&amp;""))="",LOWER(TRIM(K796&amp;""))="missing"),"Missing/",IFERROR(IF(VALUE(K796)&lt;0,"Invalid","Valid"),"Check Format"))</f>
        <v>Valid</v>
      </c>
      <c r="W796" t="str">
        <f>IF(OR(E796="",F796=""),"Missing Date/Time",IFERROR(IF(F796&gt;E796,"Arrival After Appointment","OK"),"Check Format"))</f>
        <v>Missing Date/Time</v>
      </c>
      <c r="X796" t="str">
        <f>IF(OR(F796="",G796=""),"Missing Date/Time",IFERROR(IF(G796&lt;F796,"Discharge Before Arrival","OK"),"Check Format"))</f>
        <v>OK</v>
      </c>
    </row>
    <row r="797" spans="1:24" x14ac:dyDescent="0.25">
      <c r="A797" s="2" t="s">
        <v>1362</v>
      </c>
      <c r="B797" s="2" t="s">
        <v>1363</v>
      </c>
      <c r="C797" s="3" t="s">
        <v>19</v>
      </c>
      <c r="D797" s="3" t="s">
        <v>66</v>
      </c>
      <c r="E797" s="4">
        <v>45485.579861111109</v>
      </c>
      <c r="F797" s="4">
        <v>45485.55972222222</v>
      </c>
      <c r="G797" s="4">
        <v>45485.645833333336</v>
      </c>
      <c r="J797" s="3" t="s">
        <v>171</v>
      </c>
      <c r="K797" s="5">
        <v>44</v>
      </c>
      <c r="L797" s="5">
        <v>51</v>
      </c>
      <c r="M797" s="3" t="s">
        <v>23</v>
      </c>
      <c r="N797" t="s">
        <v>69</v>
      </c>
      <c r="O797" s="5">
        <v>6</v>
      </c>
      <c r="P797" s="3" t="s">
        <v>80</v>
      </c>
      <c r="Q797" s="2">
        <v>194.36</v>
      </c>
      <c r="R797" s="3" t="s">
        <v>75</v>
      </c>
      <c r="S797">
        <f>COUNTIF(A:A,A797)</f>
        <v>1</v>
      </c>
      <c r="T797" t="str">
        <f>IF(OR(H797="",LOWER(TRIM(H797&amp;""))="missing",LOWER(TRIM(H797&amp;""))=""),"Missing/",IFERROR(IF(OR(VALUE(H797)&lt;0,VALUE(H797)&gt;110),"Invalid","Valid"),"Check Format"))</f>
        <v>Missing/</v>
      </c>
      <c r="U797" t="str">
        <f>IF(Raw_Data[[#This Row],[Age_Check]]="Valid",H797,"")</f>
        <v/>
      </c>
      <c r="V797" t="str">
        <f>IF(OR(K797="",UPPER(TRIM(K797&amp;""))="",LOWER(TRIM(K797&amp;""))="",LOWER(TRIM(K797&amp;""))="",LOWER(TRIM(K797&amp;""))="missing"),"Missing/",IFERROR(IF(VALUE(K797)&lt;0,"Invalid","Valid"),"Check Format"))</f>
        <v>Valid</v>
      </c>
      <c r="W797" t="str">
        <f>IF(OR(E797="",F797=""),"Missing Date/Time",IFERROR(IF(F797&gt;E797,"Arrival After Appointment","OK"),"Check Format"))</f>
        <v>OK</v>
      </c>
      <c r="X797" t="str">
        <f>IF(OR(F797="",G797=""),"Missing Date/Time",IFERROR(IF(G797&lt;F797,"Discharge Before Arrival","OK"),"Check Format"))</f>
        <v>OK</v>
      </c>
    </row>
    <row r="798" spans="1:24" x14ac:dyDescent="0.25">
      <c r="A798" s="2" t="s">
        <v>1364</v>
      </c>
      <c r="B798" s="2" t="s">
        <v>316</v>
      </c>
      <c r="C798" s="3" t="s">
        <v>19</v>
      </c>
      <c r="D798" s="3" t="s">
        <v>99</v>
      </c>
      <c r="E798" s="4">
        <v>45612.704861111109</v>
      </c>
      <c r="F798" s="4">
        <v>45612.693749999999</v>
      </c>
      <c r="H798" s="5">
        <v>43</v>
      </c>
      <c r="I798" s="3" t="s">
        <v>73</v>
      </c>
      <c r="J798" s="3" t="s">
        <v>62</v>
      </c>
      <c r="K798" s="5">
        <v>81</v>
      </c>
      <c r="L798" s="5">
        <v>7</v>
      </c>
      <c r="M798" s="3" t="s">
        <v>50</v>
      </c>
      <c r="N798" t="s">
        <v>100</v>
      </c>
      <c r="O798" s="5">
        <v>6</v>
      </c>
      <c r="P798" s="3" t="s">
        <v>80</v>
      </c>
      <c r="Q798" s="2">
        <v>241.96</v>
      </c>
      <c r="R798" s="3" t="s">
        <v>26</v>
      </c>
      <c r="S798">
        <f>COUNTIF(A:A,A798)</f>
        <v>1</v>
      </c>
      <c r="T798" t="str">
        <f>IF(OR(H798="",LOWER(TRIM(H798&amp;""))="missing",LOWER(TRIM(H798&amp;""))=""),"Missing/",IFERROR(IF(OR(VALUE(H798)&lt;0,VALUE(H798)&gt;110),"Invalid","Valid"),"Check Format"))</f>
        <v>Valid</v>
      </c>
      <c r="U798">
        <f>IF(Raw_Data[[#This Row],[Age_Check]]="Valid",H798,"")</f>
        <v>43</v>
      </c>
      <c r="V798" t="str">
        <f>IF(OR(K798="",UPPER(TRIM(K798&amp;""))="",LOWER(TRIM(K798&amp;""))="",LOWER(TRIM(K798&amp;""))="",LOWER(TRIM(K798&amp;""))="missing"),"Missing/",IFERROR(IF(VALUE(K798)&lt;0,"Invalid","Valid"),"Check Format"))</f>
        <v>Valid</v>
      </c>
      <c r="W798" t="str">
        <f>IF(OR(E798="",F798=""),"Missing Date/Time",IFERROR(IF(F798&gt;E798,"Arrival After Appointment","OK"),"Check Format"))</f>
        <v>OK</v>
      </c>
      <c r="X798" t="str">
        <f>IF(OR(F798="",G798=""),"Missing Date/Time",IFERROR(IF(G798&lt;F798,"Discharge Before Arrival","OK"),"Check Format"))</f>
        <v>Missing Date/Time</v>
      </c>
    </row>
    <row r="799" spans="1:24" x14ac:dyDescent="0.25">
      <c r="A799" s="2" t="s">
        <v>1365</v>
      </c>
      <c r="B799" s="2" t="s">
        <v>241</v>
      </c>
      <c r="D799" s="3" t="s">
        <v>115</v>
      </c>
      <c r="E799" s="4">
        <v>45631.458333333336</v>
      </c>
      <c r="F799" s="4">
        <v>45631.457638888889</v>
      </c>
      <c r="G799" s="4">
        <v>45631.522222222222</v>
      </c>
      <c r="J799" s="3" t="s">
        <v>62</v>
      </c>
      <c r="K799" s="5">
        <v>67</v>
      </c>
      <c r="L799" s="5">
        <v>25</v>
      </c>
      <c r="M799" s="3" t="s">
        <v>68</v>
      </c>
      <c r="N799" t="s">
        <v>24</v>
      </c>
      <c r="O799" s="5">
        <v>2</v>
      </c>
      <c r="P799" s="3" t="s">
        <v>25</v>
      </c>
      <c r="Q799" s="2">
        <v>156.47</v>
      </c>
      <c r="R799" s="3" t="s">
        <v>75</v>
      </c>
      <c r="S799">
        <f>COUNTIF(A:A,A799)</f>
        <v>1</v>
      </c>
      <c r="T799" t="str">
        <f>IF(OR(H799="",LOWER(TRIM(H799&amp;""))="missing",LOWER(TRIM(H799&amp;""))=""),"Missing/",IFERROR(IF(OR(VALUE(H799)&lt;0,VALUE(H799)&gt;110),"Invalid","Valid"),"Check Format"))</f>
        <v>Missing/</v>
      </c>
      <c r="U799" t="str">
        <f>IF(Raw_Data[[#This Row],[Age_Check]]="Valid",H799,"")</f>
        <v/>
      </c>
      <c r="V799" t="str">
        <f>IF(OR(K799="",UPPER(TRIM(K799&amp;""))="",LOWER(TRIM(K799&amp;""))="",LOWER(TRIM(K799&amp;""))="",LOWER(TRIM(K799&amp;""))="missing"),"Missing/",IFERROR(IF(VALUE(K799)&lt;0,"Invalid","Valid"),"Check Format"))</f>
        <v>Valid</v>
      </c>
      <c r="W799" t="str">
        <f>IF(OR(E799="",F799=""),"Missing Date/Time",IFERROR(IF(F799&gt;E799,"Arrival After Appointment","OK"),"Check Format"))</f>
        <v>OK</v>
      </c>
      <c r="X799" t="str">
        <f>IF(OR(F799="",G799=""),"Missing Date/Time",IFERROR(IF(G799&lt;F799,"Discharge Before Arrival","OK"),"Check Format"))</f>
        <v>OK</v>
      </c>
    </row>
    <row r="800" spans="1:24" x14ac:dyDescent="0.25">
      <c r="A800" s="2" t="s">
        <v>1366</v>
      </c>
      <c r="B800" s="2" t="s">
        <v>531</v>
      </c>
      <c r="C800" s="3" t="s">
        <v>37</v>
      </c>
      <c r="D800" s="3" t="s">
        <v>66</v>
      </c>
      <c r="E800" s="4">
        <v>45426.777777777781</v>
      </c>
      <c r="F800" s="4">
        <v>45426.763194444444</v>
      </c>
      <c r="H800" s="5">
        <v>80</v>
      </c>
      <c r="I800" s="3" t="s">
        <v>95</v>
      </c>
      <c r="J800" s="3" t="s">
        <v>62</v>
      </c>
      <c r="K800" s="5">
        <v>0</v>
      </c>
      <c r="L800" s="5">
        <v>39</v>
      </c>
      <c r="M800" s="3" t="s">
        <v>87</v>
      </c>
      <c r="N800" t="s">
        <v>24</v>
      </c>
      <c r="P800" s="3" t="s">
        <v>42</v>
      </c>
      <c r="Q800" s="2">
        <v>62.65</v>
      </c>
      <c r="R800" s="3" t="s">
        <v>43</v>
      </c>
      <c r="S800">
        <f>COUNTIF(A:A,A800)</f>
        <v>1</v>
      </c>
      <c r="T800" t="str">
        <f>IF(OR(H800="",LOWER(TRIM(H800&amp;""))="missing",LOWER(TRIM(H800&amp;""))=""),"Missing/",IFERROR(IF(OR(VALUE(H800)&lt;0,VALUE(H800)&gt;110),"Invalid","Valid"),"Check Format"))</f>
        <v>Valid</v>
      </c>
      <c r="U800">
        <f>IF(Raw_Data[[#This Row],[Age_Check]]="Valid",H800,"")</f>
        <v>80</v>
      </c>
      <c r="V800" t="str">
        <f>IF(OR(K800="",UPPER(TRIM(K800&amp;""))="",LOWER(TRIM(K800&amp;""))="",LOWER(TRIM(K800&amp;""))="",LOWER(TRIM(K800&amp;""))="missing"),"Missing/",IFERROR(IF(VALUE(K800)&lt;0,"Invalid","Valid"),"Check Format"))</f>
        <v>Valid</v>
      </c>
      <c r="W800" t="str">
        <f>IF(OR(E800="",F800=""),"Missing Date/Time",IFERROR(IF(F800&gt;E800,"Arrival After Appointment","OK"),"Check Format"))</f>
        <v>OK</v>
      </c>
      <c r="X800" t="str">
        <f>IF(OR(F800="",G800=""),"Missing Date/Time",IFERROR(IF(G800&lt;F800,"Discharge Before Arrival","OK"),"Check Format"))</f>
        <v>Missing Date/Time</v>
      </c>
    </row>
    <row r="801" spans="1:24" x14ac:dyDescent="0.25">
      <c r="A801" s="2" t="s">
        <v>1367</v>
      </c>
      <c r="B801" s="2" t="s">
        <v>1262</v>
      </c>
      <c r="C801" s="3" t="s">
        <v>94</v>
      </c>
      <c r="D801" s="3" t="s">
        <v>30</v>
      </c>
      <c r="E801" s="4">
        <v>45422.753472222219</v>
      </c>
      <c r="F801" s="4">
        <v>45422.744444444441</v>
      </c>
      <c r="G801" s="4">
        <v>45422.763888888891</v>
      </c>
      <c r="I801" s="3" t="s">
        <v>95</v>
      </c>
      <c r="J801" s="3" t="s">
        <v>2639</v>
      </c>
      <c r="K801" s="5">
        <v>10</v>
      </c>
      <c r="L801" s="5">
        <v>5</v>
      </c>
      <c r="M801" s="3" t="s">
        <v>50</v>
      </c>
      <c r="N801" t="s">
        <v>74</v>
      </c>
      <c r="Q801" s="2">
        <v>234.02</v>
      </c>
      <c r="R801" s="3" t="s">
        <v>58</v>
      </c>
      <c r="S801">
        <f>COUNTIF(A:A,A801)</f>
        <v>1</v>
      </c>
      <c r="T801" t="str">
        <f>IF(OR(H801="",LOWER(TRIM(H801&amp;""))="missing",LOWER(TRIM(H801&amp;""))=""),"Missing/",IFERROR(IF(OR(VALUE(H801)&lt;0,VALUE(H801)&gt;110),"Invalid","Valid"),"Check Format"))</f>
        <v>Missing/</v>
      </c>
      <c r="U801" t="str">
        <f>IF(Raw_Data[[#This Row],[Age_Check]]="Valid",H801,"")</f>
        <v/>
      </c>
      <c r="V801" t="str">
        <f>IF(OR(K801="",UPPER(TRIM(K801&amp;""))="",LOWER(TRIM(K801&amp;""))="",LOWER(TRIM(K801&amp;""))="",LOWER(TRIM(K801&amp;""))="missing"),"Missing/",IFERROR(IF(VALUE(K801)&lt;0,"Invalid","Valid"),"Check Format"))</f>
        <v>Valid</v>
      </c>
      <c r="W801" t="str">
        <f>IF(OR(E801="",F801=""),"Missing Date/Time",IFERROR(IF(F801&gt;E801,"Arrival After Appointment","OK"),"Check Format"))</f>
        <v>OK</v>
      </c>
      <c r="X801" t="str">
        <f>IF(OR(F801="",G801=""),"Missing Date/Time",IFERROR(IF(G801&lt;F801,"Discharge Before Arrival","OK"),"Check Format"))</f>
        <v>OK</v>
      </c>
    </row>
    <row r="802" spans="1:24" x14ac:dyDescent="0.25">
      <c r="A802" s="2" t="s">
        <v>1368</v>
      </c>
      <c r="B802" s="2" t="s">
        <v>1304</v>
      </c>
      <c r="C802" s="3" t="s">
        <v>94</v>
      </c>
      <c r="D802" s="3" t="s">
        <v>55</v>
      </c>
      <c r="E802" s="4">
        <v>45390.694444444445</v>
      </c>
      <c r="F802" s="4">
        <v>45390.693055555559</v>
      </c>
      <c r="G802" s="4">
        <v>45390.759722222225</v>
      </c>
      <c r="H802" s="5">
        <v>87</v>
      </c>
      <c r="I802" s="3" t="s">
        <v>73</v>
      </c>
      <c r="J802" s="3" t="s">
        <v>2639</v>
      </c>
      <c r="K802" s="5">
        <v>35</v>
      </c>
      <c r="L802" s="5">
        <v>59</v>
      </c>
      <c r="M802" s="3" t="s">
        <v>63</v>
      </c>
      <c r="N802" t="s">
        <v>69</v>
      </c>
      <c r="O802" s="5">
        <v>1</v>
      </c>
      <c r="P802" s="3" t="s">
        <v>25</v>
      </c>
      <c r="Q802" s="2">
        <v>102.14</v>
      </c>
      <c r="R802" s="3" t="s">
        <v>26</v>
      </c>
      <c r="S802">
        <f>COUNTIF(A:A,A802)</f>
        <v>1</v>
      </c>
      <c r="T802" t="str">
        <f>IF(OR(H802="",LOWER(TRIM(H802&amp;""))="missing",LOWER(TRIM(H802&amp;""))=""),"Missing/",IFERROR(IF(OR(VALUE(H802)&lt;0,VALUE(H802)&gt;110),"Invalid","Valid"),"Check Format"))</f>
        <v>Valid</v>
      </c>
      <c r="U802">
        <f>IF(Raw_Data[[#This Row],[Age_Check]]="Valid",H802,"")</f>
        <v>87</v>
      </c>
      <c r="V802" t="str">
        <f>IF(OR(K802="",UPPER(TRIM(K802&amp;""))="",LOWER(TRIM(K802&amp;""))="",LOWER(TRIM(K802&amp;""))="",LOWER(TRIM(K802&amp;""))="missing"),"Missing/",IFERROR(IF(VALUE(K802)&lt;0,"Invalid","Valid"),"Check Format"))</f>
        <v>Valid</v>
      </c>
      <c r="W802" t="str">
        <f>IF(OR(E802="",F802=""),"Missing Date/Time",IFERROR(IF(F802&gt;E802,"Arrival After Appointment","OK"),"Check Format"))</f>
        <v>OK</v>
      </c>
      <c r="X802" t="str">
        <f>IF(OR(F802="",G802=""),"Missing Date/Time",IFERROR(IF(G802&lt;F802,"Discharge Before Arrival","OK"),"Check Format"))</f>
        <v>OK</v>
      </c>
    </row>
    <row r="803" spans="1:24" x14ac:dyDescent="0.25">
      <c r="A803" s="2" t="s">
        <v>1369</v>
      </c>
      <c r="B803" s="2" t="s">
        <v>515</v>
      </c>
      <c r="C803" s="3" t="s">
        <v>94</v>
      </c>
      <c r="D803" s="3" t="s">
        <v>66</v>
      </c>
      <c r="E803" s="4">
        <v>45545.777777777781</v>
      </c>
      <c r="F803" s="4">
        <v>45545.760416666664</v>
      </c>
      <c r="G803" s="4">
        <v>45545.785416666666</v>
      </c>
      <c r="I803" s="3" t="s">
        <v>95</v>
      </c>
      <c r="J803" s="3" t="s">
        <v>22</v>
      </c>
      <c r="K803" s="5">
        <v>0</v>
      </c>
      <c r="L803" s="5">
        <v>11</v>
      </c>
      <c r="M803" s="3" t="s">
        <v>87</v>
      </c>
      <c r="N803" t="s">
        <v>91</v>
      </c>
      <c r="Q803" s="2">
        <v>243.86</v>
      </c>
      <c r="R803" s="3" t="s">
        <v>58</v>
      </c>
      <c r="S803">
        <f>COUNTIF(A:A,A803)</f>
        <v>1</v>
      </c>
      <c r="T803" t="str">
        <f>IF(OR(H803="",LOWER(TRIM(H803&amp;""))="missing",LOWER(TRIM(H803&amp;""))=""),"Missing/",IFERROR(IF(OR(VALUE(H803)&lt;0,VALUE(H803)&gt;110),"Invalid","Valid"),"Check Format"))</f>
        <v>Missing/</v>
      </c>
      <c r="U803" t="str">
        <f>IF(Raw_Data[[#This Row],[Age_Check]]="Valid",H803,"")</f>
        <v/>
      </c>
      <c r="V803" t="str">
        <f>IF(OR(K803="",UPPER(TRIM(K803&amp;""))="",LOWER(TRIM(K803&amp;""))="",LOWER(TRIM(K803&amp;""))="",LOWER(TRIM(K803&amp;""))="missing"),"Missing/",IFERROR(IF(VALUE(K803)&lt;0,"Invalid","Valid"),"Check Format"))</f>
        <v>Valid</v>
      </c>
      <c r="W803" t="str">
        <f>IF(OR(E803="",F803=""),"Missing Date/Time",IFERROR(IF(F803&gt;E803,"Arrival After Appointment","OK"),"Check Format"))</f>
        <v>OK</v>
      </c>
      <c r="X803" t="str">
        <f>IF(OR(F803="",G803=""),"Missing Date/Time",IFERROR(IF(G803&lt;F803,"Discharge Before Arrival","OK"),"Check Format"))</f>
        <v>OK</v>
      </c>
    </row>
    <row r="804" spans="1:24" x14ac:dyDescent="0.25">
      <c r="A804" s="2" t="s">
        <v>1370</v>
      </c>
      <c r="B804" s="2" t="s">
        <v>1371</v>
      </c>
      <c r="C804" s="3" t="s">
        <v>94</v>
      </c>
      <c r="D804" s="3" t="s">
        <v>209</v>
      </c>
      <c r="E804" s="4">
        <v>45684.454861111109</v>
      </c>
      <c r="F804" s="4">
        <v>45684.45416666667</v>
      </c>
      <c r="G804" s="4">
        <v>45684.506249999999</v>
      </c>
      <c r="I804" s="3" t="s">
        <v>95</v>
      </c>
      <c r="J804" s="3" t="s">
        <v>67</v>
      </c>
      <c r="K804" s="5">
        <v>52</v>
      </c>
      <c r="L804" s="5">
        <v>22</v>
      </c>
      <c r="M804" s="3" t="s">
        <v>32</v>
      </c>
      <c r="N804" t="s">
        <v>69</v>
      </c>
      <c r="P804" s="3" t="s">
        <v>25</v>
      </c>
      <c r="Q804" s="2">
        <v>157.80000000000001</v>
      </c>
      <c r="R804" s="3" t="s">
        <v>43</v>
      </c>
      <c r="S804">
        <f>COUNTIF(A:A,A804)</f>
        <v>1</v>
      </c>
      <c r="T804" t="str">
        <f>IF(OR(H804="",LOWER(TRIM(H804&amp;""))="missing",LOWER(TRIM(H804&amp;""))=""),"Missing/",IFERROR(IF(OR(VALUE(H804)&lt;0,VALUE(H804)&gt;110),"Invalid","Valid"),"Check Format"))</f>
        <v>Missing/</v>
      </c>
      <c r="U804" t="str">
        <f>IF(Raw_Data[[#This Row],[Age_Check]]="Valid",H804,"")</f>
        <v/>
      </c>
      <c r="V804" t="str">
        <f>IF(OR(K804="",UPPER(TRIM(K804&amp;""))="",LOWER(TRIM(K804&amp;""))="",LOWER(TRIM(K804&amp;""))="",LOWER(TRIM(K804&amp;""))="missing"),"Missing/",IFERROR(IF(VALUE(K804)&lt;0,"Invalid","Valid"),"Check Format"))</f>
        <v>Valid</v>
      </c>
      <c r="W804" t="str">
        <f>IF(OR(E804="",F804=""),"Missing Date/Time",IFERROR(IF(F804&gt;E804,"Arrival After Appointment","OK"),"Check Format"))</f>
        <v>OK</v>
      </c>
      <c r="X804" t="str">
        <f>IF(OR(F804="",G804=""),"Missing Date/Time",IFERROR(IF(G804&lt;F804,"Discharge Before Arrival","OK"),"Check Format"))</f>
        <v>OK</v>
      </c>
    </row>
    <row r="805" spans="1:24" x14ac:dyDescent="0.25">
      <c r="A805" s="2" t="s">
        <v>1372</v>
      </c>
      <c r="B805" s="2" t="s">
        <v>1252</v>
      </c>
      <c r="C805" s="3" t="s">
        <v>94</v>
      </c>
      <c r="D805" s="3" t="s">
        <v>55</v>
      </c>
      <c r="E805" s="4">
        <v>45601.739583333336</v>
      </c>
      <c r="F805" s="4">
        <v>45601.730555555558</v>
      </c>
      <c r="G805" s="4">
        <v>45601.827777777777</v>
      </c>
      <c r="I805" s="3" t="s">
        <v>95</v>
      </c>
      <c r="J805" s="3" t="s">
        <v>67</v>
      </c>
      <c r="K805" s="5">
        <v>75</v>
      </c>
      <c r="L805" s="5">
        <v>52</v>
      </c>
      <c r="M805" s="3" t="s">
        <v>63</v>
      </c>
      <c r="N805" t="s">
        <v>24</v>
      </c>
      <c r="P805" s="3" t="s">
        <v>25</v>
      </c>
      <c r="Q805" s="2">
        <v>260.88</v>
      </c>
      <c r="R805" s="3" t="s">
        <v>26</v>
      </c>
      <c r="S805">
        <f>COUNTIF(A:A,A805)</f>
        <v>1</v>
      </c>
      <c r="T805" t="str">
        <f>IF(OR(H805="",LOWER(TRIM(H805&amp;""))="missing",LOWER(TRIM(H805&amp;""))=""),"Missing/",IFERROR(IF(OR(VALUE(H805)&lt;0,VALUE(H805)&gt;110),"Invalid","Valid"),"Check Format"))</f>
        <v>Missing/</v>
      </c>
      <c r="U805" t="str">
        <f>IF(Raw_Data[[#This Row],[Age_Check]]="Valid",H805,"")</f>
        <v/>
      </c>
      <c r="V805" t="str">
        <f>IF(OR(K805="",UPPER(TRIM(K805&amp;""))="",LOWER(TRIM(K805&amp;""))="",LOWER(TRIM(K805&amp;""))="",LOWER(TRIM(K805&amp;""))="missing"),"Missing/",IFERROR(IF(VALUE(K805)&lt;0,"Invalid","Valid"),"Check Format"))</f>
        <v>Valid</v>
      </c>
      <c r="W805" t="str">
        <f>IF(OR(E805="",F805=""),"Missing Date/Time",IFERROR(IF(F805&gt;E805,"Arrival After Appointment","OK"),"Check Format"))</f>
        <v>OK</v>
      </c>
      <c r="X805" t="str">
        <f>IF(OR(F805="",G805=""),"Missing Date/Time",IFERROR(IF(G805&lt;F805,"Discharge Before Arrival","OK"),"Check Format"))</f>
        <v>OK</v>
      </c>
    </row>
    <row r="806" spans="1:24" x14ac:dyDescent="0.25">
      <c r="A806" s="2" t="s">
        <v>1373</v>
      </c>
      <c r="B806" s="2" t="s">
        <v>392</v>
      </c>
      <c r="C806" s="3" t="s">
        <v>19</v>
      </c>
      <c r="D806" s="3" t="s">
        <v>115</v>
      </c>
      <c r="E806" s="4">
        <v>45987.652777777781</v>
      </c>
      <c r="F806" s="4">
        <v>45987.632638888892</v>
      </c>
      <c r="G806" s="4">
        <v>45987.689583333333</v>
      </c>
      <c r="I806" s="3" t="s">
        <v>90</v>
      </c>
      <c r="J806" s="3" t="s">
        <v>67</v>
      </c>
      <c r="K806" s="5">
        <v>45</v>
      </c>
      <c r="L806" s="5">
        <v>8</v>
      </c>
      <c r="M806" s="3" t="s">
        <v>23</v>
      </c>
      <c r="P806" s="3" t="s">
        <v>80</v>
      </c>
      <c r="Q806" s="2">
        <v>111.92</v>
      </c>
      <c r="R806" s="3" t="s">
        <v>75</v>
      </c>
      <c r="S806">
        <f>COUNTIF(A:A,A806)</f>
        <v>1</v>
      </c>
      <c r="T806" t="str">
        <f>IF(OR(H806="",LOWER(TRIM(H806&amp;""))="missing",LOWER(TRIM(H806&amp;""))=""),"Missing/",IFERROR(IF(OR(VALUE(H806)&lt;0,VALUE(H806)&gt;110),"Invalid","Valid"),"Check Format"))</f>
        <v>Missing/</v>
      </c>
      <c r="U806" t="str">
        <f>IF(Raw_Data[[#This Row],[Age_Check]]="Valid",H806,"")</f>
        <v/>
      </c>
      <c r="V806" t="str">
        <f>IF(OR(K806="",UPPER(TRIM(K806&amp;""))="",LOWER(TRIM(K806&amp;""))="",LOWER(TRIM(K806&amp;""))="",LOWER(TRIM(K806&amp;""))="missing"),"Missing/",IFERROR(IF(VALUE(K806)&lt;0,"Invalid","Valid"),"Check Format"))</f>
        <v>Valid</v>
      </c>
      <c r="W806" t="str">
        <f>IF(OR(E806="",F806=""),"Missing Date/Time",IFERROR(IF(F806&gt;E806,"Arrival After Appointment","OK"),"Check Format"))</f>
        <v>OK</v>
      </c>
      <c r="X806" t="str">
        <f>IF(OR(F806="",G806=""),"Missing Date/Time",IFERROR(IF(G806&lt;F806,"Discharge Before Arrival","OK"),"Check Format"))</f>
        <v>OK</v>
      </c>
    </row>
    <row r="807" spans="1:24" x14ac:dyDescent="0.25">
      <c r="A807" s="2" t="s">
        <v>1374</v>
      </c>
      <c r="B807" s="2" t="s">
        <v>788</v>
      </c>
      <c r="C807" s="3" t="s">
        <v>37</v>
      </c>
      <c r="D807" s="3" t="s">
        <v>47</v>
      </c>
      <c r="E807" s="4">
        <v>45580.590277777781</v>
      </c>
      <c r="F807" s="4">
        <v>45580.584722222222</v>
      </c>
      <c r="G807" s="4">
        <v>45580.646527777775</v>
      </c>
      <c r="H807" s="5">
        <v>88</v>
      </c>
      <c r="I807" s="3" t="s">
        <v>73</v>
      </c>
      <c r="J807" s="3" t="s">
        <v>150</v>
      </c>
      <c r="K807" s="5">
        <v>67</v>
      </c>
      <c r="L807" s="5">
        <v>14</v>
      </c>
      <c r="M807" s="3" t="s">
        <v>23</v>
      </c>
      <c r="N807" t="s">
        <v>91</v>
      </c>
      <c r="O807" s="5">
        <v>0</v>
      </c>
      <c r="P807" s="3" t="s">
        <v>25</v>
      </c>
      <c r="Q807" s="2">
        <v>68.430000000000007</v>
      </c>
      <c r="R807" s="3" t="s">
        <v>75</v>
      </c>
      <c r="S807">
        <f>COUNTIF(A:A,A807)</f>
        <v>1</v>
      </c>
      <c r="T807" t="str">
        <f>IF(OR(H807="",LOWER(TRIM(H807&amp;""))="missing",LOWER(TRIM(H807&amp;""))=""),"Missing/",IFERROR(IF(OR(VALUE(H807)&lt;0,VALUE(H807)&gt;110),"Invalid","Valid"),"Check Format"))</f>
        <v>Valid</v>
      </c>
      <c r="U807">
        <f>IF(Raw_Data[[#This Row],[Age_Check]]="Valid",H807,"")</f>
        <v>88</v>
      </c>
      <c r="V807" t="str">
        <f>IF(OR(K807="",UPPER(TRIM(K807&amp;""))="",LOWER(TRIM(K807&amp;""))="",LOWER(TRIM(K807&amp;""))="",LOWER(TRIM(K807&amp;""))="missing"),"Missing/",IFERROR(IF(VALUE(K807)&lt;0,"Invalid","Valid"),"Check Format"))</f>
        <v>Valid</v>
      </c>
      <c r="W807" t="str">
        <f>IF(OR(E807="",F807=""),"Missing Date/Time",IFERROR(IF(F807&gt;E807,"Arrival After Appointment","OK"),"Check Format"))</f>
        <v>OK</v>
      </c>
      <c r="X807" t="str">
        <f>IF(OR(F807="",G807=""),"Missing Date/Time",IFERROR(IF(G807&lt;F807,"Discharge Before Arrival","OK"),"Check Format"))</f>
        <v>OK</v>
      </c>
    </row>
    <row r="808" spans="1:24" x14ac:dyDescent="0.25">
      <c r="A808" s="2" t="s">
        <v>1375</v>
      </c>
      <c r="B808" s="2" t="s">
        <v>682</v>
      </c>
      <c r="C808" s="3" t="s">
        <v>46</v>
      </c>
      <c r="D808" s="3" t="s">
        <v>174</v>
      </c>
      <c r="E808" s="4">
        <v>45850.701388888891</v>
      </c>
      <c r="F808" s="4">
        <v>45998.680555555555</v>
      </c>
      <c r="G808" s="4">
        <v>45998.771527777775</v>
      </c>
      <c r="H808" s="5">
        <v>42</v>
      </c>
      <c r="I808" s="3" t="s">
        <v>39</v>
      </c>
      <c r="J808" s="3" t="s">
        <v>22</v>
      </c>
      <c r="K808" s="5">
        <v>70</v>
      </c>
      <c r="L808" s="5">
        <v>31</v>
      </c>
      <c r="M808" s="3" t="s">
        <v>50</v>
      </c>
      <c r="N808" t="s">
        <v>69</v>
      </c>
      <c r="O808" s="5">
        <v>0</v>
      </c>
      <c r="Q808" s="2">
        <v>147.62</v>
      </c>
      <c r="R808" s="3" t="s">
        <v>58</v>
      </c>
      <c r="S808">
        <f>COUNTIF(A:A,A808)</f>
        <v>1</v>
      </c>
      <c r="T808" t="str">
        <f>IF(OR(H808="",LOWER(TRIM(H808&amp;""))="missing",LOWER(TRIM(H808&amp;""))=""),"Missing/",IFERROR(IF(OR(VALUE(H808)&lt;0,VALUE(H808)&gt;110),"Invalid","Valid"),"Check Format"))</f>
        <v>Valid</v>
      </c>
      <c r="U808">
        <f>IF(Raw_Data[[#This Row],[Age_Check]]="Valid",H808,"")</f>
        <v>42</v>
      </c>
      <c r="V808" t="str">
        <f>IF(OR(K808="",UPPER(TRIM(K808&amp;""))="",LOWER(TRIM(K808&amp;""))="",LOWER(TRIM(K808&amp;""))="",LOWER(TRIM(K808&amp;""))="missing"),"Missing/",IFERROR(IF(VALUE(K808)&lt;0,"Invalid","Valid"),"Check Format"))</f>
        <v>Valid</v>
      </c>
      <c r="W808" t="str">
        <f>IF(OR(E808="",F808=""),"Missing Date/Time",IFERROR(IF(F808&gt;E808,"Arrival After Appointment","OK"),"Check Format"))</f>
        <v>Arrival After Appointment</v>
      </c>
      <c r="X808" t="str">
        <f>IF(OR(F808="",G808=""),"Missing Date/Time",IFERROR(IF(G808&lt;F808,"Discharge Before Arrival","OK"),"Check Format"))</f>
        <v>OK</v>
      </c>
    </row>
    <row r="809" spans="1:24" x14ac:dyDescent="0.25">
      <c r="A809" s="2" t="s">
        <v>1376</v>
      </c>
      <c r="B809" s="2" t="s">
        <v>251</v>
      </c>
      <c r="C809" s="3" t="s">
        <v>46</v>
      </c>
      <c r="D809" s="3" t="s">
        <v>55</v>
      </c>
      <c r="E809" s="4">
        <v>45357.552083333336</v>
      </c>
      <c r="F809" s="4">
        <v>45357.540277777778</v>
      </c>
      <c r="G809" s="4">
        <v>45357.592361111114</v>
      </c>
      <c r="J809" s="3" t="s">
        <v>22</v>
      </c>
      <c r="K809" s="5">
        <v>31</v>
      </c>
      <c r="L809" s="5">
        <v>27</v>
      </c>
      <c r="M809" s="3" t="s">
        <v>63</v>
      </c>
      <c r="O809" s="5">
        <v>3</v>
      </c>
      <c r="Q809" s="2">
        <v>71.06</v>
      </c>
      <c r="R809" s="3" t="s">
        <v>43</v>
      </c>
      <c r="S809">
        <f>COUNTIF(A:A,A809)</f>
        <v>1</v>
      </c>
      <c r="T809" t="str">
        <f>IF(OR(H809="",LOWER(TRIM(H809&amp;""))="missing",LOWER(TRIM(H809&amp;""))=""),"Missing/",IFERROR(IF(OR(VALUE(H809)&lt;0,VALUE(H809)&gt;110),"Invalid","Valid"),"Check Format"))</f>
        <v>Missing/</v>
      </c>
      <c r="U809" t="str">
        <f>IF(Raw_Data[[#This Row],[Age_Check]]="Valid",H809,"")</f>
        <v/>
      </c>
      <c r="V809" t="str">
        <f>IF(OR(K809="",UPPER(TRIM(K809&amp;""))="",LOWER(TRIM(K809&amp;""))="",LOWER(TRIM(K809&amp;""))="",LOWER(TRIM(K809&amp;""))="missing"),"Missing/",IFERROR(IF(VALUE(K809)&lt;0,"Invalid","Valid"),"Check Format"))</f>
        <v>Valid</v>
      </c>
      <c r="W809" t="str">
        <f>IF(OR(E809="",F809=""),"Missing Date/Time",IFERROR(IF(F809&gt;E809,"Arrival After Appointment","OK"),"Check Format"))</f>
        <v>OK</v>
      </c>
      <c r="X809" t="str">
        <f>IF(OR(F809="",G809=""),"Missing Date/Time",IFERROR(IF(G809&lt;F809,"Discharge Before Arrival","OK"),"Check Format"))</f>
        <v>OK</v>
      </c>
    </row>
    <row r="810" spans="1:24" x14ac:dyDescent="0.25">
      <c r="A810" s="2" t="s">
        <v>1377</v>
      </c>
      <c r="B810" s="2" t="s">
        <v>60</v>
      </c>
      <c r="C810" s="3" t="s">
        <v>46</v>
      </c>
      <c r="D810" s="3" t="s">
        <v>66</v>
      </c>
      <c r="E810" s="4">
        <v>45698.482638888891</v>
      </c>
      <c r="F810" s="4">
        <v>45698.474999999999</v>
      </c>
      <c r="G810" s="4">
        <v>45698.57916666667</v>
      </c>
      <c r="I810" s="3" t="s">
        <v>95</v>
      </c>
      <c r="J810" s="3" t="s">
        <v>171</v>
      </c>
      <c r="K810" s="5">
        <v>89</v>
      </c>
      <c r="L810" s="5">
        <v>50</v>
      </c>
      <c r="N810" t="s">
        <v>100</v>
      </c>
      <c r="P810" s="3" t="s">
        <v>25</v>
      </c>
      <c r="Q810" s="2">
        <v>0</v>
      </c>
      <c r="R810" s="3" t="s">
        <v>26</v>
      </c>
      <c r="S810">
        <f>COUNTIF(A:A,A810)</f>
        <v>1</v>
      </c>
      <c r="T810" t="str">
        <f>IF(OR(H810="",LOWER(TRIM(H810&amp;""))="missing",LOWER(TRIM(H810&amp;""))=""),"Missing/",IFERROR(IF(OR(VALUE(H810)&lt;0,VALUE(H810)&gt;110),"Invalid","Valid"),"Check Format"))</f>
        <v>Missing/</v>
      </c>
      <c r="U810" t="str">
        <f>IF(Raw_Data[[#This Row],[Age_Check]]="Valid",H810,"")</f>
        <v/>
      </c>
      <c r="V810" t="str">
        <f>IF(OR(K810="",UPPER(TRIM(K810&amp;""))="",LOWER(TRIM(K810&amp;""))="",LOWER(TRIM(K810&amp;""))="",LOWER(TRIM(K810&amp;""))="missing"),"Missing/",IFERROR(IF(VALUE(K810)&lt;0,"Invalid","Valid"),"Check Format"))</f>
        <v>Valid</v>
      </c>
      <c r="W810" t="str">
        <f>IF(OR(E810="",F810=""),"Missing Date/Time",IFERROR(IF(F810&gt;E810,"Arrival After Appointment","OK"),"Check Format"))</f>
        <v>OK</v>
      </c>
      <c r="X810" t="str">
        <f>IF(OR(F810="",G810=""),"Missing Date/Time",IFERROR(IF(G810&lt;F810,"Discharge Before Arrival","OK"),"Check Format"))</f>
        <v>OK</v>
      </c>
    </row>
    <row r="811" spans="1:24" x14ac:dyDescent="0.25">
      <c r="A811" s="2" t="s">
        <v>1378</v>
      </c>
      <c r="B811" s="2" t="s">
        <v>232</v>
      </c>
      <c r="C811" s="3" t="s">
        <v>46</v>
      </c>
      <c r="D811" s="3" t="s">
        <v>209</v>
      </c>
      <c r="E811" s="4">
        <v>45660.347222222219</v>
      </c>
      <c r="F811" s="4">
        <v>45717.338194444441</v>
      </c>
      <c r="G811" s="4">
        <v>45717.368055555555</v>
      </c>
      <c r="H811" s="5">
        <v>58</v>
      </c>
      <c r="I811" s="3" t="s">
        <v>95</v>
      </c>
      <c r="J811" s="3" t="s">
        <v>150</v>
      </c>
      <c r="K811" s="5">
        <v>25</v>
      </c>
      <c r="L811" s="5">
        <v>5</v>
      </c>
      <c r="M811" s="3" t="s">
        <v>87</v>
      </c>
      <c r="O811" s="5">
        <v>6</v>
      </c>
      <c r="Q811" s="2">
        <v>93</v>
      </c>
      <c r="R811" s="3" t="s">
        <v>43</v>
      </c>
      <c r="S811">
        <f>COUNTIF(A:A,A811)</f>
        <v>1</v>
      </c>
      <c r="T811" t="str">
        <f>IF(OR(H811="",LOWER(TRIM(H811&amp;""))="missing",LOWER(TRIM(H811&amp;""))=""),"Missing/",IFERROR(IF(OR(VALUE(H811)&lt;0,VALUE(H811)&gt;110),"Invalid","Valid"),"Check Format"))</f>
        <v>Valid</v>
      </c>
      <c r="U811">
        <f>IF(Raw_Data[[#This Row],[Age_Check]]="Valid",H811,"")</f>
        <v>58</v>
      </c>
      <c r="V811" t="str">
        <f>IF(OR(K811="",UPPER(TRIM(K811&amp;""))="",LOWER(TRIM(K811&amp;""))="",LOWER(TRIM(K811&amp;""))="",LOWER(TRIM(K811&amp;""))="missing"),"Missing/",IFERROR(IF(VALUE(K811)&lt;0,"Invalid","Valid"),"Check Format"))</f>
        <v>Valid</v>
      </c>
      <c r="W811" t="str">
        <f>IF(OR(E811="",F811=""),"Missing Date/Time",IFERROR(IF(F811&gt;E811,"Arrival After Appointment","OK"),"Check Format"))</f>
        <v>Arrival After Appointment</v>
      </c>
      <c r="X811" t="str">
        <f>IF(OR(F811="",G811=""),"Missing Date/Time",IFERROR(IF(G811&lt;F811,"Discharge Before Arrival","OK"),"Check Format"))</f>
        <v>OK</v>
      </c>
    </row>
    <row r="812" spans="1:24" x14ac:dyDescent="0.25">
      <c r="A812" s="2" t="s">
        <v>1379</v>
      </c>
      <c r="B812" s="2" t="s">
        <v>537</v>
      </c>
      <c r="C812" s="3" t="s">
        <v>29</v>
      </c>
      <c r="D812" s="3" t="s">
        <v>61</v>
      </c>
      <c r="E812" s="4" t="s">
        <v>1380</v>
      </c>
      <c r="F812" s="4">
        <v>45854.572222222225</v>
      </c>
      <c r="G812" s="4">
        <v>45854.628472222219</v>
      </c>
      <c r="H812" s="5">
        <v>145</v>
      </c>
      <c r="I812" s="3" t="s">
        <v>73</v>
      </c>
      <c r="K812" s="5">
        <v>55</v>
      </c>
      <c r="L812" s="5">
        <v>5</v>
      </c>
      <c r="M812" s="3" t="s">
        <v>63</v>
      </c>
      <c r="N812" t="s">
        <v>103</v>
      </c>
      <c r="O812" s="5">
        <v>4</v>
      </c>
      <c r="P812" s="3" t="s">
        <v>80</v>
      </c>
      <c r="Q812" s="2">
        <v>71.25</v>
      </c>
      <c r="R812" s="3" t="s">
        <v>43</v>
      </c>
      <c r="S812">
        <f>COUNTIF(A:A,A812)</f>
        <v>1</v>
      </c>
      <c r="T812" t="str">
        <f>IF(OR(H812="",LOWER(TRIM(H812&amp;""))="missing",LOWER(TRIM(H812&amp;""))=""),"Missing/",IFERROR(IF(OR(VALUE(H812)&lt;0,VALUE(H812)&gt;110),"Invalid","Valid"),"Check Format"))</f>
        <v>Invalid</v>
      </c>
      <c r="U812" t="str">
        <f>IF(Raw_Data[[#This Row],[Age_Check]]="Valid",H812,"")</f>
        <v/>
      </c>
      <c r="V812" t="str">
        <f>IF(OR(K812="",UPPER(TRIM(K812&amp;""))="",LOWER(TRIM(K812&amp;""))="",LOWER(TRIM(K812&amp;""))="",LOWER(TRIM(K812&amp;""))="missing"),"Missing/",IFERROR(IF(VALUE(K812)&lt;0,"Invalid","Valid"),"Check Format"))</f>
        <v>Valid</v>
      </c>
      <c r="W812" t="str">
        <f>IF(OR(E812="",F812=""),"Missing Date/Time",IFERROR(IF(F812&gt;E812,"Arrival After Appointment","OK"),"Check Format"))</f>
        <v>OK</v>
      </c>
      <c r="X812" t="str">
        <f>IF(OR(F812="",G812=""),"Missing Date/Time",IFERROR(IF(G812&lt;F812,"Discharge Before Arrival","OK"),"Check Format"))</f>
        <v>OK</v>
      </c>
    </row>
    <row r="813" spans="1:24" x14ac:dyDescent="0.25">
      <c r="A813" s="2" t="s">
        <v>1381</v>
      </c>
      <c r="B813" s="2" t="s">
        <v>467</v>
      </c>
      <c r="D813" s="3" t="s">
        <v>209</v>
      </c>
      <c r="E813" s="4">
        <v>46000.645833333336</v>
      </c>
      <c r="F813" s="4">
        <v>46000.633333333331</v>
      </c>
      <c r="G813" s="4">
        <v>46000.685416666667</v>
      </c>
      <c r="I813" s="3" t="s">
        <v>73</v>
      </c>
      <c r="J813" s="3" t="s">
        <v>150</v>
      </c>
      <c r="K813" s="5">
        <v>22</v>
      </c>
      <c r="L813" s="5">
        <v>35</v>
      </c>
      <c r="M813" s="3" t="s">
        <v>50</v>
      </c>
      <c r="N813" t="s">
        <v>24</v>
      </c>
      <c r="P813" s="3" t="s">
        <v>25</v>
      </c>
      <c r="Q813" s="2">
        <v>150.55000000000001</v>
      </c>
      <c r="R813" s="3" t="s">
        <v>58</v>
      </c>
      <c r="S813">
        <f>COUNTIF(A:A,A813)</f>
        <v>1</v>
      </c>
      <c r="T813" t="str">
        <f>IF(OR(H813="",LOWER(TRIM(H813&amp;""))="missing",LOWER(TRIM(H813&amp;""))=""),"Missing/",IFERROR(IF(OR(VALUE(H813)&lt;0,VALUE(H813)&gt;110),"Invalid","Valid"),"Check Format"))</f>
        <v>Missing/</v>
      </c>
      <c r="U813" t="str">
        <f>IF(Raw_Data[[#This Row],[Age_Check]]="Valid",H813,"")</f>
        <v/>
      </c>
      <c r="V813" t="str">
        <f>IF(OR(K813="",UPPER(TRIM(K813&amp;""))="",LOWER(TRIM(K813&amp;""))="",LOWER(TRIM(K813&amp;""))="",LOWER(TRIM(K813&amp;""))="missing"),"Missing/",IFERROR(IF(VALUE(K813)&lt;0,"Invalid","Valid"),"Check Format"))</f>
        <v>Valid</v>
      </c>
      <c r="W813" t="str">
        <f>IF(OR(E813="",F813=""),"Missing Date/Time",IFERROR(IF(F813&gt;E813,"Arrival After Appointment","OK"),"Check Format"))</f>
        <v>OK</v>
      </c>
      <c r="X813" t="str">
        <f>IF(OR(F813="",G813=""),"Missing Date/Time",IFERROR(IF(G813&lt;F813,"Discharge Before Arrival","OK"),"Check Format"))</f>
        <v>OK</v>
      </c>
    </row>
    <row r="814" spans="1:24" x14ac:dyDescent="0.25">
      <c r="A814" s="2" t="s">
        <v>1382</v>
      </c>
      <c r="B814" s="2" t="s">
        <v>127</v>
      </c>
      <c r="C814" s="3" t="s">
        <v>46</v>
      </c>
      <c r="D814" s="3" t="s">
        <v>23</v>
      </c>
      <c r="E814" s="4">
        <v>45418.611111111109</v>
      </c>
      <c r="G814" s="4">
        <v>45448.657638888886</v>
      </c>
      <c r="H814" s="5">
        <v>87</v>
      </c>
      <c r="I814" s="3" t="s">
        <v>95</v>
      </c>
      <c r="J814" s="3" t="s">
        <v>62</v>
      </c>
      <c r="K814" s="5">
        <v>32</v>
      </c>
      <c r="L814" s="5">
        <v>35</v>
      </c>
      <c r="M814" s="3" t="s">
        <v>23</v>
      </c>
      <c r="N814" t="s">
        <v>103</v>
      </c>
      <c r="O814" s="5">
        <v>0</v>
      </c>
      <c r="P814" s="3" t="s">
        <v>42</v>
      </c>
      <c r="Q814" s="2">
        <v>101.27</v>
      </c>
      <c r="R814" s="3" t="s">
        <v>43</v>
      </c>
      <c r="S814">
        <f>COUNTIF(A:A,A814)</f>
        <v>1</v>
      </c>
      <c r="T814" t="str">
        <f>IF(OR(H814="",LOWER(TRIM(H814&amp;""))="missing",LOWER(TRIM(H814&amp;""))=""),"Missing/",IFERROR(IF(OR(VALUE(H814)&lt;0,VALUE(H814)&gt;110),"Invalid","Valid"),"Check Format"))</f>
        <v>Valid</v>
      </c>
      <c r="U814">
        <f>IF(Raw_Data[[#This Row],[Age_Check]]="Valid",H814,"")</f>
        <v>87</v>
      </c>
      <c r="V814" t="str">
        <f>IF(OR(K814="",UPPER(TRIM(K814&amp;""))="",LOWER(TRIM(K814&amp;""))="",LOWER(TRIM(K814&amp;""))="",LOWER(TRIM(K814&amp;""))="missing"),"Missing/",IFERROR(IF(VALUE(K814)&lt;0,"Invalid","Valid"),"Check Format"))</f>
        <v>Valid</v>
      </c>
      <c r="W814" t="str">
        <f>IF(OR(E814="",F814=""),"Missing Date/Time",IFERROR(IF(F814&gt;E814,"Arrival After Appointment","OK"),"Check Format"))</f>
        <v>Missing Date/Time</v>
      </c>
      <c r="X814" t="str">
        <f>IF(OR(F814="",G814=""),"Missing Date/Time",IFERROR(IF(G814&lt;F814,"Discharge Before Arrival","OK"),"Check Format"))</f>
        <v>Missing Date/Time</v>
      </c>
    </row>
    <row r="815" spans="1:24" x14ac:dyDescent="0.25">
      <c r="A815" s="2" t="s">
        <v>1383</v>
      </c>
      <c r="B815" s="2" t="s">
        <v>554</v>
      </c>
      <c r="C815" s="3" t="s">
        <v>19</v>
      </c>
      <c r="D815" s="3" t="s">
        <v>38</v>
      </c>
      <c r="E815" s="4">
        <v>45879.753472222219</v>
      </c>
      <c r="F815" s="4">
        <v>45879.75</v>
      </c>
      <c r="G815" s="4">
        <v>45879.829861111109</v>
      </c>
      <c r="H815" s="5">
        <v>15</v>
      </c>
      <c r="I815" s="3" t="s">
        <v>95</v>
      </c>
      <c r="J815" s="3" t="s">
        <v>2639</v>
      </c>
      <c r="K815" s="5">
        <v>48</v>
      </c>
      <c r="L815" s="5">
        <v>62</v>
      </c>
      <c r="M815" s="3" t="s">
        <v>41</v>
      </c>
      <c r="N815" t="s">
        <v>91</v>
      </c>
      <c r="O815" s="5">
        <v>0</v>
      </c>
      <c r="P815" s="3" t="s">
        <v>80</v>
      </c>
      <c r="Q815" s="2">
        <v>252.24</v>
      </c>
      <c r="R815" s="3" t="s">
        <v>58</v>
      </c>
      <c r="S815">
        <f>COUNTIF(A:A,A815)</f>
        <v>1</v>
      </c>
      <c r="T815" t="str">
        <f>IF(OR(H815="",LOWER(TRIM(H815&amp;""))="missing",LOWER(TRIM(H815&amp;""))=""),"Missing/",IFERROR(IF(OR(VALUE(H815)&lt;0,VALUE(H815)&gt;110),"Invalid","Valid"),"Check Format"))</f>
        <v>Valid</v>
      </c>
      <c r="U815">
        <f>IF(Raw_Data[[#This Row],[Age_Check]]="Valid",H815,"")</f>
        <v>15</v>
      </c>
      <c r="V815" t="str">
        <f>IF(OR(K815="",UPPER(TRIM(K815&amp;""))="",LOWER(TRIM(K815&amp;""))="",LOWER(TRIM(K815&amp;""))="",LOWER(TRIM(K815&amp;""))="missing"),"Missing/",IFERROR(IF(VALUE(K815)&lt;0,"Invalid","Valid"),"Check Format"))</f>
        <v>Valid</v>
      </c>
      <c r="W815" t="str">
        <f>IF(OR(E815="",F815=""),"Missing Date/Time",IFERROR(IF(F815&gt;E815,"Arrival After Appointment","OK"),"Check Format"))</f>
        <v>OK</v>
      </c>
      <c r="X815" t="str">
        <f>IF(OR(F815="",G815=""),"Missing Date/Time",IFERROR(IF(G815&lt;F815,"Discharge Before Arrival","OK"),"Check Format"))</f>
        <v>OK</v>
      </c>
    </row>
    <row r="816" spans="1:24" x14ac:dyDescent="0.25">
      <c r="A816" s="2" t="s">
        <v>1384</v>
      </c>
      <c r="B816" s="2" t="s">
        <v>1363</v>
      </c>
      <c r="C816" s="3" t="s">
        <v>37</v>
      </c>
      <c r="D816" s="3" t="s">
        <v>99</v>
      </c>
      <c r="E816" s="4">
        <v>45966.434027777781</v>
      </c>
      <c r="F816" s="4">
        <v>45788.431250000001</v>
      </c>
      <c r="G816" s="4">
        <v>45788.474305555559</v>
      </c>
      <c r="I816" s="3" t="s">
        <v>73</v>
      </c>
      <c r="J816" s="3" t="s">
        <v>171</v>
      </c>
      <c r="K816" s="5">
        <v>12</v>
      </c>
      <c r="L816" s="5">
        <v>46</v>
      </c>
      <c r="M816" s="3" t="s">
        <v>50</v>
      </c>
      <c r="O816" s="5">
        <v>5</v>
      </c>
      <c r="P816" s="3" t="s">
        <v>25</v>
      </c>
      <c r="Q816" s="2">
        <v>209.91</v>
      </c>
      <c r="R816" s="3" t="s">
        <v>58</v>
      </c>
      <c r="S816">
        <f>COUNTIF(A:A,A816)</f>
        <v>1</v>
      </c>
      <c r="T816" t="str">
        <f>IF(OR(H816="",LOWER(TRIM(H816&amp;""))="missing",LOWER(TRIM(H816&amp;""))=""),"Missing/",IFERROR(IF(OR(VALUE(H816)&lt;0,VALUE(H816)&gt;110),"Invalid","Valid"),"Check Format"))</f>
        <v>Missing/</v>
      </c>
      <c r="U816" t="str">
        <f>IF(Raw_Data[[#This Row],[Age_Check]]="Valid",H816,"")</f>
        <v/>
      </c>
      <c r="V816" t="str">
        <f>IF(OR(K816="",UPPER(TRIM(K816&amp;""))="",LOWER(TRIM(K816&amp;""))="",LOWER(TRIM(K816&amp;""))="",LOWER(TRIM(K816&amp;""))="missing"),"Missing/",IFERROR(IF(VALUE(K816)&lt;0,"Invalid","Valid"),"Check Format"))</f>
        <v>Valid</v>
      </c>
      <c r="W816" t="str">
        <f>IF(OR(E816="",F816=""),"Missing Date/Time",IFERROR(IF(F816&gt;E816,"Arrival After Appointment","OK"),"Check Format"))</f>
        <v>OK</v>
      </c>
      <c r="X816" t="str">
        <f>IF(OR(F816="",G816=""),"Missing Date/Time",IFERROR(IF(G816&lt;F816,"Discharge Before Arrival","OK"),"Check Format"))</f>
        <v>OK</v>
      </c>
    </row>
    <row r="817" spans="1:24" x14ac:dyDescent="0.25">
      <c r="A817" s="2" t="s">
        <v>1385</v>
      </c>
      <c r="B817" s="2" t="s">
        <v>1386</v>
      </c>
      <c r="C817" s="3" t="s">
        <v>29</v>
      </c>
      <c r="D817" s="3" t="s">
        <v>20</v>
      </c>
      <c r="E817" s="4">
        <v>45519.510416666664</v>
      </c>
      <c r="F817" s="4">
        <v>45519.5</v>
      </c>
      <c r="G817" s="4">
        <v>45519.554166666669</v>
      </c>
      <c r="I817" s="3" t="s">
        <v>95</v>
      </c>
      <c r="J817" s="3" t="s">
        <v>171</v>
      </c>
      <c r="K817" s="5">
        <v>17</v>
      </c>
      <c r="L817" s="5">
        <v>46</v>
      </c>
      <c r="M817" s="3" t="s">
        <v>68</v>
      </c>
      <c r="N817" t="s">
        <v>69</v>
      </c>
      <c r="O817" s="5">
        <v>5</v>
      </c>
      <c r="Q817" s="2">
        <v>268.02999999999997</v>
      </c>
      <c r="R817" s="3" t="s">
        <v>43</v>
      </c>
      <c r="S817">
        <f>COUNTIF(A:A,A817)</f>
        <v>1</v>
      </c>
      <c r="T817" t="str">
        <f>IF(OR(H817="",LOWER(TRIM(H817&amp;""))="missing",LOWER(TRIM(H817&amp;""))=""),"Missing/",IFERROR(IF(OR(VALUE(H817)&lt;0,VALUE(H817)&gt;110),"Invalid","Valid"),"Check Format"))</f>
        <v>Missing/</v>
      </c>
      <c r="U817" t="str">
        <f>IF(Raw_Data[[#This Row],[Age_Check]]="Valid",H817,"")</f>
        <v/>
      </c>
      <c r="V817" t="str">
        <f>IF(OR(K817="",UPPER(TRIM(K817&amp;""))="",LOWER(TRIM(K817&amp;""))="",LOWER(TRIM(K817&amp;""))="",LOWER(TRIM(K817&amp;""))="missing"),"Missing/",IFERROR(IF(VALUE(K817)&lt;0,"Invalid","Valid"),"Check Format"))</f>
        <v>Valid</v>
      </c>
      <c r="W817" t="str">
        <f>IF(OR(E817="",F817=""),"Missing Date/Time",IFERROR(IF(F817&gt;E817,"Arrival After Appointment","OK"),"Check Format"))</f>
        <v>OK</v>
      </c>
      <c r="X817" t="str">
        <f>IF(OR(F817="",G817=""),"Missing Date/Time",IFERROR(IF(G817&lt;F817,"Discharge Before Arrival","OK"),"Check Format"))</f>
        <v>OK</v>
      </c>
    </row>
    <row r="818" spans="1:24" x14ac:dyDescent="0.25">
      <c r="A818" s="2" t="s">
        <v>1387</v>
      </c>
      <c r="B818" s="2" t="s">
        <v>588</v>
      </c>
      <c r="C818" s="3" t="s">
        <v>37</v>
      </c>
      <c r="D818" s="3" t="s">
        <v>72</v>
      </c>
      <c r="E818" s="4">
        <v>45306.586805555555</v>
      </c>
      <c r="F818" s="4">
        <v>45306.574999999997</v>
      </c>
      <c r="G818" s="4">
        <v>45306.609722222223</v>
      </c>
      <c r="I818" s="3" t="s">
        <v>73</v>
      </c>
      <c r="J818" s="3" t="s">
        <v>171</v>
      </c>
      <c r="K818" s="5">
        <v>18</v>
      </c>
      <c r="L818" s="5">
        <v>15</v>
      </c>
      <c r="M818" s="3" t="s">
        <v>32</v>
      </c>
      <c r="N818" t="s">
        <v>69</v>
      </c>
      <c r="Q818" s="2">
        <v>226.41</v>
      </c>
      <c r="R818" s="3" t="s">
        <v>43</v>
      </c>
      <c r="S818">
        <f>COUNTIF(A:A,A818)</f>
        <v>1</v>
      </c>
      <c r="T818" t="str">
        <f>IF(OR(H818="",LOWER(TRIM(H818&amp;""))="missing",LOWER(TRIM(H818&amp;""))=""),"Missing/",IFERROR(IF(OR(VALUE(H818)&lt;0,VALUE(H818)&gt;110),"Invalid","Valid"),"Check Format"))</f>
        <v>Missing/</v>
      </c>
      <c r="U818" t="str">
        <f>IF(Raw_Data[[#This Row],[Age_Check]]="Valid",H818,"")</f>
        <v/>
      </c>
      <c r="V818" t="str">
        <f>IF(OR(K818="",UPPER(TRIM(K818&amp;""))="",LOWER(TRIM(K818&amp;""))="",LOWER(TRIM(K818&amp;""))="",LOWER(TRIM(K818&amp;""))="missing"),"Missing/",IFERROR(IF(VALUE(K818)&lt;0,"Invalid","Valid"),"Check Format"))</f>
        <v>Valid</v>
      </c>
      <c r="W818" t="str">
        <f>IF(OR(E818="",F818=""),"Missing Date/Time",IFERROR(IF(F818&gt;E818,"Arrival After Appointment","OK"),"Check Format"))</f>
        <v>OK</v>
      </c>
      <c r="X818" t="str">
        <f>IF(OR(F818="",G818=""),"Missing Date/Time",IFERROR(IF(G818&lt;F818,"Discharge Before Arrival","OK"),"Check Format"))</f>
        <v>OK</v>
      </c>
    </row>
    <row r="819" spans="1:24" x14ac:dyDescent="0.25">
      <c r="A819" s="2" t="s">
        <v>1388</v>
      </c>
      <c r="B819" s="2" t="s">
        <v>1002</v>
      </c>
      <c r="C819" s="3" t="s">
        <v>46</v>
      </c>
      <c r="D819" s="3" t="s">
        <v>55</v>
      </c>
      <c r="E819" s="4">
        <v>45506.454861111109</v>
      </c>
      <c r="F819" s="4">
        <v>45506.438194444447</v>
      </c>
      <c r="G819" s="4">
        <v>45506.529861111114</v>
      </c>
      <c r="J819" s="3" t="s">
        <v>171</v>
      </c>
      <c r="K819" s="5">
        <v>67</v>
      </c>
      <c r="L819" s="5">
        <v>41</v>
      </c>
      <c r="M819" s="3" t="s">
        <v>68</v>
      </c>
      <c r="N819" t="s">
        <v>69</v>
      </c>
      <c r="O819" s="5">
        <v>0</v>
      </c>
      <c r="P819" s="3" t="s">
        <v>25</v>
      </c>
      <c r="Q819" s="2">
        <v>172.25</v>
      </c>
      <c r="R819" s="3" t="s">
        <v>26</v>
      </c>
      <c r="S819">
        <f>COUNTIF(A:A,A819)</f>
        <v>1</v>
      </c>
      <c r="T819" t="str">
        <f>IF(OR(H819="",LOWER(TRIM(H819&amp;""))="missing",LOWER(TRIM(H819&amp;""))=""),"Missing/",IFERROR(IF(OR(VALUE(H819)&lt;0,VALUE(H819)&gt;110),"Invalid","Valid"),"Check Format"))</f>
        <v>Missing/</v>
      </c>
      <c r="U819" t="str">
        <f>IF(Raw_Data[[#This Row],[Age_Check]]="Valid",H819,"")</f>
        <v/>
      </c>
      <c r="V819" t="str">
        <f>IF(OR(K819="",UPPER(TRIM(K819&amp;""))="",LOWER(TRIM(K819&amp;""))="",LOWER(TRIM(K819&amp;""))="",LOWER(TRIM(K819&amp;""))="missing"),"Missing/",IFERROR(IF(VALUE(K819)&lt;0,"Invalid","Valid"),"Check Format"))</f>
        <v>Valid</v>
      </c>
      <c r="W819" t="str">
        <f>IF(OR(E819="",F819=""),"Missing Date/Time",IFERROR(IF(F819&gt;E819,"Arrival After Appointment","OK"),"Check Format"))</f>
        <v>OK</v>
      </c>
      <c r="X819" t="str">
        <f>IF(OR(F819="",G819=""),"Missing Date/Time",IFERROR(IF(G819&lt;F819,"Discharge Before Arrival","OK"),"Check Format"))</f>
        <v>OK</v>
      </c>
    </row>
    <row r="820" spans="1:24" x14ac:dyDescent="0.25">
      <c r="A820" s="2" t="s">
        <v>1389</v>
      </c>
      <c r="B820" s="2" t="s">
        <v>36</v>
      </c>
      <c r="C820" s="3" t="s">
        <v>19</v>
      </c>
      <c r="D820" s="3" t="s">
        <v>106</v>
      </c>
      <c r="E820" s="4">
        <v>45342.552083333336</v>
      </c>
      <c r="F820" s="4">
        <v>45342.546527777777</v>
      </c>
      <c r="G820" s="4">
        <v>45342.606944444444</v>
      </c>
      <c r="H820" s="5">
        <v>62</v>
      </c>
      <c r="I820" s="3" t="s">
        <v>73</v>
      </c>
      <c r="J820" s="3" t="s">
        <v>62</v>
      </c>
      <c r="K820" s="5">
        <v>71</v>
      </c>
      <c r="L820" s="5">
        <v>8</v>
      </c>
      <c r="M820" s="3" t="s">
        <v>87</v>
      </c>
      <c r="N820" t="s">
        <v>24</v>
      </c>
      <c r="O820" s="5">
        <v>6</v>
      </c>
      <c r="P820" s="3" t="s">
        <v>25</v>
      </c>
      <c r="Q820" s="2">
        <v>228.79</v>
      </c>
      <c r="R820" s="3" t="s">
        <v>26</v>
      </c>
      <c r="S820">
        <f>COUNTIF(A:A,A820)</f>
        <v>1</v>
      </c>
      <c r="T820" t="str">
        <f>IF(OR(H820="",LOWER(TRIM(H820&amp;""))="missing",LOWER(TRIM(H820&amp;""))=""),"Missing/",IFERROR(IF(OR(VALUE(H820)&lt;0,VALUE(H820)&gt;110),"Invalid","Valid"),"Check Format"))</f>
        <v>Valid</v>
      </c>
      <c r="U820">
        <f>IF(Raw_Data[[#This Row],[Age_Check]]="Valid",H820,"")</f>
        <v>62</v>
      </c>
      <c r="V820" t="str">
        <f>IF(OR(K820="",UPPER(TRIM(K820&amp;""))="",LOWER(TRIM(K820&amp;""))="",LOWER(TRIM(K820&amp;""))="",LOWER(TRIM(K820&amp;""))="missing"),"Missing/",IFERROR(IF(VALUE(K820)&lt;0,"Invalid","Valid"),"Check Format"))</f>
        <v>Valid</v>
      </c>
      <c r="W820" t="str">
        <f>IF(OR(E820="",F820=""),"Missing Date/Time",IFERROR(IF(F820&gt;E820,"Arrival After Appointment","OK"),"Check Format"))</f>
        <v>OK</v>
      </c>
      <c r="X820" t="str">
        <f>IF(OR(F820="",G820=""),"Missing Date/Time",IFERROR(IF(G820&lt;F820,"Discharge Before Arrival","OK"),"Check Format"))</f>
        <v>OK</v>
      </c>
    </row>
    <row r="821" spans="1:24" x14ac:dyDescent="0.25">
      <c r="A821" s="2" t="s">
        <v>1390</v>
      </c>
      <c r="B821" s="2" t="s">
        <v>182</v>
      </c>
      <c r="C821" s="3" t="s">
        <v>46</v>
      </c>
      <c r="D821" s="3" t="s">
        <v>47</v>
      </c>
      <c r="E821" s="4">
        <v>45517.548611111109</v>
      </c>
      <c r="F821" s="4">
        <v>45517.543749999997</v>
      </c>
      <c r="G821" s="4">
        <v>45517.635416666664</v>
      </c>
      <c r="I821" s="3" t="s">
        <v>39</v>
      </c>
      <c r="J821" s="3" t="s">
        <v>67</v>
      </c>
      <c r="K821" s="5">
        <v>98</v>
      </c>
      <c r="L821" s="5">
        <v>27</v>
      </c>
      <c r="N821" t="s">
        <v>100</v>
      </c>
      <c r="O821" s="5">
        <v>0</v>
      </c>
      <c r="P821" s="3" t="s">
        <v>25</v>
      </c>
      <c r="Q821" s="2">
        <v>141.52000000000001</v>
      </c>
      <c r="R821" s="3" t="s">
        <v>75</v>
      </c>
      <c r="S821">
        <f>COUNTIF(A:A,A821)</f>
        <v>1</v>
      </c>
      <c r="T821" t="str">
        <f>IF(OR(H821="",LOWER(TRIM(H821&amp;""))="missing",LOWER(TRIM(H821&amp;""))=""),"Missing/",IFERROR(IF(OR(VALUE(H821)&lt;0,VALUE(H821)&gt;110),"Invalid","Valid"),"Check Format"))</f>
        <v>Missing/</v>
      </c>
      <c r="U821" t="str">
        <f>IF(Raw_Data[[#This Row],[Age_Check]]="Valid",H821,"")</f>
        <v/>
      </c>
      <c r="V821" t="str">
        <f>IF(OR(K821="",UPPER(TRIM(K821&amp;""))="",LOWER(TRIM(K821&amp;""))="",LOWER(TRIM(K821&amp;""))="",LOWER(TRIM(K821&amp;""))="missing"),"Missing/",IFERROR(IF(VALUE(K821)&lt;0,"Invalid","Valid"),"Check Format"))</f>
        <v>Valid</v>
      </c>
      <c r="W821" t="str">
        <f>IF(OR(E821="",F821=""),"Missing Date/Time",IFERROR(IF(F821&gt;E821,"Arrival After Appointment","OK"),"Check Format"))</f>
        <v>OK</v>
      </c>
      <c r="X821" t="str">
        <f>IF(OR(F821="",G821=""),"Missing Date/Time",IFERROR(IF(G821&lt;F821,"Discharge Before Arrival","OK"),"Check Format"))</f>
        <v>OK</v>
      </c>
    </row>
    <row r="822" spans="1:24" x14ac:dyDescent="0.25">
      <c r="A822" s="2" t="s">
        <v>1391</v>
      </c>
      <c r="B822" s="2" t="s">
        <v>913</v>
      </c>
      <c r="C822" s="3" t="s">
        <v>29</v>
      </c>
      <c r="D822" s="3" t="s">
        <v>72</v>
      </c>
      <c r="E822" s="4">
        <v>45819.350694444445</v>
      </c>
      <c r="F822" s="4">
        <v>45967.345138888886</v>
      </c>
      <c r="H822" s="5">
        <v>145</v>
      </c>
      <c r="I822" s="3" t="s">
        <v>95</v>
      </c>
      <c r="J822" s="3" t="s">
        <v>62</v>
      </c>
      <c r="K822" s="5">
        <v>4</v>
      </c>
      <c r="L822" s="5">
        <v>41</v>
      </c>
      <c r="M822" s="3" t="s">
        <v>50</v>
      </c>
      <c r="O822" s="5">
        <v>6</v>
      </c>
      <c r="P822" s="3" t="s">
        <v>80</v>
      </c>
      <c r="Q822" s="2">
        <v>190.76</v>
      </c>
      <c r="R822" s="3" t="s">
        <v>43</v>
      </c>
      <c r="S822">
        <f>COUNTIF(A:A,A822)</f>
        <v>1</v>
      </c>
      <c r="T822" t="str">
        <f>IF(OR(H822="",LOWER(TRIM(H822&amp;""))="missing",LOWER(TRIM(H822&amp;""))=""),"Missing/",IFERROR(IF(OR(VALUE(H822)&lt;0,VALUE(H822)&gt;110),"Invalid","Valid"),"Check Format"))</f>
        <v>Invalid</v>
      </c>
      <c r="U822" t="str">
        <f>IF(Raw_Data[[#This Row],[Age_Check]]="Valid",H822,"")</f>
        <v/>
      </c>
      <c r="V822" t="str">
        <f>IF(OR(K822="",UPPER(TRIM(K822&amp;""))="",LOWER(TRIM(K822&amp;""))="",LOWER(TRIM(K822&amp;""))="",LOWER(TRIM(K822&amp;""))="missing"),"Missing/",IFERROR(IF(VALUE(K822)&lt;0,"Invalid","Valid"),"Check Format"))</f>
        <v>Valid</v>
      </c>
      <c r="W822" t="str">
        <f>IF(OR(E822="",F822=""),"Missing Date/Time",IFERROR(IF(F822&gt;E822,"Arrival After Appointment","OK"),"Check Format"))</f>
        <v>Arrival After Appointment</v>
      </c>
      <c r="X822" t="str">
        <f>IF(OR(F822="",G822=""),"Missing Date/Time",IFERROR(IF(G822&lt;F822,"Discharge Before Arrival","OK"),"Check Format"))</f>
        <v>Missing Date/Time</v>
      </c>
    </row>
    <row r="823" spans="1:24" x14ac:dyDescent="0.25">
      <c r="A823" s="2" t="s">
        <v>1392</v>
      </c>
      <c r="B823" s="2" t="s">
        <v>341</v>
      </c>
      <c r="D823" s="3" t="s">
        <v>55</v>
      </c>
      <c r="E823" s="4">
        <v>45310.465277777781</v>
      </c>
      <c r="F823" s="4">
        <v>45310.449305555558</v>
      </c>
      <c r="G823" s="4">
        <v>45310.539583333331</v>
      </c>
      <c r="H823" s="5">
        <v>19</v>
      </c>
      <c r="I823" s="3" t="s">
        <v>73</v>
      </c>
      <c r="J823" s="3" t="s">
        <v>67</v>
      </c>
      <c r="K823" s="5">
        <v>55</v>
      </c>
      <c r="L823" s="5">
        <v>52</v>
      </c>
      <c r="M823" s="3" t="s">
        <v>50</v>
      </c>
      <c r="N823" t="s">
        <v>69</v>
      </c>
      <c r="O823" s="5">
        <v>0</v>
      </c>
      <c r="P823" s="3" t="s">
        <v>25</v>
      </c>
      <c r="Q823" s="2">
        <v>118.27</v>
      </c>
      <c r="R823" s="3" t="s">
        <v>58</v>
      </c>
      <c r="S823">
        <f>COUNTIF(A:A,A823)</f>
        <v>1</v>
      </c>
      <c r="T823" t="str">
        <f>IF(OR(H823="",LOWER(TRIM(H823&amp;""))="missing",LOWER(TRIM(H823&amp;""))=""),"Missing/",IFERROR(IF(OR(VALUE(H823)&lt;0,VALUE(H823)&gt;110),"Invalid","Valid"),"Check Format"))</f>
        <v>Valid</v>
      </c>
      <c r="U823">
        <f>IF(Raw_Data[[#This Row],[Age_Check]]="Valid",H823,"")</f>
        <v>19</v>
      </c>
      <c r="V823" t="str">
        <f>IF(OR(K823="",UPPER(TRIM(K823&amp;""))="",LOWER(TRIM(K823&amp;""))="",LOWER(TRIM(K823&amp;""))="",LOWER(TRIM(K823&amp;""))="missing"),"Missing/",IFERROR(IF(VALUE(K823)&lt;0,"Invalid","Valid"),"Check Format"))</f>
        <v>Valid</v>
      </c>
      <c r="W823" t="str">
        <f>IF(OR(E823="",F823=""),"Missing Date/Time",IFERROR(IF(F823&gt;E823,"Arrival After Appointment","OK"),"Check Format"))</f>
        <v>OK</v>
      </c>
      <c r="X823" t="str">
        <f>IF(OR(F823="",G823=""),"Missing Date/Time",IFERROR(IF(G823&lt;F823,"Discharge Before Arrival","OK"),"Check Format"))</f>
        <v>OK</v>
      </c>
    </row>
    <row r="824" spans="1:24" x14ac:dyDescent="0.25">
      <c r="A824" s="2" t="s">
        <v>1393</v>
      </c>
      <c r="B824" s="2" t="s">
        <v>1394</v>
      </c>
      <c r="C824" s="3" t="s">
        <v>94</v>
      </c>
      <c r="D824" s="3" t="s">
        <v>174</v>
      </c>
      <c r="E824" s="4">
        <v>45512.340277777781</v>
      </c>
      <c r="F824" s="4">
        <v>45512.326388888891</v>
      </c>
      <c r="G824" s="4">
        <v>45512.402777777781</v>
      </c>
      <c r="J824" s="3" t="s">
        <v>67</v>
      </c>
      <c r="K824" s="5">
        <v>77</v>
      </c>
      <c r="L824" s="5">
        <v>13</v>
      </c>
      <c r="M824" s="3" t="s">
        <v>32</v>
      </c>
      <c r="O824" s="5">
        <v>3</v>
      </c>
      <c r="Q824" s="2">
        <v>143.12</v>
      </c>
      <c r="R824" s="3" t="s">
        <v>43</v>
      </c>
      <c r="S824">
        <f>COUNTIF(A:A,A824)</f>
        <v>1</v>
      </c>
      <c r="T824" t="str">
        <f>IF(OR(H824="",LOWER(TRIM(H824&amp;""))="missing",LOWER(TRIM(H824&amp;""))=""),"Missing/",IFERROR(IF(OR(VALUE(H824)&lt;0,VALUE(H824)&gt;110),"Invalid","Valid"),"Check Format"))</f>
        <v>Missing/</v>
      </c>
      <c r="U824" t="str">
        <f>IF(Raw_Data[[#This Row],[Age_Check]]="Valid",H824,"")</f>
        <v/>
      </c>
      <c r="V824" t="str">
        <f>IF(OR(K824="",UPPER(TRIM(K824&amp;""))="",LOWER(TRIM(K824&amp;""))="",LOWER(TRIM(K824&amp;""))="",LOWER(TRIM(K824&amp;""))="missing"),"Missing/",IFERROR(IF(VALUE(K824)&lt;0,"Invalid","Valid"),"Check Format"))</f>
        <v>Valid</v>
      </c>
      <c r="W824" t="str">
        <f>IF(OR(E824="",F824=""),"Missing Date/Time",IFERROR(IF(F824&gt;E824,"Arrival After Appointment","OK"),"Check Format"))</f>
        <v>OK</v>
      </c>
      <c r="X824" t="str">
        <f>IF(OR(F824="",G824=""),"Missing Date/Time",IFERROR(IF(G824&lt;F824,"Discharge Before Arrival","OK"),"Check Format"))</f>
        <v>OK</v>
      </c>
    </row>
    <row r="825" spans="1:24" x14ac:dyDescent="0.25">
      <c r="A825" s="2" t="s">
        <v>1395</v>
      </c>
      <c r="B825" s="2" t="s">
        <v>331</v>
      </c>
      <c r="C825" s="3" t="s">
        <v>94</v>
      </c>
      <c r="D825" s="3" t="s">
        <v>66</v>
      </c>
      <c r="E825" s="4">
        <v>46007.763888888891</v>
      </c>
      <c r="F825" s="4">
        <v>46007.759722222225</v>
      </c>
      <c r="J825" s="3" t="s">
        <v>2639</v>
      </c>
      <c r="K825" s="5">
        <v>51</v>
      </c>
      <c r="L825" s="5">
        <v>36</v>
      </c>
      <c r="M825" s="3" t="s">
        <v>41</v>
      </c>
      <c r="N825" t="s">
        <v>69</v>
      </c>
      <c r="O825" s="5">
        <v>1</v>
      </c>
      <c r="P825" s="3" t="s">
        <v>25</v>
      </c>
      <c r="Q825" s="2">
        <v>115.44</v>
      </c>
      <c r="R825" s="3" t="s">
        <v>26</v>
      </c>
      <c r="S825">
        <f>COUNTIF(A:A,A825)</f>
        <v>1</v>
      </c>
      <c r="T825" t="str">
        <f>IF(OR(H825="",LOWER(TRIM(H825&amp;""))="missing",LOWER(TRIM(H825&amp;""))=""),"Missing/",IFERROR(IF(OR(VALUE(H825)&lt;0,VALUE(H825)&gt;110),"Invalid","Valid"),"Check Format"))</f>
        <v>Missing/</v>
      </c>
      <c r="U825" t="str">
        <f>IF(Raw_Data[[#This Row],[Age_Check]]="Valid",H825,"")</f>
        <v/>
      </c>
      <c r="V825" t="str">
        <f>IF(OR(K825="",UPPER(TRIM(K825&amp;""))="",LOWER(TRIM(K825&amp;""))="",LOWER(TRIM(K825&amp;""))="",LOWER(TRIM(K825&amp;""))="missing"),"Missing/",IFERROR(IF(VALUE(K825)&lt;0,"Invalid","Valid"),"Check Format"))</f>
        <v>Valid</v>
      </c>
      <c r="W825" t="str">
        <f>IF(OR(E825="",F825=""),"Missing Date/Time",IFERROR(IF(F825&gt;E825,"Arrival After Appointment","OK"),"Check Format"))</f>
        <v>OK</v>
      </c>
      <c r="X825" t="str">
        <f>IF(OR(F825="",G825=""),"Missing Date/Time",IFERROR(IF(G825&lt;F825,"Discharge Before Arrival","OK"),"Check Format"))</f>
        <v>Missing Date/Time</v>
      </c>
    </row>
    <row r="826" spans="1:24" x14ac:dyDescent="0.25">
      <c r="A826" s="2" t="s">
        <v>1396</v>
      </c>
      <c r="B826" s="2" t="s">
        <v>803</v>
      </c>
      <c r="C826" s="3" t="s">
        <v>46</v>
      </c>
      <c r="D826" s="3" t="s">
        <v>149</v>
      </c>
      <c r="E826" s="4">
        <v>45789.555555555555</v>
      </c>
      <c r="F826" s="4">
        <v>45789.555555555555</v>
      </c>
      <c r="G826" s="4">
        <v>45789.624305555553</v>
      </c>
      <c r="I826" s="3" t="s">
        <v>90</v>
      </c>
      <c r="J826" s="3" t="s">
        <v>22</v>
      </c>
      <c r="K826" s="5">
        <v>53</v>
      </c>
      <c r="L826" s="5">
        <v>46</v>
      </c>
      <c r="M826" s="3" t="s">
        <v>63</v>
      </c>
      <c r="O826" s="5">
        <v>0</v>
      </c>
      <c r="P826" s="3" t="s">
        <v>25</v>
      </c>
      <c r="Q826" s="2">
        <v>110.06</v>
      </c>
      <c r="R826" s="3" t="s">
        <v>26</v>
      </c>
      <c r="S826">
        <f>COUNTIF(A:A,A826)</f>
        <v>1</v>
      </c>
      <c r="T826" t="str">
        <f>IF(OR(H826="",LOWER(TRIM(H826&amp;""))="missing",LOWER(TRIM(H826&amp;""))=""),"Missing/",IFERROR(IF(OR(VALUE(H826)&lt;0,VALUE(H826)&gt;110),"Invalid","Valid"),"Check Format"))</f>
        <v>Missing/</v>
      </c>
      <c r="U826" t="str">
        <f>IF(Raw_Data[[#This Row],[Age_Check]]="Valid",H826,"")</f>
        <v/>
      </c>
      <c r="V826" t="str">
        <f>IF(OR(K826="",UPPER(TRIM(K826&amp;""))="",LOWER(TRIM(K826&amp;""))="",LOWER(TRIM(K826&amp;""))="",LOWER(TRIM(K826&amp;""))="missing"),"Missing/",IFERROR(IF(VALUE(K826)&lt;0,"Invalid","Valid"),"Check Format"))</f>
        <v>Valid</v>
      </c>
      <c r="W826" t="str">
        <f>IF(OR(E826="",F826=""),"Missing Date/Time",IFERROR(IF(F826&gt;E826,"Arrival After Appointment","OK"),"Check Format"))</f>
        <v>OK</v>
      </c>
      <c r="X826" t="str">
        <f>IF(OR(F826="",G826=""),"Missing Date/Time",IFERROR(IF(G826&lt;F826,"Discharge Before Arrival","OK"),"Check Format"))</f>
        <v>OK</v>
      </c>
    </row>
    <row r="827" spans="1:24" x14ac:dyDescent="0.25">
      <c r="A827" s="2" t="s">
        <v>1397</v>
      </c>
      <c r="B827" s="2" t="s">
        <v>337</v>
      </c>
      <c r="C827" s="3" t="s">
        <v>29</v>
      </c>
      <c r="D827" s="3" t="s">
        <v>72</v>
      </c>
      <c r="E827" s="4">
        <v>45721.4375</v>
      </c>
      <c r="G827" s="4">
        <v>45721.481944444444</v>
      </c>
      <c r="I827" s="3" t="s">
        <v>73</v>
      </c>
      <c r="J827" s="3" t="s">
        <v>150</v>
      </c>
      <c r="K827" s="5">
        <v>1</v>
      </c>
      <c r="L827" s="5">
        <v>63</v>
      </c>
      <c r="M827" s="3" t="s">
        <v>32</v>
      </c>
      <c r="N827" t="s">
        <v>24</v>
      </c>
      <c r="P827" s="3" t="s">
        <v>80</v>
      </c>
      <c r="Q827" s="2">
        <v>255.52</v>
      </c>
      <c r="R827" s="3" t="s">
        <v>26</v>
      </c>
      <c r="S827">
        <f>COUNTIF(A:A,A827)</f>
        <v>1</v>
      </c>
      <c r="T827" t="str">
        <f>IF(OR(H827="",LOWER(TRIM(H827&amp;""))="missing",LOWER(TRIM(H827&amp;""))=""),"Missing/",IFERROR(IF(OR(VALUE(H827)&lt;0,VALUE(H827)&gt;110),"Invalid","Valid"),"Check Format"))</f>
        <v>Missing/</v>
      </c>
      <c r="U827" t="str">
        <f>IF(Raw_Data[[#This Row],[Age_Check]]="Valid",H827,"")</f>
        <v/>
      </c>
      <c r="V827" t="str">
        <f>IF(OR(K827="",UPPER(TRIM(K827&amp;""))="",LOWER(TRIM(K827&amp;""))="",LOWER(TRIM(K827&amp;""))="",LOWER(TRIM(K827&amp;""))="missing"),"Missing/",IFERROR(IF(VALUE(K827)&lt;0,"Invalid","Valid"),"Check Format"))</f>
        <v>Valid</v>
      </c>
      <c r="W827" t="str">
        <f>IF(OR(E827="",F827=""),"Missing Date/Time",IFERROR(IF(F827&gt;E827,"Arrival After Appointment","OK"),"Check Format"))</f>
        <v>Missing Date/Time</v>
      </c>
      <c r="X827" t="str">
        <f>IF(OR(F827="",G827=""),"Missing Date/Time",IFERROR(IF(G827&lt;F827,"Discharge Before Arrival","OK"),"Check Format"))</f>
        <v>Missing Date/Time</v>
      </c>
    </row>
    <row r="828" spans="1:24" x14ac:dyDescent="0.25">
      <c r="A828" s="2" t="s">
        <v>1398</v>
      </c>
      <c r="B828" s="2" t="s">
        <v>488</v>
      </c>
      <c r="C828" s="3" t="s">
        <v>37</v>
      </c>
      <c r="D828" s="3" t="s">
        <v>55</v>
      </c>
      <c r="E828" s="4">
        <v>45372.368055555555</v>
      </c>
      <c r="G828" s="4">
        <v>45372.406944444447</v>
      </c>
      <c r="H828" s="5">
        <v>59</v>
      </c>
      <c r="I828" s="3" t="s">
        <v>95</v>
      </c>
      <c r="J828" s="3" t="s">
        <v>150</v>
      </c>
      <c r="K828" s="5">
        <v>12</v>
      </c>
      <c r="L828" s="5">
        <v>44</v>
      </c>
      <c r="M828" s="3" t="s">
        <v>41</v>
      </c>
      <c r="N828" t="s">
        <v>91</v>
      </c>
      <c r="O828" s="5">
        <v>6</v>
      </c>
      <c r="P828" s="3" t="s">
        <v>80</v>
      </c>
      <c r="Q828" s="2">
        <v>104.76</v>
      </c>
      <c r="R828" s="3" t="s">
        <v>43</v>
      </c>
      <c r="S828">
        <f>COUNTIF(A:A,A828)</f>
        <v>1</v>
      </c>
      <c r="T828" t="str">
        <f>IF(OR(H828="",LOWER(TRIM(H828&amp;""))="missing",LOWER(TRIM(H828&amp;""))=""),"Missing/",IFERROR(IF(OR(VALUE(H828)&lt;0,VALUE(H828)&gt;110),"Invalid","Valid"),"Check Format"))</f>
        <v>Valid</v>
      </c>
      <c r="U828">
        <f>IF(Raw_Data[[#This Row],[Age_Check]]="Valid",H828,"")</f>
        <v>59</v>
      </c>
      <c r="V828" t="str">
        <f>IF(OR(K828="",UPPER(TRIM(K828&amp;""))="",LOWER(TRIM(K828&amp;""))="",LOWER(TRIM(K828&amp;""))="",LOWER(TRIM(K828&amp;""))="missing"),"Missing/",IFERROR(IF(VALUE(K828)&lt;0,"Invalid","Valid"),"Check Format"))</f>
        <v>Valid</v>
      </c>
      <c r="W828" t="str">
        <f>IF(OR(E828="",F828=""),"Missing Date/Time",IFERROR(IF(F828&gt;E828,"Arrival After Appointment","OK"),"Check Format"))</f>
        <v>Missing Date/Time</v>
      </c>
      <c r="X828" t="str">
        <f>IF(OR(F828="",G828=""),"Missing Date/Time",IFERROR(IF(G828&lt;F828,"Discharge Before Arrival","OK"),"Check Format"))</f>
        <v>Missing Date/Time</v>
      </c>
    </row>
    <row r="829" spans="1:24" x14ac:dyDescent="0.25">
      <c r="A829" s="2" t="s">
        <v>1399</v>
      </c>
      <c r="B829" s="2" t="s">
        <v>508</v>
      </c>
      <c r="C829" s="3" t="s">
        <v>29</v>
      </c>
      <c r="D829" s="3" t="s">
        <v>149</v>
      </c>
      <c r="E829" s="4" t="s">
        <v>1400</v>
      </c>
      <c r="F829" s="4">
        <v>45613.671527777777</v>
      </c>
      <c r="G829" s="4">
        <v>45613.75277777778</v>
      </c>
      <c r="I829" s="3" t="s">
        <v>90</v>
      </c>
      <c r="K829" s="5">
        <v>67</v>
      </c>
      <c r="L829" s="5">
        <v>37</v>
      </c>
      <c r="M829" s="3" t="s">
        <v>63</v>
      </c>
      <c r="N829" t="s">
        <v>24</v>
      </c>
      <c r="O829" s="5">
        <v>3</v>
      </c>
      <c r="Q829" s="2">
        <v>126.25</v>
      </c>
      <c r="R829" s="3" t="s">
        <v>26</v>
      </c>
      <c r="S829">
        <f>COUNTIF(A:A,A829)</f>
        <v>1</v>
      </c>
      <c r="T829" t="str">
        <f>IF(OR(H829="",LOWER(TRIM(H829&amp;""))="missing",LOWER(TRIM(H829&amp;""))=""),"Missing/",IFERROR(IF(OR(VALUE(H829)&lt;0,VALUE(H829)&gt;110),"Invalid","Valid"),"Check Format"))</f>
        <v>Missing/</v>
      </c>
      <c r="U829" t="str">
        <f>IF(Raw_Data[[#This Row],[Age_Check]]="Valid",H829,"")</f>
        <v/>
      </c>
      <c r="V829" t="str">
        <f>IF(OR(K829="",UPPER(TRIM(K829&amp;""))="",LOWER(TRIM(K829&amp;""))="",LOWER(TRIM(K829&amp;""))="",LOWER(TRIM(K829&amp;""))="missing"),"Missing/",IFERROR(IF(VALUE(K829)&lt;0,"Invalid","Valid"),"Check Format"))</f>
        <v>Valid</v>
      </c>
      <c r="W829" t="str">
        <f>IF(OR(E829="",F829=""),"Missing Date/Time",IFERROR(IF(F829&gt;E829,"Arrival After Appointment","OK"),"Check Format"))</f>
        <v>OK</v>
      </c>
      <c r="X829" t="str">
        <f>IF(OR(F829="",G829=""),"Missing Date/Time",IFERROR(IF(G829&lt;F829,"Discharge Before Arrival","OK"),"Check Format"))</f>
        <v>OK</v>
      </c>
    </row>
    <row r="830" spans="1:24" x14ac:dyDescent="0.25">
      <c r="A830" s="2" t="s">
        <v>1401</v>
      </c>
      <c r="B830" s="2" t="s">
        <v>146</v>
      </c>
      <c r="C830" s="3" t="s">
        <v>46</v>
      </c>
      <c r="D830" s="3" t="s">
        <v>61</v>
      </c>
      <c r="E830" s="4">
        <v>45542.677083333336</v>
      </c>
      <c r="F830" s="4">
        <v>45542.671527777777</v>
      </c>
      <c r="J830" s="3" t="s">
        <v>22</v>
      </c>
      <c r="K830" s="5">
        <v>30</v>
      </c>
      <c r="L830" s="5">
        <v>19</v>
      </c>
      <c r="M830" s="3" t="s">
        <v>68</v>
      </c>
      <c r="N830" t="s">
        <v>69</v>
      </c>
      <c r="O830" s="5">
        <v>6</v>
      </c>
      <c r="P830" s="3" t="s">
        <v>25</v>
      </c>
      <c r="Q830" s="2">
        <v>71.7</v>
      </c>
      <c r="R830" s="3" t="s">
        <v>43</v>
      </c>
      <c r="S830">
        <f>COUNTIF(A:A,A830)</f>
        <v>1</v>
      </c>
      <c r="T830" t="str">
        <f>IF(OR(H830="",LOWER(TRIM(H830&amp;""))="missing",LOWER(TRIM(H830&amp;""))=""),"Missing/",IFERROR(IF(OR(VALUE(H830)&lt;0,VALUE(H830)&gt;110),"Invalid","Valid"),"Check Format"))</f>
        <v>Missing/</v>
      </c>
      <c r="U830" t="str">
        <f>IF(Raw_Data[[#This Row],[Age_Check]]="Valid",H830,"")</f>
        <v/>
      </c>
      <c r="V830" t="str">
        <f>IF(OR(K830="",UPPER(TRIM(K830&amp;""))="",LOWER(TRIM(K830&amp;""))="",LOWER(TRIM(K830&amp;""))="",LOWER(TRIM(K830&amp;""))="missing"),"Missing/",IFERROR(IF(VALUE(K830)&lt;0,"Invalid","Valid"),"Check Format"))</f>
        <v>Valid</v>
      </c>
      <c r="W830" t="str">
        <f>IF(OR(E830="",F830=""),"Missing Date/Time",IFERROR(IF(F830&gt;E830,"Arrival After Appointment","OK"),"Check Format"))</f>
        <v>OK</v>
      </c>
      <c r="X830" t="str">
        <f>IF(OR(F830="",G830=""),"Missing Date/Time",IFERROR(IF(G830&lt;F830,"Discharge Before Arrival","OK"),"Check Format"))</f>
        <v>Missing Date/Time</v>
      </c>
    </row>
    <row r="831" spans="1:24" x14ac:dyDescent="0.25">
      <c r="A831" s="2" t="s">
        <v>1402</v>
      </c>
      <c r="B831" s="2" t="s">
        <v>741</v>
      </c>
      <c r="C831" s="3" t="s">
        <v>94</v>
      </c>
      <c r="D831" s="3" t="s">
        <v>149</v>
      </c>
      <c r="E831" s="4">
        <v>45999.736111111109</v>
      </c>
      <c r="F831" s="4">
        <v>45881.736111111109</v>
      </c>
      <c r="G831" s="4">
        <v>45881.776388888888</v>
      </c>
      <c r="H831" s="5">
        <v>57</v>
      </c>
      <c r="I831" s="3" t="s">
        <v>95</v>
      </c>
      <c r="K831" s="5">
        <v>28</v>
      </c>
      <c r="L831" s="5">
        <v>30</v>
      </c>
      <c r="M831" s="3" t="s">
        <v>68</v>
      </c>
      <c r="N831" t="s">
        <v>100</v>
      </c>
      <c r="O831" s="5">
        <v>0</v>
      </c>
      <c r="P831" s="3" t="s">
        <v>25</v>
      </c>
      <c r="Q831" s="2">
        <v>87.74</v>
      </c>
      <c r="R831" s="3" t="s">
        <v>26</v>
      </c>
      <c r="S831">
        <f>COUNTIF(A:A,A831)</f>
        <v>1</v>
      </c>
      <c r="T831" t="str">
        <f>IF(OR(H831="",LOWER(TRIM(H831&amp;""))="missing",LOWER(TRIM(H831&amp;""))=""),"Missing/",IFERROR(IF(OR(VALUE(H831)&lt;0,VALUE(H831)&gt;110),"Invalid","Valid"),"Check Format"))</f>
        <v>Valid</v>
      </c>
      <c r="U831">
        <f>IF(Raw_Data[[#This Row],[Age_Check]]="Valid",H831,"")</f>
        <v>57</v>
      </c>
      <c r="V831" t="str">
        <f>IF(OR(K831="",UPPER(TRIM(K831&amp;""))="",LOWER(TRIM(K831&amp;""))="",LOWER(TRIM(K831&amp;""))="",LOWER(TRIM(K831&amp;""))="missing"),"Missing/",IFERROR(IF(VALUE(K831)&lt;0,"Invalid","Valid"),"Check Format"))</f>
        <v>Valid</v>
      </c>
      <c r="W831" t="str">
        <f>IF(OR(E831="",F831=""),"Missing Date/Time",IFERROR(IF(F831&gt;E831,"Arrival After Appointment","OK"),"Check Format"))</f>
        <v>OK</v>
      </c>
      <c r="X831" t="str">
        <f>IF(OR(F831="",G831=""),"Missing Date/Time",IFERROR(IF(G831&lt;F831,"Discharge Before Arrival","OK"),"Check Format"))</f>
        <v>OK</v>
      </c>
    </row>
    <row r="832" spans="1:24" x14ac:dyDescent="0.25">
      <c r="A832" s="2" t="s">
        <v>1403</v>
      </c>
      <c r="B832" s="2" t="s">
        <v>556</v>
      </c>
      <c r="C832" s="3" t="s">
        <v>37</v>
      </c>
      <c r="D832" s="3" t="s">
        <v>38</v>
      </c>
      <c r="E832" s="4">
        <v>45714.517361111109</v>
      </c>
      <c r="G832" s="4">
        <v>45714.613888888889</v>
      </c>
      <c r="I832" s="3" t="s">
        <v>95</v>
      </c>
      <c r="J832" s="3" t="s">
        <v>62</v>
      </c>
      <c r="K832" s="5">
        <v>81</v>
      </c>
      <c r="L832" s="5">
        <v>58</v>
      </c>
      <c r="M832" s="3" t="s">
        <v>23</v>
      </c>
      <c r="N832" t="s">
        <v>69</v>
      </c>
      <c r="O832" s="5">
        <v>6</v>
      </c>
      <c r="P832" s="3" t="s">
        <v>25</v>
      </c>
      <c r="Q832" s="2">
        <v>98.6</v>
      </c>
      <c r="R832" s="3" t="s">
        <v>43</v>
      </c>
      <c r="S832">
        <f>COUNTIF(A:A,A832)</f>
        <v>1</v>
      </c>
      <c r="T832" t="str">
        <f>IF(OR(H832="",LOWER(TRIM(H832&amp;""))="missing",LOWER(TRIM(H832&amp;""))=""),"Missing/",IFERROR(IF(OR(VALUE(H832)&lt;0,VALUE(H832)&gt;110),"Invalid","Valid"),"Check Format"))</f>
        <v>Missing/</v>
      </c>
      <c r="U832" t="str">
        <f>IF(Raw_Data[[#This Row],[Age_Check]]="Valid",H832,"")</f>
        <v/>
      </c>
      <c r="V832" t="str">
        <f>IF(OR(K832="",UPPER(TRIM(K832&amp;""))="",LOWER(TRIM(K832&amp;""))="",LOWER(TRIM(K832&amp;""))="",LOWER(TRIM(K832&amp;""))="missing"),"Missing/",IFERROR(IF(VALUE(K832)&lt;0,"Invalid","Valid"),"Check Format"))</f>
        <v>Valid</v>
      </c>
      <c r="W832" t="str">
        <f>IF(OR(E832="",F832=""),"Missing Date/Time",IFERROR(IF(F832&gt;E832,"Arrival After Appointment","OK"),"Check Format"))</f>
        <v>Missing Date/Time</v>
      </c>
      <c r="X832" t="str">
        <f>IF(OR(F832="",G832=""),"Missing Date/Time",IFERROR(IF(G832&lt;F832,"Discharge Before Arrival","OK"),"Check Format"))</f>
        <v>Missing Date/Time</v>
      </c>
    </row>
    <row r="833" spans="1:24" x14ac:dyDescent="0.25">
      <c r="A833" s="2" t="s">
        <v>1404</v>
      </c>
      <c r="B833" s="2" t="s">
        <v>791</v>
      </c>
      <c r="C833" s="3" t="s">
        <v>94</v>
      </c>
      <c r="D833" s="3" t="s">
        <v>30</v>
      </c>
      <c r="E833" s="4">
        <v>45409.454861111109</v>
      </c>
      <c r="F833" s="4">
        <v>45409.442361111112</v>
      </c>
      <c r="G833" s="4">
        <v>45409.52847222222</v>
      </c>
      <c r="H833" s="5">
        <v>86</v>
      </c>
      <c r="J833" s="3" t="s">
        <v>62</v>
      </c>
      <c r="K833" s="5">
        <v>66</v>
      </c>
      <c r="L833" s="5">
        <v>40</v>
      </c>
      <c r="N833" t="s">
        <v>100</v>
      </c>
      <c r="O833" s="5">
        <v>5</v>
      </c>
      <c r="P833" s="3" t="s">
        <v>25</v>
      </c>
      <c r="Q833" s="2">
        <v>182.76</v>
      </c>
      <c r="R833" s="3" t="s">
        <v>75</v>
      </c>
      <c r="S833">
        <f>COUNTIF(A:A,A833)</f>
        <v>1</v>
      </c>
      <c r="T833" t="str">
        <f>IF(OR(H833="",LOWER(TRIM(H833&amp;""))="missing",LOWER(TRIM(H833&amp;""))=""),"Missing/",IFERROR(IF(OR(VALUE(H833)&lt;0,VALUE(H833)&gt;110),"Invalid","Valid"),"Check Format"))</f>
        <v>Valid</v>
      </c>
      <c r="U833">
        <f>IF(Raw_Data[[#This Row],[Age_Check]]="Valid",H833,"")</f>
        <v>86</v>
      </c>
      <c r="V833" t="str">
        <f>IF(OR(K833="",UPPER(TRIM(K833&amp;""))="",LOWER(TRIM(K833&amp;""))="",LOWER(TRIM(K833&amp;""))="",LOWER(TRIM(K833&amp;""))="missing"),"Missing/",IFERROR(IF(VALUE(K833)&lt;0,"Invalid","Valid"),"Check Format"))</f>
        <v>Valid</v>
      </c>
      <c r="W833" t="str">
        <f>IF(OR(E833="",F833=""),"Missing Date/Time",IFERROR(IF(F833&gt;E833,"Arrival After Appointment","OK"),"Check Format"))</f>
        <v>OK</v>
      </c>
      <c r="X833" t="str">
        <f>IF(OR(F833="",G833=""),"Missing Date/Time",IFERROR(IF(G833&lt;F833,"Discharge Before Arrival","OK"),"Check Format"))</f>
        <v>OK</v>
      </c>
    </row>
    <row r="834" spans="1:24" x14ac:dyDescent="0.25">
      <c r="A834" s="2" t="s">
        <v>1405</v>
      </c>
      <c r="B834" s="2" t="s">
        <v>1226</v>
      </c>
      <c r="C834" s="3" t="s">
        <v>29</v>
      </c>
      <c r="D834" s="3" t="s">
        <v>66</v>
      </c>
      <c r="E834" s="4">
        <v>45698.552083333336</v>
      </c>
      <c r="G834" s="4">
        <v>45698.625</v>
      </c>
      <c r="I834" s="3" t="s">
        <v>95</v>
      </c>
      <c r="J834" s="3" t="s">
        <v>62</v>
      </c>
      <c r="K834" s="5">
        <v>60</v>
      </c>
      <c r="L834" s="5">
        <v>45</v>
      </c>
      <c r="M834" s="3" t="s">
        <v>68</v>
      </c>
      <c r="N834" t="s">
        <v>74</v>
      </c>
      <c r="P834" s="3" t="s">
        <v>80</v>
      </c>
      <c r="Q834" s="2">
        <v>183.58</v>
      </c>
      <c r="R834" s="3" t="s">
        <v>75</v>
      </c>
      <c r="S834">
        <f>COUNTIF(A:A,A834)</f>
        <v>1</v>
      </c>
      <c r="T834" t="str">
        <f>IF(OR(H834="",LOWER(TRIM(H834&amp;""))="missing",LOWER(TRIM(H834&amp;""))=""),"Missing/",IFERROR(IF(OR(VALUE(H834)&lt;0,VALUE(H834)&gt;110),"Invalid","Valid"),"Check Format"))</f>
        <v>Missing/</v>
      </c>
      <c r="U834" t="str">
        <f>IF(Raw_Data[[#This Row],[Age_Check]]="Valid",H834,"")</f>
        <v/>
      </c>
      <c r="V834" t="str">
        <f>IF(OR(K834="",UPPER(TRIM(K834&amp;""))="",LOWER(TRIM(K834&amp;""))="",LOWER(TRIM(K834&amp;""))="",LOWER(TRIM(K834&amp;""))="missing"),"Missing/",IFERROR(IF(VALUE(K834)&lt;0,"Invalid","Valid"),"Check Format"))</f>
        <v>Valid</v>
      </c>
      <c r="W834" t="str">
        <f>IF(OR(E834="",F834=""),"Missing Date/Time",IFERROR(IF(F834&gt;E834,"Arrival After Appointment","OK"),"Check Format"))</f>
        <v>Missing Date/Time</v>
      </c>
      <c r="X834" t="str">
        <f>IF(OR(F834="",G834=""),"Missing Date/Time",IFERROR(IF(G834&lt;F834,"Discharge Before Arrival","OK"),"Check Format"))</f>
        <v>Missing Date/Time</v>
      </c>
    </row>
    <row r="835" spans="1:24" x14ac:dyDescent="0.25">
      <c r="A835" s="2" t="s">
        <v>1406</v>
      </c>
      <c r="B835" s="2" t="s">
        <v>846</v>
      </c>
      <c r="C835" s="3" t="s">
        <v>46</v>
      </c>
      <c r="D835" s="3" t="s">
        <v>115</v>
      </c>
      <c r="E835" s="4">
        <v>45529.732638888891</v>
      </c>
      <c r="G835" s="4">
        <v>45529.775000000001</v>
      </c>
      <c r="I835" s="3" t="s">
        <v>95</v>
      </c>
      <c r="J835" s="3" t="s">
        <v>67</v>
      </c>
      <c r="K835" s="5">
        <v>14</v>
      </c>
      <c r="L835" s="5">
        <v>47</v>
      </c>
      <c r="M835" s="3" t="s">
        <v>63</v>
      </c>
      <c r="N835" t="s">
        <v>69</v>
      </c>
      <c r="O835" s="5">
        <v>1</v>
      </c>
      <c r="Q835" s="2">
        <v>215.98</v>
      </c>
      <c r="R835" s="3" t="s">
        <v>58</v>
      </c>
      <c r="S835">
        <f>COUNTIF(A:A,A835)</f>
        <v>1</v>
      </c>
      <c r="T835" t="str">
        <f>IF(OR(H835="",LOWER(TRIM(H835&amp;""))="missing",LOWER(TRIM(H835&amp;""))=""),"Missing/",IFERROR(IF(OR(VALUE(H835)&lt;0,VALUE(H835)&gt;110),"Invalid","Valid"),"Check Format"))</f>
        <v>Missing/</v>
      </c>
      <c r="U835" t="str">
        <f>IF(Raw_Data[[#This Row],[Age_Check]]="Valid",H835,"")</f>
        <v/>
      </c>
      <c r="V835" t="str">
        <f>IF(OR(K835="",UPPER(TRIM(K835&amp;""))="",LOWER(TRIM(K835&amp;""))="",LOWER(TRIM(K835&amp;""))="",LOWER(TRIM(K835&amp;""))="missing"),"Missing/",IFERROR(IF(VALUE(K835)&lt;0,"Invalid","Valid"),"Check Format"))</f>
        <v>Valid</v>
      </c>
      <c r="W835" t="str">
        <f>IF(OR(E835="",F835=""),"Missing Date/Time",IFERROR(IF(F835&gt;E835,"Arrival After Appointment","OK"),"Check Format"))</f>
        <v>Missing Date/Time</v>
      </c>
      <c r="X835" t="str">
        <f>IF(OR(F835="",G835=""),"Missing Date/Time",IFERROR(IF(G835&lt;F835,"Discharge Before Arrival","OK"),"Check Format"))</f>
        <v>Missing Date/Time</v>
      </c>
    </row>
    <row r="836" spans="1:24" x14ac:dyDescent="0.25">
      <c r="A836" s="2" t="s">
        <v>1407</v>
      </c>
      <c r="B836" s="2" t="s">
        <v>469</v>
      </c>
      <c r="C836" s="3" t="s">
        <v>37</v>
      </c>
      <c r="D836" s="3" t="s">
        <v>106</v>
      </c>
      <c r="E836" s="4">
        <v>45603.305555555555</v>
      </c>
      <c r="F836" s="4">
        <v>45484.288194444445</v>
      </c>
      <c r="G836" s="4">
        <v>45484.349305555559</v>
      </c>
      <c r="H836" s="5">
        <v>20</v>
      </c>
      <c r="J836" s="3" t="s">
        <v>2639</v>
      </c>
      <c r="K836" s="5">
        <v>31</v>
      </c>
      <c r="L836" s="5">
        <v>32</v>
      </c>
      <c r="M836" s="3" t="s">
        <v>63</v>
      </c>
      <c r="N836" t="s">
        <v>69</v>
      </c>
      <c r="O836" s="5">
        <v>3</v>
      </c>
      <c r="P836" s="3" t="s">
        <v>80</v>
      </c>
      <c r="Q836" s="2">
        <v>199.67</v>
      </c>
      <c r="R836" s="3" t="s">
        <v>43</v>
      </c>
      <c r="S836">
        <f>COUNTIF(A:A,A836)</f>
        <v>1</v>
      </c>
      <c r="T836" t="str">
        <f>IF(OR(H836="",LOWER(TRIM(H836&amp;""))="missing",LOWER(TRIM(H836&amp;""))=""),"Missing/",IFERROR(IF(OR(VALUE(H836)&lt;0,VALUE(H836)&gt;110),"Invalid","Valid"),"Check Format"))</f>
        <v>Valid</v>
      </c>
      <c r="U836">
        <f>IF(Raw_Data[[#This Row],[Age_Check]]="Valid",H836,"")</f>
        <v>20</v>
      </c>
      <c r="V836" t="str">
        <f>IF(OR(K836="",UPPER(TRIM(K836&amp;""))="",LOWER(TRIM(K836&amp;""))="",LOWER(TRIM(K836&amp;""))="",LOWER(TRIM(K836&amp;""))="missing"),"Missing/",IFERROR(IF(VALUE(K836)&lt;0,"Invalid","Valid"),"Check Format"))</f>
        <v>Valid</v>
      </c>
      <c r="W836" t="str">
        <f>IF(OR(E836="",F836=""),"Missing Date/Time",IFERROR(IF(F836&gt;E836,"Arrival After Appointment","OK"),"Check Format"))</f>
        <v>OK</v>
      </c>
      <c r="X836" t="str">
        <f>IF(OR(F836="",G836=""),"Missing Date/Time",IFERROR(IF(G836&lt;F836,"Discharge Before Arrival","OK"),"Check Format"))</f>
        <v>OK</v>
      </c>
    </row>
    <row r="837" spans="1:24" x14ac:dyDescent="0.25">
      <c r="A837" s="2" t="s">
        <v>1408</v>
      </c>
      <c r="B837" s="2" t="s">
        <v>682</v>
      </c>
      <c r="C837" s="3" t="s">
        <v>19</v>
      </c>
      <c r="D837" s="3" t="s">
        <v>23</v>
      </c>
      <c r="E837" s="4">
        <v>45930.416666666664</v>
      </c>
      <c r="F837" s="4">
        <v>45930.397222222222</v>
      </c>
      <c r="H837" s="5">
        <v>28</v>
      </c>
      <c r="I837" s="3" t="s">
        <v>90</v>
      </c>
      <c r="J837" s="3" t="s">
        <v>171</v>
      </c>
      <c r="K837" s="5">
        <v>50</v>
      </c>
      <c r="L837" s="5">
        <v>51</v>
      </c>
      <c r="N837" t="s">
        <v>24</v>
      </c>
      <c r="P837" s="3" t="s">
        <v>42</v>
      </c>
      <c r="Q837" s="2">
        <v>334.11</v>
      </c>
      <c r="R837" s="3" t="s">
        <v>58</v>
      </c>
      <c r="S837">
        <f>COUNTIF(A:A,A837)</f>
        <v>1</v>
      </c>
      <c r="T837" t="str">
        <f>IF(OR(H837="",LOWER(TRIM(H837&amp;""))="missing",LOWER(TRIM(H837&amp;""))=""),"Missing/",IFERROR(IF(OR(VALUE(H837)&lt;0,VALUE(H837)&gt;110),"Invalid","Valid"),"Check Format"))</f>
        <v>Valid</v>
      </c>
      <c r="U837">
        <f>IF(Raw_Data[[#This Row],[Age_Check]]="Valid",H837,"")</f>
        <v>28</v>
      </c>
      <c r="V837" t="str">
        <f>IF(OR(K837="",UPPER(TRIM(K837&amp;""))="",LOWER(TRIM(K837&amp;""))="",LOWER(TRIM(K837&amp;""))="",LOWER(TRIM(K837&amp;""))="missing"),"Missing/",IFERROR(IF(VALUE(K837)&lt;0,"Invalid","Valid"),"Check Format"))</f>
        <v>Valid</v>
      </c>
      <c r="W837" t="str">
        <f>IF(OR(E837="",F837=""),"Missing Date/Time",IFERROR(IF(F837&gt;E837,"Arrival After Appointment","OK"),"Check Format"))</f>
        <v>OK</v>
      </c>
      <c r="X837" t="str">
        <f>IF(OR(F837="",G837=""),"Missing Date/Time",IFERROR(IF(G837&lt;F837,"Discharge Before Arrival","OK"),"Check Format"))</f>
        <v>Missing Date/Time</v>
      </c>
    </row>
    <row r="838" spans="1:24" x14ac:dyDescent="0.25">
      <c r="A838" s="2" t="s">
        <v>1205</v>
      </c>
      <c r="B838" s="2" t="s">
        <v>1206</v>
      </c>
      <c r="C838" s="3" t="s">
        <v>37</v>
      </c>
      <c r="D838" s="3" t="s">
        <v>174</v>
      </c>
      <c r="E838" s="4">
        <v>45506.423611111109</v>
      </c>
      <c r="F838" s="4">
        <v>45506.42291666667</v>
      </c>
      <c r="I838" s="3" t="s">
        <v>90</v>
      </c>
      <c r="J838" s="3" t="s">
        <v>22</v>
      </c>
      <c r="K838" s="5">
        <v>84</v>
      </c>
      <c r="L838" s="5">
        <v>53</v>
      </c>
      <c r="N838" t="s">
        <v>69</v>
      </c>
      <c r="O838" s="5">
        <v>0</v>
      </c>
      <c r="P838" s="3" t="s">
        <v>80</v>
      </c>
      <c r="R838" s="3" t="s">
        <v>75</v>
      </c>
      <c r="S838">
        <f>COUNTIF(A:A,A838)</f>
        <v>1</v>
      </c>
      <c r="T838" t="str">
        <f>IF(OR(H838="",LOWER(TRIM(H838&amp;""))="missing",LOWER(TRIM(H838&amp;""))=""),"Missing/",IFERROR(IF(OR(VALUE(H838)&lt;0,VALUE(H838)&gt;110),"Invalid","Valid"),"Check Format"))</f>
        <v>Missing/</v>
      </c>
      <c r="U838" t="str">
        <f>IF(Raw_Data[[#This Row],[Age_Check]]="Valid",H838,"")</f>
        <v/>
      </c>
      <c r="V838" t="str">
        <f>IF(OR(K838="",UPPER(TRIM(K838&amp;""))="",LOWER(TRIM(K838&amp;""))="",LOWER(TRIM(K838&amp;""))="",LOWER(TRIM(K838&amp;""))="missing"),"Missing/",IFERROR(IF(VALUE(K838)&lt;0,"Invalid","Valid"),"Check Format"))</f>
        <v>Valid</v>
      </c>
      <c r="W838" t="str">
        <f>IF(OR(E838="",F838=""),"Missing Date/Time",IFERROR(IF(F838&gt;E838,"Arrival After Appointment","OK"),"Check Format"))</f>
        <v>OK</v>
      </c>
      <c r="X838" t="str">
        <f>IF(OR(F838="",G838=""),"Missing Date/Time",IFERROR(IF(G838&lt;F838,"Discharge Before Arrival","OK"),"Check Format"))</f>
        <v>Missing Date/Time</v>
      </c>
    </row>
    <row r="839" spans="1:24" x14ac:dyDescent="0.25">
      <c r="A839" s="2" t="s">
        <v>1411</v>
      </c>
      <c r="B839" s="2" t="s">
        <v>1148</v>
      </c>
      <c r="D839" s="3" t="s">
        <v>30</v>
      </c>
      <c r="E839" s="4">
        <v>45479.458333333336</v>
      </c>
      <c r="F839" s="4">
        <v>45479.443749999999</v>
      </c>
      <c r="G839" s="4">
        <v>45479.496527777781</v>
      </c>
      <c r="H839" s="5">
        <v>145</v>
      </c>
      <c r="I839" s="3" t="s">
        <v>73</v>
      </c>
      <c r="J839" s="3" t="s">
        <v>67</v>
      </c>
      <c r="K839" s="5">
        <v>11</v>
      </c>
      <c r="L839" s="5">
        <v>44</v>
      </c>
      <c r="M839" s="3" t="s">
        <v>68</v>
      </c>
      <c r="N839" t="s">
        <v>69</v>
      </c>
      <c r="O839" s="5">
        <v>3</v>
      </c>
      <c r="Q839" s="2">
        <v>96.53</v>
      </c>
      <c r="R839" s="3" t="s">
        <v>75</v>
      </c>
      <c r="S839">
        <f>COUNTIF(A:A,A839)</f>
        <v>1</v>
      </c>
      <c r="T839" t="str">
        <f>IF(OR(H839="",LOWER(TRIM(H839&amp;""))="missing",LOWER(TRIM(H839&amp;""))=""),"Missing/",IFERROR(IF(OR(VALUE(H839)&lt;0,VALUE(H839)&gt;110),"Invalid","Valid"),"Check Format"))</f>
        <v>Invalid</v>
      </c>
      <c r="U839" t="str">
        <f>IF(Raw_Data[[#This Row],[Age_Check]]="Valid",H839,"")</f>
        <v/>
      </c>
      <c r="V839" t="str">
        <f>IF(OR(K839="",UPPER(TRIM(K839&amp;""))="",LOWER(TRIM(K839&amp;""))="",LOWER(TRIM(K839&amp;""))="",LOWER(TRIM(K839&amp;""))="missing"),"Missing/",IFERROR(IF(VALUE(K839)&lt;0,"Invalid","Valid"),"Check Format"))</f>
        <v>Valid</v>
      </c>
      <c r="W839" t="str">
        <f>IF(OR(E839="",F839=""),"Missing Date/Time",IFERROR(IF(F839&gt;E839,"Arrival After Appointment","OK"),"Check Format"))</f>
        <v>OK</v>
      </c>
      <c r="X839" t="str">
        <f>IF(OR(F839="",G839=""),"Missing Date/Time",IFERROR(IF(G839&lt;F839,"Discharge Before Arrival","OK"),"Check Format"))</f>
        <v>OK</v>
      </c>
    </row>
    <row r="840" spans="1:24" x14ac:dyDescent="0.25">
      <c r="A840" s="2" t="s">
        <v>1412</v>
      </c>
      <c r="B840" s="2" t="s">
        <v>662</v>
      </c>
      <c r="C840" s="3" t="s">
        <v>37</v>
      </c>
      <c r="D840" s="3" t="s">
        <v>20</v>
      </c>
      <c r="E840" s="4">
        <v>45552.663194444445</v>
      </c>
      <c r="F840" s="4">
        <v>45552.646527777775</v>
      </c>
      <c r="G840" s="4">
        <v>45552.791666666664</v>
      </c>
      <c r="H840" s="5">
        <v>12</v>
      </c>
      <c r="I840" s="3" t="s">
        <v>73</v>
      </c>
      <c r="J840" s="3" t="s">
        <v>171</v>
      </c>
      <c r="K840" s="5">
        <v>118</v>
      </c>
      <c r="L840" s="5">
        <v>67</v>
      </c>
      <c r="M840" s="3" t="s">
        <v>23</v>
      </c>
      <c r="N840" t="s">
        <v>74</v>
      </c>
      <c r="O840" s="5">
        <v>0</v>
      </c>
      <c r="P840" s="3" t="s">
        <v>25</v>
      </c>
      <c r="R840" s="3" t="s">
        <v>75</v>
      </c>
      <c r="S840">
        <f>COUNTIF(A:A,A840)</f>
        <v>1</v>
      </c>
      <c r="T840" t="str">
        <f>IF(OR(H840="",LOWER(TRIM(H840&amp;""))="missing",LOWER(TRIM(H840&amp;""))=""),"Missing/",IFERROR(IF(OR(VALUE(H840)&lt;0,VALUE(H840)&gt;110),"Invalid","Valid"),"Check Format"))</f>
        <v>Valid</v>
      </c>
      <c r="U840">
        <f>IF(Raw_Data[[#This Row],[Age_Check]]="Valid",H840,"")</f>
        <v>12</v>
      </c>
      <c r="V840" t="str">
        <f>IF(OR(K840="",UPPER(TRIM(K840&amp;""))="",LOWER(TRIM(K840&amp;""))="",LOWER(TRIM(K840&amp;""))="",LOWER(TRIM(K840&amp;""))="missing"),"Missing/",IFERROR(IF(VALUE(K840)&lt;0,"Invalid","Valid"),"Check Format"))</f>
        <v>Valid</v>
      </c>
      <c r="W840" t="str">
        <f>IF(OR(E840="",F840=""),"Missing Date/Time",IFERROR(IF(F840&gt;E840,"Arrival After Appointment","OK"),"Check Format"))</f>
        <v>OK</v>
      </c>
      <c r="X840" t="str">
        <f>IF(OR(F840="",G840=""),"Missing Date/Time",IFERROR(IF(G840&lt;F840,"Discharge Before Arrival","OK"),"Check Format"))</f>
        <v>OK</v>
      </c>
    </row>
    <row r="841" spans="1:24" x14ac:dyDescent="0.25">
      <c r="A841" s="2" t="s">
        <v>1413</v>
      </c>
      <c r="B841" s="2" t="s">
        <v>312</v>
      </c>
      <c r="C841" s="3" t="s">
        <v>46</v>
      </c>
      <c r="D841" s="3" t="s">
        <v>174</v>
      </c>
      <c r="E841" s="4">
        <v>45920.326388888891</v>
      </c>
      <c r="F841" s="4">
        <v>45920.306250000001</v>
      </c>
      <c r="G841" s="4">
        <v>45920.363194444442</v>
      </c>
      <c r="H841" s="5">
        <v>19</v>
      </c>
      <c r="J841" s="3" t="s">
        <v>62</v>
      </c>
      <c r="K841" s="5">
        <v>31</v>
      </c>
      <c r="L841" s="5">
        <v>22</v>
      </c>
      <c r="M841" s="3" t="s">
        <v>63</v>
      </c>
      <c r="N841" t="s">
        <v>91</v>
      </c>
      <c r="P841" s="3" t="s">
        <v>42</v>
      </c>
      <c r="Q841" s="2">
        <v>213.77</v>
      </c>
      <c r="R841" s="3" t="s">
        <v>58</v>
      </c>
      <c r="S841">
        <f>COUNTIF(A:A,A841)</f>
        <v>1</v>
      </c>
      <c r="T841" t="str">
        <f>IF(OR(H841="",LOWER(TRIM(H841&amp;""))="missing",LOWER(TRIM(H841&amp;""))=""),"Missing/",IFERROR(IF(OR(VALUE(H841)&lt;0,VALUE(H841)&gt;110),"Invalid","Valid"),"Check Format"))</f>
        <v>Valid</v>
      </c>
      <c r="U841">
        <f>IF(Raw_Data[[#This Row],[Age_Check]]="Valid",H841,"")</f>
        <v>19</v>
      </c>
      <c r="V841" t="str">
        <f>IF(OR(K841="",UPPER(TRIM(K841&amp;""))="",LOWER(TRIM(K841&amp;""))="",LOWER(TRIM(K841&amp;""))="",LOWER(TRIM(K841&amp;""))="missing"),"Missing/",IFERROR(IF(VALUE(K841)&lt;0,"Invalid","Valid"),"Check Format"))</f>
        <v>Valid</v>
      </c>
      <c r="W841" t="str">
        <f>IF(OR(E841="",F841=""),"Missing Date/Time",IFERROR(IF(F841&gt;E841,"Arrival After Appointment","OK"),"Check Format"))</f>
        <v>OK</v>
      </c>
      <c r="X841" t="str">
        <f>IF(OR(F841="",G841=""),"Missing Date/Time",IFERROR(IF(G841&lt;F841,"Discharge Before Arrival","OK"),"Check Format"))</f>
        <v>OK</v>
      </c>
    </row>
    <row r="842" spans="1:24" x14ac:dyDescent="0.25">
      <c r="A842" s="2" t="s">
        <v>1414</v>
      </c>
      <c r="B842" s="2" t="s">
        <v>60</v>
      </c>
      <c r="C842" s="3" t="s">
        <v>94</v>
      </c>
      <c r="D842" s="3" t="s">
        <v>20</v>
      </c>
      <c r="F842" s="4">
        <v>45796.572222222225</v>
      </c>
      <c r="G842" s="4">
        <v>45796.631944444445</v>
      </c>
      <c r="H842" s="5">
        <v>19</v>
      </c>
      <c r="I842" s="3" t="s">
        <v>95</v>
      </c>
      <c r="J842" s="3" t="s">
        <v>22</v>
      </c>
      <c r="K842" s="5">
        <v>44</v>
      </c>
      <c r="L842" s="5">
        <v>31</v>
      </c>
      <c r="M842" s="3" t="s">
        <v>68</v>
      </c>
      <c r="N842" t="s">
        <v>69</v>
      </c>
      <c r="O842" s="5">
        <v>6</v>
      </c>
      <c r="P842" s="3" t="s">
        <v>42</v>
      </c>
      <c r="Q842" s="2">
        <v>147.03</v>
      </c>
      <c r="R842" s="3" t="s">
        <v>43</v>
      </c>
      <c r="S842">
        <f>COUNTIF(A:A,A842)</f>
        <v>1</v>
      </c>
      <c r="T842" t="str">
        <f>IF(OR(H842="",LOWER(TRIM(H842&amp;""))="missing",LOWER(TRIM(H842&amp;""))=""),"Missing/",IFERROR(IF(OR(VALUE(H842)&lt;0,VALUE(H842)&gt;110),"Invalid","Valid"),"Check Format"))</f>
        <v>Valid</v>
      </c>
      <c r="U842">
        <f>IF(Raw_Data[[#This Row],[Age_Check]]="Valid",H842,"")</f>
        <v>19</v>
      </c>
      <c r="V842" t="str">
        <f>IF(OR(K842="",UPPER(TRIM(K842&amp;""))="",LOWER(TRIM(K842&amp;""))="",LOWER(TRIM(K842&amp;""))="",LOWER(TRIM(K842&amp;""))="missing"),"Missing/",IFERROR(IF(VALUE(K842)&lt;0,"Invalid","Valid"),"Check Format"))</f>
        <v>Valid</v>
      </c>
      <c r="W842" t="str">
        <f>IF(OR(E842="",F842=""),"Missing Date/Time",IFERROR(IF(F842&gt;E842,"Arrival After Appointment","OK"),"Check Format"))</f>
        <v>Missing Date/Time</v>
      </c>
      <c r="X842" t="str">
        <f>IF(OR(F842="",G842=""),"Missing Date/Time",IFERROR(IF(G842&lt;F842,"Discharge Before Arrival","OK"),"Check Format"))</f>
        <v>OK</v>
      </c>
    </row>
    <row r="843" spans="1:24" x14ac:dyDescent="0.25">
      <c r="A843" s="2" t="s">
        <v>1415</v>
      </c>
      <c r="B843" s="2" t="s">
        <v>533</v>
      </c>
      <c r="C843" s="3" t="s">
        <v>46</v>
      </c>
      <c r="D843" s="3" t="s">
        <v>61</v>
      </c>
      <c r="E843" s="4">
        <v>45815.427083333336</v>
      </c>
      <c r="F843" s="4">
        <v>45844.40902777778</v>
      </c>
      <c r="G843" s="4">
        <v>45844.448611111111</v>
      </c>
      <c r="H843" s="5">
        <v>145</v>
      </c>
      <c r="I843" s="3" t="s">
        <v>39</v>
      </c>
      <c r="J843" s="3" t="s">
        <v>22</v>
      </c>
      <c r="K843" s="5">
        <v>0</v>
      </c>
      <c r="L843" s="5">
        <v>31</v>
      </c>
      <c r="M843" s="3" t="s">
        <v>87</v>
      </c>
      <c r="N843" t="s">
        <v>103</v>
      </c>
      <c r="O843" s="5">
        <v>1</v>
      </c>
      <c r="P843" s="3" t="s">
        <v>25</v>
      </c>
      <c r="Q843" s="2">
        <v>89.82</v>
      </c>
      <c r="R843" s="3" t="s">
        <v>26</v>
      </c>
      <c r="S843">
        <f>COUNTIF(A:A,A843)</f>
        <v>1</v>
      </c>
      <c r="T843" t="str">
        <f>IF(OR(H843="",LOWER(TRIM(H843&amp;""))="missing",LOWER(TRIM(H843&amp;""))=""),"Missing/",IFERROR(IF(OR(VALUE(H843)&lt;0,VALUE(H843)&gt;110),"Invalid","Valid"),"Check Format"))</f>
        <v>Invalid</v>
      </c>
      <c r="U843" t="str">
        <f>IF(Raw_Data[[#This Row],[Age_Check]]="Valid",H843,"")</f>
        <v/>
      </c>
      <c r="V843" t="str">
        <f>IF(OR(K843="",UPPER(TRIM(K843&amp;""))="",LOWER(TRIM(K843&amp;""))="",LOWER(TRIM(K843&amp;""))="",LOWER(TRIM(K843&amp;""))="missing"),"Missing/",IFERROR(IF(VALUE(K843)&lt;0,"Invalid","Valid"),"Check Format"))</f>
        <v>Valid</v>
      </c>
      <c r="W843" t="str">
        <f>IF(OR(E843="",F843=""),"Missing Date/Time",IFERROR(IF(F843&gt;E843,"Arrival After Appointment","OK"),"Check Format"))</f>
        <v>Arrival After Appointment</v>
      </c>
      <c r="X843" t="str">
        <f>IF(OR(F843="",G843=""),"Missing Date/Time",IFERROR(IF(G843&lt;F843,"Discharge Before Arrival","OK"),"Check Format"))</f>
        <v>OK</v>
      </c>
    </row>
    <row r="844" spans="1:24" x14ac:dyDescent="0.25">
      <c r="A844" s="2" t="s">
        <v>1416</v>
      </c>
      <c r="B844" s="2" t="s">
        <v>1417</v>
      </c>
      <c r="C844" s="3" t="s">
        <v>94</v>
      </c>
      <c r="D844" s="3" t="s">
        <v>38</v>
      </c>
      <c r="E844" s="4">
        <v>45365.684027777781</v>
      </c>
      <c r="F844" s="4">
        <v>45365.670138888891</v>
      </c>
      <c r="G844" s="4">
        <v>45365.751388888886</v>
      </c>
      <c r="I844" s="3" t="s">
        <v>39</v>
      </c>
      <c r="J844" s="3" t="s">
        <v>2639</v>
      </c>
      <c r="K844" s="5">
        <v>40</v>
      </c>
      <c r="L844" s="5">
        <v>57</v>
      </c>
      <c r="N844" t="s">
        <v>24</v>
      </c>
      <c r="O844" s="5">
        <v>0</v>
      </c>
      <c r="P844" s="3" t="s">
        <v>80</v>
      </c>
      <c r="Q844" s="2">
        <v>44.48</v>
      </c>
      <c r="R844" s="3" t="s">
        <v>43</v>
      </c>
      <c r="S844">
        <f>COUNTIF(A:A,A844)</f>
        <v>1</v>
      </c>
      <c r="T844" t="str">
        <f>IF(OR(H844="",LOWER(TRIM(H844&amp;""))="missing",LOWER(TRIM(H844&amp;""))=""),"Missing/",IFERROR(IF(OR(VALUE(H844)&lt;0,VALUE(H844)&gt;110),"Invalid","Valid"),"Check Format"))</f>
        <v>Missing/</v>
      </c>
      <c r="U844" t="str">
        <f>IF(Raw_Data[[#This Row],[Age_Check]]="Valid",H844,"")</f>
        <v/>
      </c>
      <c r="V844" t="str">
        <f>IF(OR(K844="",UPPER(TRIM(K844&amp;""))="",LOWER(TRIM(K844&amp;""))="",LOWER(TRIM(K844&amp;""))="",LOWER(TRIM(K844&amp;""))="missing"),"Missing/",IFERROR(IF(VALUE(K844)&lt;0,"Invalid","Valid"),"Check Format"))</f>
        <v>Valid</v>
      </c>
      <c r="W844" t="str">
        <f>IF(OR(E844="",F844=""),"Missing Date/Time",IFERROR(IF(F844&gt;E844,"Arrival After Appointment","OK"),"Check Format"))</f>
        <v>OK</v>
      </c>
      <c r="X844" t="str">
        <f>IF(OR(F844="",G844=""),"Missing Date/Time",IFERROR(IF(G844&lt;F844,"Discharge Before Arrival","OK"),"Check Format"))</f>
        <v>OK</v>
      </c>
    </row>
    <row r="845" spans="1:24" x14ac:dyDescent="0.25">
      <c r="A845" s="2" t="s">
        <v>1418</v>
      </c>
      <c r="B845" s="2" t="s">
        <v>733</v>
      </c>
      <c r="C845" s="3" t="s">
        <v>94</v>
      </c>
      <c r="D845" s="3" t="s">
        <v>115</v>
      </c>
      <c r="E845" s="4">
        <v>45720.354166666664</v>
      </c>
      <c r="G845" s="4">
        <v>45720.431944444441</v>
      </c>
      <c r="H845" s="5">
        <v>20</v>
      </c>
      <c r="J845" s="3" t="s">
        <v>150</v>
      </c>
      <c r="K845" s="5">
        <v>86</v>
      </c>
      <c r="L845" s="5">
        <v>26</v>
      </c>
      <c r="M845" s="3" t="s">
        <v>63</v>
      </c>
      <c r="N845" t="s">
        <v>100</v>
      </c>
      <c r="O845" s="5">
        <v>0</v>
      </c>
      <c r="P845" s="3" t="s">
        <v>80</v>
      </c>
      <c r="R845" s="3" t="s">
        <v>26</v>
      </c>
      <c r="S845">
        <f>COUNTIF(A:A,A845)</f>
        <v>1</v>
      </c>
      <c r="T845" t="str">
        <f>IF(OR(H845="",LOWER(TRIM(H845&amp;""))="missing",LOWER(TRIM(H845&amp;""))=""),"Missing/",IFERROR(IF(OR(VALUE(H845)&lt;0,VALUE(H845)&gt;110),"Invalid","Valid"),"Check Format"))</f>
        <v>Valid</v>
      </c>
      <c r="U845">
        <f>IF(Raw_Data[[#This Row],[Age_Check]]="Valid",H845,"")</f>
        <v>20</v>
      </c>
      <c r="V845" t="str">
        <f>IF(OR(K845="",UPPER(TRIM(K845&amp;""))="",LOWER(TRIM(K845&amp;""))="",LOWER(TRIM(K845&amp;""))="",LOWER(TRIM(K845&amp;""))="missing"),"Missing/",IFERROR(IF(VALUE(K845)&lt;0,"Invalid","Valid"),"Check Format"))</f>
        <v>Valid</v>
      </c>
      <c r="W845" t="str">
        <f>IF(OR(E845="",F845=""),"Missing Date/Time",IFERROR(IF(F845&gt;E845,"Arrival After Appointment","OK"),"Check Format"))</f>
        <v>Missing Date/Time</v>
      </c>
      <c r="X845" t="str">
        <f>IF(OR(F845="",G845=""),"Missing Date/Time",IFERROR(IF(G845&lt;F845,"Discharge Before Arrival","OK"),"Check Format"))</f>
        <v>Missing Date/Time</v>
      </c>
    </row>
    <row r="846" spans="1:24" x14ac:dyDescent="0.25">
      <c r="A846" s="2" t="s">
        <v>1419</v>
      </c>
      <c r="B846" s="2" t="s">
        <v>645</v>
      </c>
      <c r="C846" s="3" t="s">
        <v>94</v>
      </c>
      <c r="D846" s="3" t="s">
        <v>174</v>
      </c>
      <c r="E846" s="4">
        <v>45703.4375</v>
      </c>
      <c r="F846" s="4">
        <v>45703.421527777777</v>
      </c>
      <c r="G846" s="4">
        <v>45703.50277777778</v>
      </c>
      <c r="I846" s="3" t="s">
        <v>95</v>
      </c>
      <c r="J846" s="3" t="s">
        <v>2639</v>
      </c>
      <c r="K846" s="5">
        <v>48</v>
      </c>
      <c r="L846" s="5">
        <v>46</v>
      </c>
      <c r="M846" s="3" t="s">
        <v>23</v>
      </c>
      <c r="N846" t="s">
        <v>91</v>
      </c>
      <c r="O846" s="5">
        <v>6</v>
      </c>
      <c r="P846" s="3" t="s">
        <v>25</v>
      </c>
      <c r="Q846" s="2">
        <v>172.2</v>
      </c>
      <c r="R846" s="3" t="s">
        <v>26</v>
      </c>
      <c r="S846">
        <f>COUNTIF(A:A,A846)</f>
        <v>1</v>
      </c>
      <c r="T846" t="str">
        <f>IF(OR(H846="",LOWER(TRIM(H846&amp;""))="missing",LOWER(TRIM(H846&amp;""))=""),"Missing/",IFERROR(IF(OR(VALUE(H846)&lt;0,VALUE(H846)&gt;110),"Invalid","Valid"),"Check Format"))</f>
        <v>Missing/</v>
      </c>
      <c r="U846" t="str">
        <f>IF(Raw_Data[[#This Row],[Age_Check]]="Valid",H846,"")</f>
        <v/>
      </c>
      <c r="V846" t="str">
        <f>IF(OR(K846="",UPPER(TRIM(K846&amp;""))="",LOWER(TRIM(K846&amp;""))="",LOWER(TRIM(K846&amp;""))="",LOWER(TRIM(K846&amp;""))="missing"),"Missing/",IFERROR(IF(VALUE(K846)&lt;0,"Invalid","Valid"),"Check Format"))</f>
        <v>Valid</v>
      </c>
      <c r="W846" t="str">
        <f>IF(OR(E846="",F846=""),"Missing Date/Time",IFERROR(IF(F846&gt;E846,"Arrival After Appointment","OK"),"Check Format"))</f>
        <v>OK</v>
      </c>
      <c r="X846" t="str">
        <f>IF(OR(F846="",G846=""),"Missing Date/Time",IFERROR(IF(G846&lt;F846,"Discharge Before Arrival","OK"),"Check Format"))</f>
        <v>OK</v>
      </c>
    </row>
    <row r="847" spans="1:24" x14ac:dyDescent="0.25">
      <c r="A847" s="2" t="s">
        <v>1420</v>
      </c>
      <c r="B847" s="2" t="s">
        <v>559</v>
      </c>
      <c r="C847" s="3" t="s">
        <v>37</v>
      </c>
      <c r="D847" s="3" t="s">
        <v>23</v>
      </c>
      <c r="E847" s="4" t="s">
        <v>1421</v>
      </c>
      <c r="F847" s="4">
        <v>45520.732638888891</v>
      </c>
      <c r="H847" s="5">
        <v>10</v>
      </c>
      <c r="I847" s="3" t="s">
        <v>95</v>
      </c>
      <c r="J847" s="3" t="s">
        <v>67</v>
      </c>
      <c r="K847" s="5">
        <v>77</v>
      </c>
      <c r="L847" s="5">
        <v>49</v>
      </c>
      <c r="M847" s="3" t="s">
        <v>23</v>
      </c>
      <c r="N847" t="s">
        <v>69</v>
      </c>
      <c r="P847" s="3" t="s">
        <v>25</v>
      </c>
      <c r="Q847" s="2">
        <v>118.5</v>
      </c>
      <c r="R847" s="3" t="s">
        <v>58</v>
      </c>
      <c r="S847">
        <f>COUNTIF(A:A,A847)</f>
        <v>1</v>
      </c>
      <c r="T847" t="str">
        <f>IF(OR(H847="",LOWER(TRIM(H847&amp;""))="missing",LOWER(TRIM(H847&amp;""))=""),"Missing/",IFERROR(IF(OR(VALUE(H847)&lt;0,VALUE(H847)&gt;110),"Invalid","Valid"),"Check Format"))</f>
        <v>Valid</v>
      </c>
      <c r="U847">
        <f>IF(Raw_Data[[#This Row],[Age_Check]]="Valid",H847,"")</f>
        <v>10</v>
      </c>
      <c r="V847" t="str">
        <f>IF(OR(K847="",UPPER(TRIM(K847&amp;""))="",LOWER(TRIM(K847&amp;""))="",LOWER(TRIM(K847&amp;""))="",LOWER(TRIM(K847&amp;""))="missing"),"Missing/",IFERROR(IF(VALUE(K847)&lt;0,"Invalid","Valid"),"Check Format"))</f>
        <v>Valid</v>
      </c>
      <c r="W847" t="str">
        <f>IF(OR(E847="",F847=""),"Missing Date/Time",IFERROR(IF(F847&gt;E847,"Arrival After Appointment","OK"),"Check Format"))</f>
        <v>OK</v>
      </c>
      <c r="X847" t="str">
        <f>IF(OR(F847="",G847=""),"Missing Date/Time",IFERROR(IF(G847&lt;F847,"Discharge Before Arrival","OK"),"Check Format"))</f>
        <v>Missing Date/Time</v>
      </c>
    </row>
    <row r="848" spans="1:24" x14ac:dyDescent="0.25">
      <c r="A848" s="2" t="s">
        <v>1422</v>
      </c>
      <c r="B848" s="2" t="s">
        <v>152</v>
      </c>
      <c r="C848" s="3" t="s">
        <v>19</v>
      </c>
      <c r="D848" s="3" t="s">
        <v>72</v>
      </c>
      <c r="E848" s="4">
        <v>45937.569444444445</v>
      </c>
      <c r="F848" s="4">
        <v>45848.563888888886</v>
      </c>
      <c r="G848" s="4">
        <v>45848.602777777778</v>
      </c>
      <c r="I848" s="3" t="s">
        <v>90</v>
      </c>
      <c r="J848" s="3" t="s">
        <v>62</v>
      </c>
      <c r="K848" s="5">
        <v>36</v>
      </c>
      <c r="L848" s="5">
        <v>12</v>
      </c>
      <c r="M848" s="3" t="s">
        <v>68</v>
      </c>
      <c r="N848" t="s">
        <v>74</v>
      </c>
      <c r="O848" s="5">
        <v>4</v>
      </c>
      <c r="P848" s="3" t="s">
        <v>25</v>
      </c>
      <c r="Q848" s="2">
        <v>78.97</v>
      </c>
      <c r="R848" s="3" t="s">
        <v>58</v>
      </c>
      <c r="S848">
        <f>COUNTIF(A:A,A848)</f>
        <v>1</v>
      </c>
      <c r="T848" t="str">
        <f>IF(OR(H848="",LOWER(TRIM(H848&amp;""))="missing",LOWER(TRIM(H848&amp;""))=""),"Missing/",IFERROR(IF(OR(VALUE(H848)&lt;0,VALUE(H848)&gt;110),"Invalid","Valid"),"Check Format"))</f>
        <v>Missing/</v>
      </c>
      <c r="U848" t="str">
        <f>IF(Raw_Data[[#This Row],[Age_Check]]="Valid",H848,"")</f>
        <v/>
      </c>
      <c r="V848" t="str">
        <f>IF(OR(K848="",UPPER(TRIM(K848&amp;""))="",LOWER(TRIM(K848&amp;""))="",LOWER(TRIM(K848&amp;""))="",LOWER(TRIM(K848&amp;""))="missing"),"Missing/",IFERROR(IF(VALUE(K848)&lt;0,"Invalid","Valid"),"Check Format"))</f>
        <v>Valid</v>
      </c>
      <c r="W848" t="str">
        <f>IF(OR(E848="",F848=""),"Missing Date/Time",IFERROR(IF(F848&gt;E848,"Arrival After Appointment","OK"),"Check Format"))</f>
        <v>OK</v>
      </c>
      <c r="X848" t="str">
        <f>IF(OR(F848="",G848=""),"Missing Date/Time",IFERROR(IF(G848&lt;F848,"Discharge Before Arrival","OK"),"Check Format"))</f>
        <v>OK</v>
      </c>
    </row>
    <row r="849" spans="1:24" x14ac:dyDescent="0.25">
      <c r="A849" s="2" t="s">
        <v>1423</v>
      </c>
      <c r="B849" s="2" t="s">
        <v>404</v>
      </c>
      <c r="C849" s="3" t="s">
        <v>94</v>
      </c>
      <c r="D849" s="3" t="s">
        <v>47</v>
      </c>
      <c r="E849" s="4">
        <v>45613.642361111109</v>
      </c>
      <c r="F849" s="4">
        <v>45613.625694444447</v>
      </c>
      <c r="G849" s="4">
        <v>45613.791666666664</v>
      </c>
      <c r="I849" s="3" t="s">
        <v>95</v>
      </c>
      <c r="J849" s="3" t="s">
        <v>67</v>
      </c>
      <c r="K849" s="5">
        <v>161</v>
      </c>
      <c r="L849" s="5">
        <v>54</v>
      </c>
      <c r="M849" s="3" t="s">
        <v>50</v>
      </c>
      <c r="N849" t="s">
        <v>103</v>
      </c>
      <c r="O849" s="5">
        <v>6</v>
      </c>
      <c r="P849" s="3" t="s">
        <v>80</v>
      </c>
      <c r="Q849" s="2">
        <v>36.909999999999997</v>
      </c>
      <c r="R849" s="3" t="s">
        <v>58</v>
      </c>
      <c r="S849">
        <f>COUNTIF(A:A,A849)</f>
        <v>1</v>
      </c>
      <c r="T849" t="str">
        <f>IF(OR(H849="",LOWER(TRIM(H849&amp;""))="missing",LOWER(TRIM(H849&amp;""))=""),"Missing/",IFERROR(IF(OR(VALUE(H849)&lt;0,VALUE(H849)&gt;110),"Invalid","Valid"),"Check Format"))</f>
        <v>Missing/</v>
      </c>
      <c r="U849" t="str">
        <f>IF(Raw_Data[[#This Row],[Age_Check]]="Valid",H849,"")</f>
        <v/>
      </c>
      <c r="V849" t="str">
        <f>IF(OR(K849="",UPPER(TRIM(K849&amp;""))="",LOWER(TRIM(K849&amp;""))="",LOWER(TRIM(K849&amp;""))="",LOWER(TRIM(K849&amp;""))="missing"),"Missing/",IFERROR(IF(VALUE(K849)&lt;0,"Invalid","Valid"),"Check Format"))</f>
        <v>Valid</v>
      </c>
      <c r="W849" t="str">
        <f>IF(OR(E849="",F849=""),"Missing Date/Time",IFERROR(IF(F849&gt;E849,"Arrival After Appointment","OK"),"Check Format"))</f>
        <v>OK</v>
      </c>
      <c r="X849" t="str">
        <f>IF(OR(F849="",G849=""),"Missing Date/Time",IFERROR(IF(G849&lt;F849,"Discharge Before Arrival","OK"),"Check Format"))</f>
        <v>OK</v>
      </c>
    </row>
    <row r="850" spans="1:24" x14ac:dyDescent="0.25">
      <c r="A850" s="2" t="s">
        <v>1424</v>
      </c>
      <c r="B850" s="2" t="s">
        <v>517</v>
      </c>
      <c r="C850" s="3" t="s">
        <v>46</v>
      </c>
      <c r="D850" s="3" t="s">
        <v>23</v>
      </c>
      <c r="E850" s="4" t="s">
        <v>1425</v>
      </c>
      <c r="F850" s="4">
        <v>45309.479166666664</v>
      </c>
      <c r="G850" s="4">
        <v>45309.531944444447</v>
      </c>
      <c r="J850" s="3" t="s">
        <v>62</v>
      </c>
      <c r="K850" s="5">
        <v>11</v>
      </c>
      <c r="L850" s="5">
        <v>40</v>
      </c>
      <c r="M850" s="3" t="s">
        <v>23</v>
      </c>
      <c r="N850" t="s">
        <v>100</v>
      </c>
      <c r="O850" s="5">
        <v>0</v>
      </c>
      <c r="P850" s="3" t="s">
        <v>80</v>
      </c>
      <c r="Q850" s="2">
        <v>188.78</v>
      </c>
      <c r="R850" s="3" t="s">
        <v>58</v>
      </c>
      <c r="S850">
        <f>COUNTIF(A:A,A850)</f>
        <v>1</v>
      </c>
      <c r="T850" t="str">
        <f>IF(OR(H850="",LOWER(TRIM(H850&amp;""))="missing",LOWER(TRIM(H850&amp;""))=""),"Missing/",IFERROR(IF(OR(VALUE(H850)&lt;0,VALUE(H850)&gt;110),"Invalid","Valid"),"Check Format"))</f>
        <v>Missing/</v>
      </c>
      <c r="U850" t="str">
        <f>IF(Raw_Data[[#This Row],[Age_Check]]="Valid",H850,"")</f>
        <v/>
      </c>
      <c r="V850" t="str">
        <f>IF(OR(K850="",UPPER(TRIM(K850&amp;""))="",LOWER(TRIM(K850&amp;""))="",LOWER(TRIM(K850&amp;""))="",LOWER(TRIM(K850&amp;""))="missing"),"Missing/",IFERROR(IF(VALUE(K850)&lt;0,"Invalid","Valid"),"Check Format"))</f>
        <v>Valid</v>
      </c>
      <c r="W850" t="str">
        <f>IF(OR(E850="",F850=""),"Missing Date/Time",IFERROR(IF(F850&gt;E850,"Arrival After Appointment","OK"),"Check Format"))</f>
        <v>OK</v>
      </c>
      <c r="X850" t="str">
        <f>IF(OR(F850="",G850=""),"Missing Date/Time",IFERROR(IF(G850&lt;F850,"Discharge Before Arrival","OK"),"Check Format"))</f>
        <v>OK</v>
      </c>
    </row>
    <row r="851" spans="1:24" x14ac:dyDescent="0.25">
      <c r="A851" s="2" t="s">
        <v>1426</v>
      </c>
      <c r="B851" s="2" t="s">
        <v>966</v>
      </c>
      <c r="C851" s="3" t="s">
        <v>37</v>
      </c>
      <c r="D851" s="3" t="s">
        <v>47</v>
      </c>
      <c r="E851" s="4">
        <v>45881.777777777781</v>
      </c>
      <c r="F851" s="4">
        <v>45881.765972222223</v>
      </c>
      <c r="I851" s="3" t="s">
        <v>95</v>
      </c>
      <c r="J851" s="3" t="s">
        <v>62</v>
      </c>
      <c r="K851" s="5">
        <v>77</v>
      </c>
      <c r="L851" s="5">
        <v>27</v>
      </c>
      <c r="M851" s="3" t="s">
        <v>87</v>
      </c>
      <c r="N851" t="s">
        <v>69</v>
      </c>
      <c r="O851" s="5">
        <v>1</v>
      </c>
      <c r="P851" s="3" t="s">
        <v>25</v>
      </c>
      <c r="Q851" s="2">
        <v>134.96</v>
      </c>
      <c r="R851" s="3" t="s">
        <v>43</v>
      </c>
      <c r="S851">
        <f>COUNTIF(A:A,A851)</f>
        <v>1</v>
      </c>
      <c r="T851" t="str">
        <f>IF(OR(H851="",LOWER(TRIM(H851&amp;""))="missing",LOWER(TRIM(H851&amp;""))=""),"Missing/",IFERROR(IF(OR(VALUE(H851)&lt;0,VALUE(H851)&gt;110),"Invalid","Valid"),"Check Format"))</f>
        <v>Missing/</v>
      </c>
      <c r="U851" t="str">
        <f>IF(Raw_Data[[#This Row],[Age_Check]]="Valid",H851,"")</f>
        <v/>
      </c>
      <c r="V851" t="str">
        <f>IF(OR(K851="",UPPER(TRIM(K851&amp;""))="",LOWER(TRIM(K851&amp;""))="",LOWER(TRIM(K851&amp;""))="",LOWER(TRIM(K851&amp;""))="missing"),"Missing/",IFERROR(IF(VALUE(K851)&lt;0,"Invalid","Valid"),"Check Format"))</f>
        <v>Valid</v>
      </c>
      <c r="W851" t="str">
        <f>IF(OR(E851="",F851=""),"Missing Date/Time",IFERROR(IF(F851&gt;E851,"Arrival After Appointment","OK"),"Check Format"))</f>
        <v>OK</v>
      </c>
      <c r="X851" t="str">
        <f>IF(OR(F851="",G851=""),"Missing Date/Time",IFERROR(IF(G851&lt;F851,"Discharge Before Arrival","OK"),"Check Format"))</f>
        <v>Missing Date/Time</v>
      </c>
    </row>
    <row r="852" spans="1:24" x14ac:dyDescent="0.25">
      <c r="A852" s="2" t="s">
        <v>1427</v>
      </c>
      <c r="B852" s="2" t="s">
        <v>1135</v>
      </c>
      <c r="C852" s="3" t="s">
        <v>37</v>
      </c>
      <c r="D852" s="3" t="s">
        <v>30</v>
      </c>
      <c r="E852" s="4">
        <v>45390.309027777781</v>
      </c>
      <c r="F852" s="4">
        <v>45390.309027777781</v>
      </c>
      <c r="G852" s="4">
        <v>45390.379861111112</v>
      </c>
      <c r="H852" s="5">
        <v>88</v>
      </c>
      <c r="I852" s="3" t="s">
        <v>95</v>
      </c>
      <c r="J852" s="3" t="s">
        <v>67</v>
      </c>
      <c r="K852" s="5">
        <v>69</v>
      </c>
      <c r="L852" s="5">
        <v>33</v>
      </c>
      <c r="M852" s="3" t="s">
        <v>68</v>
      </c>
      <c r="O852" s="5">
        <v>5</v>
      </c>
      <c r="P852" s="3" t="s">
        <v>80</v>
      </c>
      <c r="Q852" s="2">
        <v>0</v>
      </c>
      <c r="R852" s="3" t="s">
        <v>58</v>
      </c>
      <c r="S852">
        <f>COUNTIF(A:A,A852)</f>
        <v>1</v>
      </c>
      <c r="T852" t="str">
        <f>IF(OR(H852="",LOWER(TRIM(H852&amp;""))="missing",LOWER(TRIM(H852&amp;""))=""),"Missing/",IFERROR(IF(OR(VALUE(H852)&lt;0,VALUE(H852)&gt;110),"Invalid","Valid"),"Check Format"))</f>
        <v>Valid</v>
      </c>
      <c r="U852">
        <f>IF(Raw_Data[[#This Row],[Age_Check]]="Valid",H852,"")</f>
        <v>88</v>
      </c>
      <c r="V852" t="str">
        <f>IF(OR(K852="",UPPER(TRIM(K852&amp;""))="",LOWER(TRIM(K852&amp;""))="",LOWER(TRIM(K852&amp;""))="",LOWER(TRIM(K852&amp;""))="missing"),"Missing/",IFERROR(IF(VALUE(K852)&lt;0,"Invalid","Valid"),"Check Format"))</f>
        <v>Valid</v>
      </c>
      <c r="W852" t="str">
        <f>IF(OR(E852="",F852=""),"Missing Date/Time",IFERROR(IF(F852&gt;E852,"Arrival After Appointment","OK"),"Check Format"))</f>
        <v>OK</v>
      </c>
      <c r="X852" t="str">
        <f>IF(OR(F852="",G852=""),"Missing Date/Time",IFERROR(IF(G852&lt;F852,"Discharge Before Arrival","OK"),"Check Format"))</f>
        <v>OK</v>
      </c>
    </row>
    <row r="853" spans="1:24" x14ac:dyDescent="0.25">
      <c r="A853" s="2" t="s">
        <v>1428</v>
      </c>
      <c r="B853" s="2" t="s">
        <v>1429</v>
      </c>
      <c r="C853" s="3" t="s">
        <v>94</v>
      </c>
      <c r="D853" s="3" t="s">
        <v>209</v>
      </c>
      <c r="E853" s="4">
        <v>45541.423611111109</v>
      </c>
      <c r="F853" s="4">
        <v>45541.404166666667</v>
      </c>
      <c r="G853" s="4">
        <v>45541.46875</v>
      </c>
      <c r="I853" s="3" t="s">
        <v>73</v>
      </c>
      <c r="K853" s="5">
        <v>49</v>
      </c>
      <c r="L853" s="5">
        <v>16</v>
      </c>
      <c r="M853" s="3" t="s">
        <v>41</v>
      </c>
      <c r="N853" t="s">
        <v>100</v>
      </c>
      <c r="O853" s="5">
        <v>4</v>
      </c>
      <c r="P853" s="3" t="s">
        <v>80</v>
      </c>
      <c r="Q853" s="2">
        <v>159.02000000000001</v>
      </c>
      <c r="R853" s="3" t="s">
        <v>43</v>
      </c>
      <c r="S853">
        <f>COUNTIF(A:A,A853)</f>
        <v>1</v>
      </c>
      <c r="T853" t="str">
        <f>IF(OR(H853="",LOWER(TRIM(H853&amp;""))="missing",LOWER(TRIM(H853&amp;""))=""),"Missing/",IFERROR(IF(OR(VALUE(H853)&lt;0,VALUE(H853)&gt;110),"Invalid","Valid"),"Check Format"))</f>
        <v>Missing/</v>
      </c>
      <c r="U853" t="str">
        <f>IF(Raw_Data[[#This Row],[Age_Check]]="Valid",H853,"")</f>
        <v/>
      </c>
      <c r="V853" t="str">
        <f>IF(OR(K853="",UPPER(TRIM(K853&amp;""))="",LOWER(TRIM(K853&amp;""))="",LOWER(TRIM(K853&amp;""))="",LOWER(TRIM(K853&amp;""))="missing"),"Missing/",IFERROR(IF(VALUE(K853)&lt;0,"Invalid","Valid"),"Check Format"))</f>
        <v>Valid</v>
      </c>
      <c r="W853" t="str">
        <f>IF(OR(E853="",F853=""),"Missing Date/Time",IFERROR(IF(F853&gt;E853,"Arrival After Appointment","OK"),"Check Format"))</f>
        <v>OK</v>
      </c>
      <c r="X853" t="str">
        <f>IF(OR(F853="",G853=""),"Missing Date/Time",IFERROR(IF(G853&lt;F853,"Discharge Before Arrival","OK"),"Check Format"))</f>
        <v>OK</v>
      </c>
    </row>
    <row r="854" spans="1:24" x14ac:dyDescent="0.25">
      <c r="A854" s="2" t="s">
        <v>1430</v>
      </c>
      <c r="B854" s="2" t="s">
        <v>146</v>
      </c>
      <c r="C854" s="3" t="s">
        <v>94</v>
      </c>
      <c r="D854" s="3" t="s">
        <v>47</v>
      </c>
      <c r="E854" s="4">
        <v>45292.34375</v>
      </c>
      <c r="F854" s="4">
        <v>45292.331944444442</v>
      </c>
      <c r="G854" s="4">
        <v>45292.482638888891</v>
      </c>
      <c r="I854" s="3" t="s">
        <v>95</v>
      </c>
      <c r="J854" s="3" t="s">
        <v>171</v>
      </c>
      <c r="K854" s="5">
        <v>162</v>
      </c>
      <c r="L854" s="5">
        <v>38</v>
      </c>
      <c r="M854" s="3" t="s">
        <v>32</v>
      </c>
      <c r="O854" s="5">
        <v>0</v>
      </c>
      <c r="P854" s="3" t="s">
        <v>25</v>
      </c>
      <c r="Q854" s="2">
        <v>119.92</v>
      </c>
      <c r="R854" s="3" t="s">
        <v>58</v>
      </c>
      <c r="S854">
        <f>COUNTIF(A:A,A854)</f>
        <v>1</v>
      </c>
      <c r="T854" t="str">
        <f>IF(OR(H854="",LOWER(TRIM(H854&amp;""))="missing",LOWER(TRIM(H854&amp;""))=""),"Missing/",IFERROR(IF(OR(VALUE(H854)&lt;0,VALUE(H854)&gt;110),"Invalid","Valid"),"Check Format"))</f>
        <v>Missing/</v>
      </c>
      <c r="U854" t="str">
        <f>IF(Raw_Data[[#This Row],[Age_Check]]="Valid",H854,"")</f>
        <v/>
      </c>
      <c r="V854" t="str">
        <f>IF(OR(K854="",UPPER(TRIM(K854&amp;""))="",LOWER(TRIM(K854&amp;""))="",LOWER(TRIM(K854&amp;""))="",LOWER(TRIM(K854&amp;""))="missing"),"Missing/",IFERROR(IF(VALUE(K854)&lt;0,"Invalid","Valid"),"Check Format"))</f>
        <v>Valid</v>
      </c>
      <c r="W854" t="str">
        <f>IF(OR(E854="",F854=""),"Missing Date/Time",IFERROR(IF(F854&gt;E854,"Arrival After Appointment","OK"),"Check Format"))</f>
        <v>OK</v>
      </c>
      <c r="X854" t="str">
        <f>IF(OR(F854="",G854=""),"Missing Date/Time",IFERROR(IF(G854&lt;F854,"Discharge Before Arrival","OK"),"Check Format"))</f>
        <v>OK</v>
      </c>
    </row>
    <row r="855" spans="1:24" x14ac:dyDescent="0.25">
      <c r="A855" s="2" t="s">
        <v>1431</v>
      </c>
      <c r="B855" s="2" t="s">
        <v>310</v>
      </c>
      <c r="C855" s="3" t="s">
        <v>46</v>
      </c>
      <c r="D855" s="3" t="s">
        <v>38</v>
      </c>
      <c r="E855" s="4">
        <v>45477.708333333336</v>
      </c>
      <c r="F855" s="4">
        <v>45389.688194444447</v>
      </c>
      <c r="G855" s="4">
        <v>45389.798611111109</v>
      </c>
      <c r="I855" s="3" t="s">
        <v>73</v>
      </c>
      <c r="J855" s="3" t="s">
        <v>67</v>
      </c>
      <c r="K855" s="5">
        <v>90</v>
      </c>
      <c r="L855" s="5">
        <v>40</v>
      </c>
      <c r="M855" s="3" t="s">
        <v>23</v>
      </c>
      <c r="O855" s="5">
        <v>6</v>
      </c>
      <c r="P855" s="3" t="s">
        <v>80</v>
      </c>
      <c r="Q855" s="2">
        <v>178.61</v>
      </c>
      <c r="R855" s="3" t="s">
        <v>58</v>
      </c>
      <c r="S855">
        <f>COUNTIF(A:A,A855)</f>
        <v>1</v>
      </c>
      <c r="T855" t="str">
        <f>IF(OR(H855="",LOWER(TRIM(H855&amp;""))="missing",LOWER(TRIM(H855&amp;""))=""),"Missing/",IFERROR(IF(OR(VALUE(H855)&lt;0,VALUE(H855)&gt;110),"Invalid","Valid"),"Check Format"))</f>
        <v>Missing/</v>
      </c>
      <c r="U855" t="str">
        <f>IF(Raw_Data[[#This Row],[Age_Check]]="Valid",H855,"")</f>
        <v/>
      </c>
      <c r="V855" t="str">
        <f>IF(OR(K855="",UPPER(TRIM(K855&amp;""))="",LOWER(TRIM(K855&amp;""))="",LOWER(TRIM(K855&amp;""))="",LOWER(TRIM(K855&amp;""))="missing"),"Missing/",IFERROR(IF(VALUE(K855)&lt;0,"Invalid","Valid"),"Check Format"))</f>
        <v>Valid</v>
      </c>
      <c r="W855" t="str">
        <f>IF(OR(E855="",F855=""),"Missing Date/Time",IFERROR(IF(F855&gt;E855,"Arrival After Appointment","OK"),"Check Format"))</f>
        <v>OK</v>
      </c>
      <c r="X855" t="str">
        <f>IF(OR(F855="",G855=""),"Missing Date/Time",IFERROR(IF(G855&lt;F855,"Discharge Before Arrival","OK"),"Check Format"))</f>
        <v>OK</v>
      </c>
    </row>
    <row r="856" spans="1:24" x14ac:dyDescent="0.25">
      <c r="A856" s="2" t="s">
        <v>1432</v>
      </c>
      <c r="B856" s="2" t="s">
        <v>1069</v>
      </c>
      <c r="C856" s="3" t="s">
        <v>46</v>
      </c>
      <c r="D856" s="3" t="s">
        <v>47</v>
      </c>
      <c r="E856" s="4">
        <v>45899.572916666664</v>
      </c>
      <c r="F856" s="4">
        <v>45899.5625</v>
      </c>
      <c r="G856" s="4">
        <v>45899.675694444442</v>
      </c>
      <c r="I856" s="3" t="s">
        <v>95</v>
      </c>
      <c r="K856" s="5">
        <v>79</v>
      </c>
      <c r="L856" s="5">
        <v>69</v>
      </c>
      <c r="N856" t="s">
        <v>69</v>
      </c>
      <c r="O856" s="5">
        <v>6</v>
      </c>
      <c r="P856" s="3" t="s">
        <v>80</v>
      </c>
      <c r="Q856" s="2">
        <v>54.53</v>
      </c>
      <c r="R856" s="3" t="s">
        <v>26</v>
      </c>
      <c r="S856">
        <f>COUNTIF(A:A,A856)</f>
        <v>1</v>
      </c>
      <c r="T856" t="str">
        <f>IF(OR(H856="",LOWER(TRIM(H856&amp;""))="missing",LOWER(TRIM(H856&amp;""))=""),"Missing/",IFERROR(IF(OR(VALUE(H856)&lt;0,VALUE(H856)&gt;110),"Invalid","Valid"),"Check Format"))</f>
        <v>Missing/</v>
      </c>
      <c r="U856" t="str">
        <f>IF(Raw_Data[[#This Row],[Age_Check]]="Valid",H856,"")</f>
        <v/>
      </c>
      <c r="V856" t="str">
        <f>IF(OR(K856="",UPPER(TRIM(K856&amp;""))="",LOWER(TRIM(K856&amp;""))="",LOWER(TRIM(K856&amp;""))="",LOWER(TRIM(K856&amp;""))="missing"),"Missing/",IFERROR(IF(VALUE(K856)&lt;0,"Invalid","Valid"),"Check Format"))</f>
        <v>Valid</v>
      </c>
      <c r="W856" t="str">
        <f>IF(OR(E856="",F856=""),"Missing Date/Time",IFERROR(IF(F856&gt;E856,"Arrival After Appointment","OK"),"Check Format"))</f>
        <v>OK</v>
      </c>
      <c r="X856" t="str">
        <f>IF(OR(F856="",G856=""),"Missing Date/Time",IFERROR(IF(G856&lt;F856,"Discharge Before Arrival","OK"),"Check Format"))</f>
        <v>OK</v>
      </c>
    </row>
    <row r="857" spans="1:24" x14ac:dyDescent="0.25">
      <c r="A857" s="2" t="s">
        <v>1433</v>
      </c>
      <c r="B857" s="2" t="s">
        <v>465</v>
      </c>
      <c r="C857" s="3" t="s">
        <v>37</v>
      </c>
      <c r="D857" s="3" t="s">
        <v>149</v>
      </c>
      <c r="E857" s="4">
        <v>45623.59375</v>
      </c>
      <c r="F857" s="4">
        <v>45623.57916666667</v>
      </c>
      <c r="G857" s="4">
        <v>45623.655555555553</v>
      </c>
      <c r="I857" s="3" t="s">
        <v>90</v>
      </c>
      <c r="J857" s="3" t="s">
        <v>22</v>
      </c>
      <c r="K857" s="5">
        <v>74</v>
      </c>
      <c r="L857" s="5">
        <v>15</v>
      </c>
      <c r="M857" s="3" t="s">
        <v>68</v>
      </c>
      <c r="O857" s="5">
        <v>0</v>
      </c>
      <c r="P857" s="3" t="s">
        <v>25</v>
      </c>
      <c r="Q857" s="2">
        <v>189.44</v>
      </c>
      <c r="R857" s="3" t="s">
        <v>43</v>
      </c>
      <c r="S857">
        <f>COUNTIF(A:A,A857)</f>
        <v>1</v>
      </c>
      <c r="T857" t="str">
        <f>IF(OR(H857="",LOWER(TRIM(H857&amp;""))="missing",LOWER(TRIM(H857&amp;""))=""),"Missing/",IFERROR(IF(OR(VALUE(H857)&lt;0,VALUE(H857)&gt;110),"Invalid","Valid"),"Check Format"))</f>
        <v>Missing/</v>
      </c>
      <c r="U857" t="str">
        <f>IF(Raw_Data[[#This Row],[Age_Check]]="Valid",H857,"")</f>
        <v/>
      </c>
      <c r="V857" t="str">
        <f>IF(OR(K857="",UPPER(TRIM(K857&amp;""))="",LOWER(TRIM(K857&amp;""))="",LOWER(TRIM(K857&amp;""))="",LOWER(TRIM(K857&amp;""))="missing"),"Missing/",IFERROR(IF(VALUE(K857)&lt;0,"Invalid","Valid"),"Check Format"))</f>
        <v>Valid</v>
      </c>
      <c r="W857" t="str">
        <f>IF(OR(E857="",F857=""),"Missing Date/Time",IFERROR(IF(F857&gt;E857,"Arrival After Appointment","OK"),"Check Format"))</f>
        <v>OK</v>
      </c>
      <c r="X857" t="str">
        <f>IF(OR(F857="",G857=""),"Missing Date/Time",IFERROR(IF(G857&lt;F857,"Discharge Before Arrival","OK"),"Check Format"))</f>
        <v>OK</v>
      </c>
    </row>
    <row r="858" spans="1:24" x14ac:dyDescent="0.25">
      <c r="A858" s="2" t="s">
        <v>1434</v>
      </c>
      <c r="B858" s="2" t="s">
        <v>769</v>
      </c>
      <c r="D858" s="3" t="s">
        <v>174</v>
      </c>
      <c r="E858" s="4">
        <v>45603.357638888891</v>
      </c>
      <c r="F858" s="4">
        <v>45603.343055555553</v>
      </c>
      <c r="G858" s="4">
        <v>45603.39166666667</v>
      </c>
      <c r="J858" s="3" t="s">
        <v>67</v>
      </c>
      <c r="K858" s="5">
        <v>25</v>
      </c>
      <c r="L858" s="5">
        <v>24</v>
      </c>
      <c r="M858" s="3" t="s">
        <v>63</v>
      </c>
      <c r="N858" t="s">
        <v>69</v>
      </c>
      <c r="O858" s="5">
        <v>6</v>
      </c>
      <c r="P858" s="3" t="s">
        <v>80</v>
      </c>
      <c r="Q858" s="2">
        <v>121.39</v>
      </c>
      <c r="R858" s="3" t="s">
        <v>26</v>
      </c>
      <c r="S858">
        <f>COUNTIF(A:A,A858)</f>
        <v>1</v>
      </c>
      <c r="T858" t="str">
        <f>IF(OR(H858="",LOWER(TRIM(H858&amp;""))="missing",LOWER(TRIM(H858&amp;""))=""),"Missing/",IFERROR(IF(OR(VALUE(H858)&lt;0,VALUE(H858)&gt;110),"Invalid","Valid"),"Check Format"))</f>
        <v>Missing/</v>
      </c>
      <c r="U858" t="str">
        <f>IF(Raw_Data[[#This Row],[Age_Check]]="Valid",H858,"")</f>
        <v/>
      </c>
      <c r="V858" t="str">
        <f>IF(OR(K858="",UPPER(TRIM(K858&amp;""))="",LOWER(TRIM(K858&amp;""))="",LOWER(TRIM(K858&amp;""))="",LOWER(TRIM(K858&amp;""))="missing"),"Missing/",IFERROR(IF(VALUE(K858)&lt;0,"Invalid","Valid"),"Check Format"))</f>
        <v>Valid</v>
      </c>
      <c r="W858" t="str">
        <f>IF(OR(E858="",F858=""),"Missing Date/Time",IFERROR(IF(F858&gt;E858,"Arrival After Appointment","OK"),"Check Format"))</f>
        <v>OK</v>
      </c>
      <c r="X858" t="str">
        <f>IF(OR(F858="",G858=""),"Missing Date/Time",IFERROR(IF(G858&lt;F858,"Discharge Before Arrival","OK"),"Check Format"))</f>
        <v>OK</v>
      </c>
    </row>
    <row r="859" spans="1:24" x14ac:dyDescent="0.25">
      <c r="A859" s="2" t="s">
        <v>1435</v>
      </c>
      <c r="B859" s="2" t="s">
        <v>855</v>
      </c>
      <c r="C859" s="3" t="s">
        <v>19</v>
      </c>
      <c r="D859" s="3" t="s">
        <v>20</v>
      </c>
      <c r="E859" s="4">
        <v>45587.611111111109</v>
      </c>
      <c r="F859" s="4">
        <v>45587.604861111111</v>
      </c>
      <c r="G859" s="4">
        <v>45587.708333333336</v>
      </c>
      <c r="I859" s="3" t="s">
        <v>90</v>
      </c>
      <c r="J859" s="3" t="s">
        <v>150</v>
      </c>
      <c r="K859" s="5">
        <v>92</v>
      </c>
      <c r="L859" s="5">
        <v>48</v>
      </c>
      <c r="M859" s="3" t="s">
        <v>41</v>
      </c>
      <c r="N859" t="s">
        <v>74</v>
      </c>
      <c r="P859" s="3" t="s">
        <v>42</v>
      </c>
      <c r="Q859" s="2">
        <v>45.34</v>
      </c>
      <c r="R859" s="3" t="s">
        <v>58</v>
      </c>
      <c r="S859">
        <f>COUNTIF(A:A,A859)</f>
        <v>1</v>
      </c>
      <c r="T859" t="str">
        <f>IF(OR(H859="",LOWER(TRIM(H859&amp;""))="missing",LOWER(TRIM(H859&amp;""))=""),"Missing/",IFERROR(IF(OR(VALUE(H859)&lt;0,VALUE(H859)&gt;110),"Invalid","Valid"),"Check Format"))</f>
        <v>Missing/</v>
      </c>
      <c r="U859" t="str">
        <f>IF(Raw_Data[[#This Row],[Age_Check]]="Valid",H859,"")</f>
        <v/>
      </c>
      <c r="V859" t="str">
        <f>IF(OR(K859="",UPPER(TRIM(K859&amp;""))="",LOWER(TRIM(K859&amp;""))="",LOWER(TRIM(K859&amp;""))="",LOWER(TRIM(K859&amp;""))="missing"),"Missing/",IFERROR(IF(VALUE(K859)&lt;0,"Invalid","Valid"),"Check Format"))</f>
        <v>Valid</v>
      </c>
      <c r="W859" t="str">
        <f>IF(OR(E859="",F859=""),"Missing Date/Time",IFERROR(IF(F859&gt;E859,"Arrival After Appointment","OK"),"Check Format"))</f>
        <v>OK</v>
      </c>
      <c r="X859" t="str">
        <f>IF(OR(F859="",G859=""),"Missing Date/Time",IFERROR(IF(G859&lt;F859,"Discharge Before Arrival","OK"),"Check Format"))</f>
        <v>OK</v>
      </c>
    </row>
    <row r="860" spans="1:24" x14ac:dyDescent="0.25">
      <c r="A860" s="2" t="s">
        <v>1436</v>
      </c>
      <c r="B860" s="2" t="s">
        <v>1437</v>
      </c>
      <c r="C860" s="3" t="s">
        <v>46</v>
      </c>
      <c r="D860" s="3" t="s">
        <v>174</v>
      </c>
      <c r="E860" s="4">
        <v>45324.395833333336</v>
      </c>
      <c r="F860" s="4">
        <v>45324.376388888886</v>
      </c>
      <c r="J860" s="3" t="s">
        <v>171</v>
      </c>
      <c r="K860" s="5">
        <v>59</v>
      </c>
      <c r="L860" s="5">
        <v>19</v>
      </c>
      <c r="M860" s="3" t="s">
        <v>63</v>
      </c>
      <c r="N860" t="s">
        <v>91</v>
      </c>
      <c r="O860" s="5">
        <v>1</v>
      </c>
      <c r="P860" s="3" t="s">
        <v>25</v>
      </c>
      <c r="Q860" s="2">
        <v>44.32</v>
      </c>
      <c r="R860" s="3" t="s">
        <v>26</v>
      </c>
      <c r="S860">
        <f>COUNTIF(A:A,A860)</f>
        <v>1</v>
      </c>
      <c r="T860" t="str">
        <f>IF(OR(H860="",LOWER(TRIM(H860&amp;""))="missing",LOWER(TRIM(H860&amp;""))=""),"Missing/",IFERROR(IF(OR(VALUE(H860)&lt;0,VALUE(H860)&gt;110),"Invalid","Valid"),"Check Format"))</f>
        <v>Missing/</v>
      </c>
      <c r="U860" t="str">
        <f>IF(Raw_Data[[#This Row],[Age_Check]]="Valid",H860,"")</f>
        <v/>
      </c>
      <c r="V860" t="str">
        <f>IF(OR(K860="",UPPER(TRIM(K860&amp;""))="",LOWER(TRIM(K860&amp;""))="",LOWER(TRIM(K860&amp;""))="",LOWER(TRIM(K860&amp;""))="missing"),"Missing/",IFERROR(IF(VALUE(K860)&lt;0,"Invalid","Valid"),"Check Format"))</f>
        <v>Valid</v>
      </c>
      <c r="W860" t="str">
        <f>IF(OR(E860="",F860=""),"Missing Date/Time",IFERROR(IF(F860&gt;E860,"Arrival After Appointment","OK"),"Check Format"))</f>
        <v>OK</v>
      </c>
      <c r="X860" t="str">
        <f>IF(OR(F860="",G860=""),"Missing Date/Time",IFERROR(IF(G860&lt;F860,"Discharge Before Arrival","OK"),"Check Format"))</f>
        <v>Missing Date/Time</v>
      </c>
    </row>
    <row r="861" spans="1:24" x14ac:dyDescent="0.25">
      <c r="A861" s="2" t="s">
        <v>1438</v>
      </c>
      <c r="B861" s="2" t="s">
        <v>1439</v>
      </c>
      <c r="D861" s="3" t="s">
        <v>47</v>
      </c>
      <c r="E861" s="4">
        <v>45334.524305555555</v>
      </c>
      <c r="F861" s="4">
        <v>45334.505555555559</v>
      </c>
      <c r="G861" s="4">
        <v>45334.57708333333</v>
      </c>
      <c r="I861" s="3" t="s">
        <v>95</v>
      </c>
      <c r="J861" s="3" t="s">
        <v>22</v>
      </c>
      <c r="K861" s="5">
        <v>50</v>
      </c>
      <c r="L861" s="5">
        <v>26</v>
      </c>
      <c r="M861" s="3" t="s">
        <v>50</v>
      </c>
      <c r="N861" t="s">
        <v>74</v>
      </c>
      <c r="P861" s="3" t="s">
        <v>25</v>
      </c>
      <c r="R861" s="3" t="s">
        <v>43</v>
      </c>
      <c r="S861">
        <f>COUNTIF(A:A,A861)</f>
        <v>1</v>
      </c>
      <c r="T861" t="str">
        <f>IF(OR(H861="",LOWER(TRIM(H861&amp;""))="missing",LOWER(TRIM(H861&amp;""))=""),"Missing/",IFERROR(IF(OR(VALUE(H861)&lt;0,VALUE(H861)&gt;110),"Invalid","Valid"),"Check Format"))</f>
        <v>Missing/</v>
      </c>
      <c r="U861" t="str">
        <f>IF(Raw_Data[[#This Row],[Age_Check]]="Valid",H861,"")</f>
        <v/>
      </c>
      <c r="V861" t="str">
        <f>IF(OR(K861="",UPPER(TRIM(K861&amp;""))="",LOWER(TRIM(K861&amp;""))="",LOWER(TRIM(K861&amp;""))="",LOWER(TRIM(K861&amp;""))="missing"),"Missing/",IFERROR(IF(VALUE(K861)&lt;0,"Invalid","Valid"),"Check Format"))</f>
        <v>Valid</v>
      </c>
      <c r="W861" t="str">
        <f>IF(OR(E861="",F861=""),"Missing Date/Time",IFERROR(IF(F861&gt;E861,"Arrival After Appointment","OK"),"Check Format"))</f>
        <v>OK</v>
      </c>
      <c r="X861" t="str">
        <f>IF(OR(F861="",G861=""),"Missing Date/Time",IFERROR(IF(G861&lt;F861,"Discharge Before Arrival","OK"),"Check Format"))</f>
        <v>OK</v>
      </c>
    </row>
    <row r="862" spans="1:24" x14ac:dyDescent="0.25">
      <c r="A862" s="2" t="s">
        <v>1440</v>
      </c>
      <c r="B862" s="2" t="s">
        <v>385</v>
      </c>
      <c r="C862" s="3" t="s">
        <v>94</v>
      </c>
      <c r="D862" s="3" t="s">
        <v>47</v>
      </c>
      <c r="E862" s="4">
        <v>45987.545138888891</v>
      </c>
      <c r="F862" s="4">
        <v>45987.533333333333</v>
      </c>
      <c r="G862" s="4">
        <v>45987.67083333333</v>
      </c>
      <c r="J862" s="3" t="s">
        <v>150</v>
      </c>
      <c r="K862" s="5">
        <v>142</v>
      </c>
      <c r="L862" s="5">
        <v>39</v>
      </c>
      <c r="M862" s="3" t="s">
        <v>63</v>
      </c>
      <c r="N862" t="s">
        <v>69</v>
      </c>
      <c r="O862" s="5">
        <v>4</v>
      </c>
      <c r="P862" s="3" t="s">
        <v>25</v>
      </c>
      <c r="Q862" s="2">
        <v>34.79</v>
      </c>
      <c r="R862" s="3" t="s">
        <v>58</v>
      </c>
      <c r="S862">
        <f>COUNTIF(A:A,A862)</f>
        <v>1</v>
      </c>
      <c r="T862" t="str">
        <f>IF(OR(H862="",LOWER(TRIM(H862&amp;""))="missing",LOWER(TRIM(H862&amp;""))=""),"Missing/",IFERROR(IF(OR(VALUE(H862)&lt;0,VALUE(H862)&gt;110),"Invalid","Valid"),"Check Format"))</f>
        <v>Missing/</v>
      </c>
      <c r="U862" t="str">
        <f>IF(Raw_Data[[#This Row],[Age_Check]]="Valid",H862,"")</f>
        <v/>
      </c>
      <c r="V862" t="str">
        <f>IF(OR(K862="",UPPER(TRIM(K862&amp;""))="",LOWER(TRIM(K862&amp;""))="",LOWER(TRIM(K862&amp;""))="",LOWER(TRIM(K862&amp;""))="missing"),"Missing/",IFERROR(IF(VALUE(K862)&lt;0,"Invalid","Valid"),"Check Format"))</f>
        <v>Valid</v>
      </c>
      <c r="W862" t="str">
        <f>IF(OR(E862="",F862=""),"Missing Date/Time",IFERROR(IF(F862&gt;E862,"Arrival After Appointment","OK"),"Check Format"))</f>
        <v>OK</v>
      </c>
      <c r="X862" t="str">
        <f>IF(OR(F862="",G862=""),"Missing Date/Time",IFERROR(IF(G862&lt;F862,"Discharge Before Arrival","OK"),"Check Format"))</f>
        <v>OK</v>
      </c>
    </row>
    <row r="863" spans="1:24" x14ac:dyDescent="0.25">
      <c r="A863" s="2" t="s">
        <v>1441</v>
      </c>
      <c r="B863" s="2" t="s">
        <v>980</v>
      </c>
      <c r="C863" s="3" t="s">
        <v>19</v>
      </c>
      <c r="D863" s="3" t="s">
        <v>47</v>
      </c>
      <c r="E863" s="4">
        <v>45950.291666666664</v>
      </c>
      <c r="G863" s="4">
        <v>45950.352777777778</v>
      </c>
      <c r="I863" s="3" t="s">
        <v>95</v>
      </c>
      <c r="J863" s="3" t="s">
        <v>62</v>
      </c>
      <c r="K863" s="5">
        <v>38</v>
      </c>
      <c r="L863" s="5">
        <v>50</v>
      </c>
      <c r="M863" s="3" t="s">
        <v>87</v>
      </c>
      <c r="N863" t="s">
        <v>69</v>
      </c>
      <c r="P863" s="3" t="s">
        <v>25</v>
      </c>
      <c r="Q863" s="2">
        <v>312.08</v>
      </c>
      <c r="R863" s="3" t="s">
        <v>26</v>
      </c>
      <c r="S863">
        <f>COUNTIF(A:A,A863)</f>
        <v>1</v>
      </c>
      <c r="T863" t="str">
        <f>IF(OR(H863="",LOWER(TRIM(H863&amp;""))="missing",LOWER(TRIM(H863&amp;""))=""),"Missing/",IFERROR(IF(OR(VALUE(H863)&lt;0,VALUE(H863)&gt;110),"Invalid","Valid"),"Check Format"))</f>
        <v>Missing/</v>
      </c>
      <c r="U863" t="str">
        <f>IF(Raw_Data[[#This Row],[Age_Check]]="Valid",H863,"")</f>
        <v/>
      </c>
      <c r="V863" t="str">
        <f>IF(OR(K863="",UPPER(TRIM(K863&amp;""))="",LOWER(TRIM(K863&amp;""))="",LOWER(TRIM(K863&amp;""))="",LOWER(TRIM(K863&amp;""))="missing"),"Missing/",IFERROR(IF(VALUE(K863)&lt;0,"Invalid","Valid"),"Check Format"))</f>
        <v>Valid</v>
      </c>
      <c r="W863" t="str">
        <f>IF(OR(E863="",F863=""),"Missing Date/Time",IFERROR(IF(F863&gt;E863,"Arrival After Appointment","OK"),"Check Format"))</f>
        <v>Missing Date/Time</v>
      </c>
      <c r="X863" t="str">
        <f>IF(OR(F863="",G863=""),"Missing Date/Time",IFERROR(IF(G863&lt;F863,"Discharge Before Arrival","OK"),"Check Format"))</f>
        <v>Missing Date/Time</v>
      </c>
    </row>
    <row r="864" spans="1:24" x14ac:dyDescent="0.25">
      <c r="A864" s="2" t="s">
        <v>1442</v>
      </c>
      <c r="B864" s="2" t="s">
        <v>749</v>
      </c>
      <c r="C864" s="3" t="s">
        <v>29</v>
      </c>
      <c r="D864" s="3" t="s">
        <v>55</v>
      </c>
      <c r="E864" s="4">
        <v>45460.458333333336</v>
      </c>
      <c r="F864" s="4">
        <v>45460.449305555558</v>
      </c>
      <c r="G864" s="4">
        <v>45460.463194444441</v>
      </c>
      <c r="I864" s="3" t="s">
        <v>95</v>
      </c>
      <c r="J864" s="3" t="s">
        <v>67</v>
      </c>
      <c r="K864" s="5">
        <v>2</v>
      </c>
      <c r="L864" s="5">
        <v>5</v>
      </c>
      <c r="M864" s="3" t="s">
        <v>68</v>
      </c>
      <c r="N864" t="s">
        <v>69</v>
      </c>
      <c r="O864" s="5">
        <v>1</v>
      </c>
      <c r="P864" s="3" t="s">
        <v>25</v>
      </c>
      <c r="Q864" s="2">
        <v>294.68</v>
      </c>
      <c r="R864" s="3" t="s">
        <v>75</v>
      </c>
      <c r="S864">
        <f>COUNTIF(A:A,A864)</f>
        <v>1</v>
      </c>
      <c r="T864" t="str">
        <f>IF(OR(H864="",LOWER(TRIM(H864&amp;""))="missing",LOWER(TRIM(H864&amp;""))=""),"Missing/",IFERROR(IF(OR(VALUE(H864)&lt;0,VALUE(H864)&gt;110),"Invalid","Valid"),"Check Format"))</f>
        <v>Missing/</v>
      </c>
      <c r="U864" t="str">
        <f>IF(Raw_Data[[#This Row],[Age_Check]]="Valid",H864,"")</f>
        <v/>
      </c>
      <c r="V864" t="str">
        <f>IF(OR(K864="",UPPER(TRIM(K864&amp;""))="",LOWER(TRIM(K864&amp;""))="",LOWER(TRIM(K864&amp;""))="",LOWER(TRIM(K864&amp;""))="missing"),"Missing/",IFERROR(IF(VALUE(K864)&lt;0,"Invalid","Valid"),"Check Format"))</f>
        <v>Valid</v>
      </c>
      <c r="W864" t="str">
        <f>IF(OR(E864="",F864=""),"Missing Date/Time",IFERROR(IF(F864&gt;E864,"Arrival After Appointment","OK"),"Check Format"))</f>
        <v>OK</v>
      </c>
      <c r="X864" t="str">
        <f>IF(OR(F864="",G864=""),"Missing Date/Time",IFERROR(IF(G864&lt;F864,"Discharge Before Arrival","OK"),"Check Format"))</f>
        <v>OK</v>
      </c>
    </row>
    <row r="865" spans="1:24" x14ac:dyDescent="0.25">
      <c r="A865" s="2" t="s">
        <v>1443</v>
      </c>
      <c r="B865" s="2" t="s">
        <v>472</v>
      </c>
      <c r="C865" s="3" t="s">
        <v>37</v>
      </c>
      <c r="D865" s="3" t="s">
        <v>61</v>
      </c>
      <c r="E865" s="4">
        <v>45813.555555555555</v>
      </c>
      <c r="F865" s="4">
        <v>45783.548611111109</v>
      </c>
      <c r="G865" s="4">
        <v>45783.615972222222</v>
      </c>
      <c r="H865" s="5">
        <v>68</v>
      </c>
      <c r="I865" s="3" t="s">
        <v>39</v>
      </c>
      <c r="K865" s="5">
        <v>71</v>
      </c>
      <c r="L865" s="5">
        <v>16</v>
      </c>
      <c r="M865" s="3" t="s">
        <v>87</v>
      </c>
      <c r="N865" t="s">
        <v>24</v>
      </c>
      <c r="P865" s="3" t="s">
        <v>25</v>
      </c>
      <c r="Q865" s="2">
        <v>187.77</v>
      </c>
      <c r="R865" s="3" t="s">
        <v>43</v>
      </c>
      <c r="S865">
        <f>COUNTIF(A:A,A865)</f>
        <v>1</v>
      </c>
      <c r="T865" t="str">
        <f>IF(OR(H865="",LOWER(TRIM(H865&amp;""))="missing",LOWER(TRIM(H865&amp;""))=""),"Missing/",IFERROR(IF(OR(VALUE(H865)&lt;0,VALUE(H865)&gt;110),"Invalid","Valid"),"Check Format"))</f>
        <v>Valid</v>
      </c>
      <c r="U865">
        <f>IF(Raw_Data[[#This Row],[Age_Check]]="Valid",H865,"")</f>
        <v>68</v>
      </c>
      <c r="V865" t="str">
        <f>IF(OR(K865="",UPPER(TRIM(K865&amp;""))="",LOWER(TRIM(K865&amp;""))="",LOWER(TRIM(K865&amp;""))="",LOWER(TRIM(K865&amp;""))="missing"),"Missing/",IFERROR(IF(VALUE(K865)&lt;0,"Invalid","Valid"),"Check Format"))</f>
        <v>Valid</v>
      </c>
      <c r="W865" t="str">
        <f>IF(OR(E865="",F865=""),"Missing Date/Time",IFERROR(IF(F865&gt;E865,"Arrival After Appointment","OK"),"Check Format"))</f>
        <v>OK</v>
      </c>
      <c r="X865" t="str">
        <f>IF(OR(F865="",G865=""),"Missing Date/Time",IFERROR(IF(G865&lt;F865,"Discharge Before Arrival","OK"),"Check Format"))</f>
        <v>OK</v>
      </c>
    </row>
    <row r="866" spans="1:24" x14ac:dyDescent="0.25">
      <c r="A866" s="2" t="s">
        <v>1444</v>
      </c>
      <c r="B866" s="2" t="s">
        <v>818</v>
      </c>
      <c r="C866" s="3" t="s">
        <v>19</v>
      </c>
      <c r="D866" s="3" t="s">
        <v>72</v>
      </c>
      <c r="E866" s="4">
        <v>45902.291666666664</v>
      </c>
      <c r="F866" s="4">
        <v>45902.290277777778</v>
      </c>
      <c r="G866" s="4">
        <v>45902.313888888886</v>
      </c>
      <c r="I866" s="3" t="s">
        <v>95</v>
      </c>
      <c r="J866" s="3" t="s">
        <v>2639</v>
      </c>
      <c r="K866" s="5">
        <v>0</v>
      </c>
      <c r="L866" s="5">
        <v>32</v>
      </c>
      <c r="M866" s="3" t="s">
        <v>32</v>
      </c>
      <c r="N866" t="s">
        <v>24</v>
      </c>
      <c r="P866" s="3" t="s">
        <v>25</v>
      </c>
      <c r="Q866" s="2">
        <v>171.23</v>
      </c>
      <c r="R866" s="3" t="s">
        <v>43</v>
      </c>
      <c r="S866">
        <f>COUNTIF(A:A,A866)</f>
        <v>1</v>
      </c>
      <c r="T866" t="str">
        <f>IF(OR(H866="",LOWER(TRIM(H866&amp;""))="missing",LOWER(TRIM(H866&amp;""))=""),"Missing/",IFERROR(IF(OR(VALUE(H866)&lt;0,VALUE(H866)&gt;110),"Invalid","Valid"),"Check Format"))</f>
        <v>Missing/</v>
      </c>
      <c r="U866" t="str">
        <f>IF(Raw_Data[[#This Row],[Age_Check]]="Valid",H866,"")</f>
        <v/>
      </c>
      <c r="V866" t="str">
        <f>IF(OR(K866="",UPPER(TRIM(K866&amp;""))="",LOWER(TRIM(K866&amp;""))="",LOWER(TRIM(K866&amp;""))="",LOWER(TRIM(K866&amp;""))="missing"),"Missing/",IFERROR(IF(VALUE(K866)&lt;0,"Invalid","Valid"),"Check Format"))</f>
        <v>Valid</v>
      </c>
      <c r="W866" t="str">
        <f>IF(OR(E866="",F866=""),"Missing Date/Time",IFERROR(IF(F866&gt;E866,"Arrival After Appointment","OK"),"Check Format"))</f>
        <v>OK</v>
      </c>
      <c r="X866" t="str">
        <f>IF(OR(F866="",G866=""),"Missing Date/Time",IFERROR(IF(G866&lt;F866,"Discharge Before Arrival","OK"),"Check Format"))</f>
        <v>OK</v>
      </c>
    </row>
    <row r="867" spans="1:24" x14ac:dyDescent="0.25">
      <c r="A867" s="2" t="s">
        <v>1445</v>
      </c>
      <c r="B867" s="2" t="s">
        <v>880</v>
      </c>
      <c r="C867" s="3" t="s">
        <v>29</v>
      </c>
      <c r="D867" s="3" t="s">
        <v>55</v>
      </c>
      <c r="E867" s="4" t="s">
        <v>1446</v>
      </c>
      <c r="F867" s="4">
        <v>45620.623611111114</v>
      </c>
      <c r="G867" s="4">
        <v>45620.713888888888</v>
      </c>
      <c r="H867" s="5">
        <v>145</v>
      </c>
      <c r="I867" s="3" t="s">
        <v>39</v>
      </c>
      <c r="J867" s="3" t="s">
        <v>171</v>
      </c>
      <c r="K867" s="5">
        <v>90</v>
      </c>
      <c r="L867" s="5">
        <v>13</v>
      </c>
      <c r="M867" s="3" t="s">
        <v>32</v>
      </c>
      <c r="N867" t="s">
        <v>91</v>
      </c>
      <c r="O867" s="5">
        <v>0</v>
      </c>
      <c r="P867" s="3" t="s">
        <v>25</v>
      </c>
      <c r="R867" s="3" t="s">
        <v>58</v>
      </c>
      <c r="S867">
        <f>COUNTIF(A:A,A867)</f>
        <v>1</v>
      </c>
      <c r="T867" t="str">
        <f>IF(OR(H867="",LOWER(TRIM(H867&amp;""))="missing",LOWER(TRIM(H867&amp;""))=""),"Missing/",IFERROR(IF(OR(VALUE(H867)&lt;0,VALUE(H867)&gt;110),"Invalid","Valid"),"Check Format"))</f>
        <v>Invalid</v>
      </c>
      <c r="U867" t="str">
        <f>IF(Raw_Data[[#This Row],[Age_Check]]="Valid",H867,"")</f>
        <v/>
      </c>
      <c r="V867" t="str">
        <f>IF(OR(K867="",UPPER(TRIM(K867&amp;""))="",LOWER(TRIM(K867&amp;""))="",LOWER(TRIM(K867&amp;""))="",LOWER(TRIM(K867&amp;""))="missing"),"Missing/",IFERROR(IF(VALUE(K867)&lt;0,"Invalid","Valid"),"Check Format"))</f>
        <v>Valid</v>
      </c>
      <c r="W867" t="str">
        <f>IF(OR(E867="",F867=""),"Missing Date/Time",IFERROR(IF(F867&gt;E867,"Arrival After Appointment","OK"),"Check Format"))</f>
        <v>OK</v>
      </c>
      <c r="X867" t="str">
        <f>IF(OR(F867="",G867=""),"Missing Date/Time",IFERROR(IF(G867&lt;F867,"Discharge Before Arrival","OK"),"Check Format"))</f>
        <v>OK</v>
      </c>
    </row>
    <row r="868" spans="1:24" x14ac:dyDescent="0.25">
      <c r="A868" s="2" t="s">
        <v>1447</v>
      </c>
      <c r="B868" s="2" t="s">
        <v>896</v>
      </c>
      <c r="C868" s="3" t="s">
        <v>37</v>
      </c>
      <c r="D868" s="3" t="s">
        <v>174</v>
      </c>
      <c r="E868" s="4">
        <v>45786.347222222219</v>
      </c>
      <c r="F868" s="4">
        <v>45905.333333333336</v>
      </c>
      <c r="G868" s="4">
        <v>45905.399305555555</v>
      </c>
      <c r="J868" s="3" t="s">
        <v>62</v>
      </c>
      <c r="K868" s="5">
        <v>60</v>
      </c>
      <c r="L868" s="5">
        <v>15</v>
      </c>
      <c r="M868" s="3" t="s">
        <v>63</v>
      </c>
      <c r="N868" t="s">
        <v>100</v>
      </c>
      <c r="P868" s="3" t="s">
        <v>25</v>
      </c>
      <c r="Q868" s="2">
        <v>165.43</v>
      </c>
      <c r="R868" s="3" t="s">
        <v>26</v>
      </c>
      <c r="S868">
        <f>COUNTIF(A:A,A868)</f>
        <v>1</v>
      </c>
      <c r="T868" t="str">
        <f>IF(OR(H868="",LOWER(TRIM(H868&amp;""))="missing",LOWER(TRIM(H868&amp;""))=""),"Missing/",IFERROR(IF(OR(VALUE(H868)&lt;0,VALUE(H868)&gt;110),"Invalid","Valid"),"Check Format"))</f>
        <v>Missing/</v>
      </c>
      <c r="U868" t="str">
        <f>IF(Raw_Data[[#This Row],[Age_Check]]="Valid",H868,"")</f>
        <v/>
      </c>
      <c r="V868" t="str">
        <f>IF(OR(K868="",UPPER(TRIM(K868&amp;""))="",LOWER(TRIM(K868&amp;""))="",LOWER(TRIM(K868&amp;""))="",LOWER(TRIM(K868&amp;""))="missing"),"Missing/",IFERROR(IF(VALUE(K868)&lt;0,"Invalid","Valid"),"Check Format"))</f>
        <v>Valid</v>
      </c>
      <c r="W868" t="str">
        <f>IF(OR(E868="",F868=""),"Missing Date/Time",IFERROR(IF(F868&gt;E868,"Arrival After Appointment","OK"),"Check Format"))</f>
        <v>Arrival After Appointment</v>
      </c>
      <c r="X868" t="str">
        <f>IF(OR(F868="",G868=""),"Missing Date/Time",IFERROR(IF(G868&lt;F868,"Discharge Before Arrival","OK"),"Check Format"))</f>
        <v>OK</v>
      </c>
    </row>
    <row r="869" spans="1:24" x14ac:dyDescent="0.25">
      <c r="A869" s="2" t="s">
        <v>1448</v>
      </c>
      <c r="B869" s="2" t="s">
        <v>559</v>
      </c>
      <c r="C869" s="3" t="s">
        <v>46</v>
      </c>
      <c r="D869" s="3" t="s">
        <v>20</v>
      </c>
      <c r="E869" s="4">
        <v>45909.416666666664</v>
      </c>
      <c r="F869" s="4">
        <v>45909.414583333331</v>
      </c>
      <c r="G869" s="4">
        <v>45909.451388888891</v>
      </c>
      <c r="H869" s="5">
        <v>53</v>
      </c>
      <c r="I869" s="3" t="s">
        <v>73</v>
      </c>
      <c r="J869" s="3" t="s">
        <v>150</v>
      </c>
      <c r="K869" s="5">
        <v>26</v>
      </c>
      <c r="L869" s="5">
        <v>24</v>
      </c>
      <c r="M869" s="3" t="s">
        <v>50</v>
      </c>
      <c r="O869" s="5">
        <v>0</v>
      </c>
      <c r="P869" s="3" t="s">
        <v>25</v>
      </c>
      <c r="Q869" s="2">
        <v>65.33</v>
      </c>
      <c r="R869" s="3" t="s">
        <v>26</v>
      </c>
      <c r="S869">
        <f>COUNTIF(A:A,A869)</f>
        <v>1</v>
      </c>
      <c r="T869" t="str">
        <f>IF(OR(H869="",LOWER(TRIM(H869&amp;""))="missing",LOWER(TRIM(H869&amp;""))=""),"Missing/",IFERROR(IF(OR(VALUE(H869)&lt;0,VALUE(H869)&gt;110),"Invalid","Valid"),"Check Format"))</f>
        <v>Valid</v>
      </c>
      <c r="U869">
        <f>IF(Raw_Data[[#This Row],[Age_Check]]="Valid",H869,"")</f>
        <v>53</v>
      </c>
      <c r="V869" t="str">
        <f>IF(OR(K869="",UPPER(TRIM(K869&amp;""))="",LOWER(TRIM(K869&amp;""))="",LOWER(TRIM(K869&amp;""))="",LOWER(TRIM(K869&amp;""))="missing"),"Missing/",IFERROR(IF(VALUE(K869)&lt;0,"Invalid","Valid"),"Check Format"))</f>
        <v>Valid</v>
      </c>
      <c r="W869" t="str">
        <f>IF(OR(E869="",F869=""),"Missing Date/Time",IFERROR(IF(F869&gt;E869,"Arrival After Appointment","OK"),"Check Format"))</f>
        <v>OK</v>
      </c>
      <c r="X869" t="str">
        <f>IF(OR(F869="",G869=""),"Missing Date/Time",IFERROR(IF(G869&lt;F869,"Discharge Before Arrival","OK"),"Check Format"))</f>
        <v>OK</v>
      </c>
    </row>
    <row r="870" spans="1:24" x14ac:dyDescent="0.25">
      <c r="A870" s="2" t="s">
        <v>1449</v>
      </c>
      <c r="B870" s="2" t="s">
        <v>474</v>
      </c>
      <c r="C870" s="3" t="s">
        <v>46</v>
      </c>
      <c r="D870" s="3" t="s">
        <v>115</v>
      </c>
      <c r="E870" s="4">
        <v>45361.506944444445</v>
      </c>
      <c r="F870" s="4">
        <v>45361.497916666667</v>
      </c>
      <c r="G870" s="4">
        <v>45361.595138888886</v>
      </c>
      <c r="I870" s="3" t="s">
        <v>95</v>
      </c>
      <c r="J870" s="3" t="s">
        <v>62</v>
      </c>
      <c r="K870" s="5">
        <v>80</v>
      </c>
      <c r="L870" s="5">
        <v>47</v>
      </c>
      <c r="M870" s="3" t="s">
        <v>23</v>
      </c>
      <c r="N870" t="s">
        <v>24</v>
      </c>
      <c r="Q870" s="2">
        <v>126.23</v>
      </c>
      <c r="R870" s="3" t="s">
        <v>75</v>
      </c>
      <c r="S870">
        <f>COUNTIF(A:A,A870)</f>
        <v>1</v>
      </c>
      <c r="T870" t="str">
        <f>IF(OR(H870="",LOWER(TRIM(H870&amp;""))="missing",LOWER(TRIM(H870&amp;""))=""),"Missing/",IFERROR(IF(OR(VALUE(H870)&lt;0,VALUE(H870)&gt;110),"Invalid","Valid"),"Check Format"))</f>
        <v>Missing/</v>
      </c>
      <c r="U870" t="str">
        <f>IF(Raw_Data[[#This Row],[Age_Check]]="Valid",H870,"")</f>
        <v/>
      </c>
      <c r="V870" t="str">
        <f>IF(OR(K870="",UPPER(TRIM(K870&amp;""))="",LOWER(TRIM(K870&amp;""))="",LOWER(TRIM(K870&amp;""))="",LOWER(TRIM(K870&amp;""))="missing"),"Missing/",IFERROR(IF(VALUE(K870)&lt;0,"Invalid","Valid"),"Check Format"))</f>
        <v>Valid</v>
      </c>
      <c r="W870" t="str">
        <f>IF(OR(E870="",F870=""),"Missing Date/Time",IFERROR(IF(F870&gt;E870,"Arrival After Appointment","OK"),"Check Format"))</f>
        <v>OK</v>
      </c>
      <c r="X870" t="str">
        <f>IF(OR(F870="",G870=""),"Missing Date/Time",IFERROR(IF(G870&lt;F870,"Discharge Before Arrival","OK"),"Check Format"))</f>
        <v>OK</v>
      </c>
    </row>
    <row r="871" spans="1:24" x14ac:dyDescent="0.25">
      <c r="A871" s="2" t="s">
        <v>1450</v>
      </c>
      <c r="B871" s="2" t="s">
        <v>626</v>
      </c>
      <c r="D871" s="3" t="s">
        <v>149</v>
      </c>
      <c r="E871" s="4">
        <v>45816.295138888891</v>
      </c>
      <c r="F871" s="4">
        <v>45816.289583333331</v>
      </c>
      <c r="G871" s="4">
        <v>45816.339583333334</v>
      </c>
      <c r="I871" s="3" t="s">
        <v>73</v>
      </c>
      <c r="K871" s="5">
        <v>59</v>
      </c>
      <c r="L871" s="5">
        <v>5</v>
      </c>
      <c r="M871" s="3" t="s">
        <v>32</v>
      </c>
      <c r="N871" t="s">
        <v>69</v>
      </c>
      <c r="O871" s="5">
        <v>0</v>
      </c>
      <c r="P871" s="3" t="s">
        <v>25</v>
      </c>
      <c r="Q871" s="2">
        <v>121.03</v>
      </c>
      <c r="R871" s="3" t="s">
        <v>75</v>
      </c>
      <c r="S871">
        <f>COUNTIF(A:A,A871)</f>
        <v>1</v>
      </c>
      <c r="T871" t="str">
        <f>IF(OR(H871="",LOWER(TRIM(H871&amp;""))="missing",LOWER(TRIM(H871&amp;""))=""),"Missing/",IFERROR(IF(OR(VALUE(H871)&lt;0,VALUE(H871)&gt;110),"Invalid","Valid"),"Check Format"))</f>
        <v>Missing/</v>
      </c>
      <c r="U871" t="str">
        <f>IF(Raw_Data[[#This Row],[Age_Check]]="Valid",H871,"")</f>
        <v/>
      </c>
      <c r="V871" t="str">
        <f>IF(OR(K871="",UPPER(TRIM(K871&amp;""))="",LOWER(TRIM(K871&amp;""))="",LOWER(TRIM(K871&amp;""))="",LOWER(TRIM(K871&amp;""))="missing"),"Missing/",IFERROR(IF(VALUE(K871)&lt;0,"Invalid","Valid"),"Check Format"))</f>
        <v>Valid</v>
      </c>
      <c r="W871" t="str">
        <f>IF(OR(E871="",F871=""),"Missing Date/Time",IFERROR(IF(F871&gt;E871,"Arrival After Appointment","OK"),"Check Format"))</f>
        <v>OK</v>
      </c>
      <c r="X871" t="str">
        <f>IF(OR(F871="",G871=""),"Missing Date/Time",IFERROR(IF(G871&lt;F871,"Discharge Before Arrival","OK"),"Check Format"))</f>
        <v>OK</v>
      </c>
    </row>
    <row r="872" spans="1:24" x14ac:dyDescent="0.25">
      <c r="A872" s="2" t="s">
        <v>1451</v>
      </c>
      <c r="B872" s="2" t="s">
        <v>635</v>
      </c>
      <c r="C872" s="3" t="s">
        <v>46</v>
      </c>
      <c r="D872" s="3" t="s">
        <v>47</v>
      </c>
      <c r="E872" s="4">
        <v>45911.680555555555</v>
      </c>
      <c r="F872" s="4">
        <v>45911.668055555558</v>
      </c>
      <c r="G872" s="4">
        <v>45911.774305555555</v>
      </c>
      <c r="H872" s="5">
        <v>3</v>
      </c>
      <c r="I872" s="3" t="s">
        <v>73</v>
      </c>
      <c r="J872" s="3" t="s">
        <v>67</v>
      </c>
      <c r="K872" s="5">
        <v>56</v>
      </c>
      <c r="L872" s="5">
        <v>79</v>
      </c>
      <c r="M872" s="3" t="s">
        <v>87</v>
      </c>
      <c r="P872" s="3" t="s">
        <v>80</v>
      </c>
      <c r="Q872" s="2">
        <v>56.04</v>
      </c>
      <c r="R872" s="3" t="s">
        <v>58</v>
      </c>
      <c r="S872">
        <f>COUNTIF(A:A,A872)</f>
        <v>1</v>
      </c>
      <c r="T872" t="str">
        <f>IF(OR(H872="",LOWER(TRIM(H872&amp;""))="missing",LOWER(TRIM(H872&amp;""))=""),"Missing/",IFERROR(IF(OR(VALUE(H872)&lt;0,VALUE(H872)&gt;110),"Invalid","Valid"),"Check Format"))</f>
        <v>Valid</v>
      </c>
      <c r="U872">
        <f>IF(Raw_Data[[#This Row],[Age_Check]]="Valid",H872,"")</f>
        <v>3</v>
      </c>
      <c r="V872" t="str">
        <f>IF(OR(K872="",UPPER(TRIM(K872&amp;""))="",LOWER(TRIM(K872&amp;""))="",LOWER(TRIM(K872&amp;""))="",LOWER(TRIM(K872&amp;""))="missing"),"Missing/",IFERROR(IF(VALUE(K872)&lt;0,"Invalid","Valid"),"Check Format"))</f>
        <v>Valid</v>
      </c>
      <c r="W872" t="str">
        <f>IF(OR(E872="",F872=""),"Missing Date/Time",IFERROR(IF(F872&gt;E872,"Arrival After Appointment","OK"),"Check Format"))</f>
        <v>OK</v>
      </c>
      <c r="X872" t="str">
        <f>IF(OR(F872="",G872=""),"Missing Date/Time",IFERROR(IF(G872&lt;F872,"Discharge Before Arrival","OK"),"Check Format"))</f>
        <v>OK</v>
      </c>
    </row>
    <row r="873" spans="1:24" x14ac:dyDescent="0.25">
      <c r="A873" s="2" t="s">
        <v>1452</v>
      </c>
      <c r="B873" s="2" t="s">
        <v>1439</v>
      </c>
      <c r="C873" s="3" t="s">
        <v>94</v>
      </c>
      <c r="D873" s="3" t="s">
        <v>99</v>
      </c>
      <c r="E873" s="4">
        <v>46017.506944444445</v>
      </c>
      <c r="F873" s="4">
        <v>46017.500694444447</v>
      </c>
      <c r="G873" s="4">
        <v>46017.616666666669</v>
      </c>
      <c r="I873" s="3" t="s">
        <v>95</v>
      </c>
      <c r="J873" s="3" t="s">
        <v>62</v>
      </c>
      <c r="K873" s="5">
        <v>109</v>
      </c>
      <c r="L873" s="5">
        <v>49</v>
      </c>
      <c r="M873" s="3" t="s">
        <v>63</v>
      </c>
      <c r="O873" s="5">
        <v>6</v>
      </c>
      <c r="Q873" s="2">
        <v>167.45</v>
      </c>
      <c r="R873" s="3" t="s">
        <v>26</v>
      </c>
      <c r="S873">
        <f>COUNTIF(A:A,A873)</f>
        <v>1</v>
      </c>
      <c r="T873" t="str">
        <f>IF(OR(H873="",LOWER(TRIM(H873&amp;""))="missing",LOWER(TRIM(H873&amp;""))=""),"Missing/",IFERROR(IF(OR(VALUE(H873)&lt;0,VALUE(H873)&gt;110),"Invalid","Valid"),"Check Format"))</f>
        <v>Missing/</v>
      </c>
      <c r="U873" t="str">
        <f>IF(Raw_Data[[#This Row],[Age_Check]]="Valid",H873,"")</f>
        <v/>
      </c>
      <c r="V873" t="str">
        <f>IF(OR(K873="",UPPER(TRIM(K873&amp;""))="",LOWER(TRIM(K873&amp;""))="",LOWER(TRIM(K873&amp;""))="",LOWER(TRIM(K873&amp;""))="missing"),"Missing/",IFERROR(IF(VALUE(K873)&lt;0,"Invalid","Valid"),"Check Format"))</f>
        <v>Valid</v>
      </c>
      <c r="W873" t="str">
        <f>IF(OR(E873="",F873=""),"Missing Date/Time",IFERROR(IF(F873&gt;E873,"Arrival After Appointment","OK"),"Check Format"))</f>
        <v>OK</v>
      </c>
      <c r="X873" t="str">
        <f>IF(OR(F873="",G873=""),"Missing Date/Time",IFERROR(IF(G873&lt;F873,"Discharge Before Arrival","OK"),"Check Format"))</f>
        <v>OK</v>
      </c>
    </row>
    <row r="874" spans="1:24" x14ac:dyDescent="0.25">
      <c r="A874" s="2" t="s">
        <v>1453</v>
      </c>
      <c r="B874" s="2" t="s">
        <v>793</v>
      </c>
      <c r="C874" s="3" t="s">
        <v>19</v>
      </c>
      <c r="D874" s="3" t="s">
        <v>47</v>
      </c>
      <c r="E874" s="4" t="s">
        <v>1454</v>
      </c>
      <c r="F874" s="4">
        <v>45866.523611111108</v>
      </c>
      <c r="G874" s="4">
        <v>45866.633333333331</v>
      </c>
      <c r="J874" s="3" t="s">
        <v>150</v>
      </c>
      <c r="K874" s="5">
        <v>119</v>
      </c>
      <c r="L874" s="5">
        <v>38</v>
      </c>
      <c r="M874" s="3" t="s">
        <v>32</v>
      </c>
      <c r="O874" s="5">
        <v>1</v>
      </c>
      <c r="P874" s="3" t="s">
        <v>25</v>
      </c>
      <c r="Q874" s="2">
        <v>176.13</v>
      </c>
      <c r="R874" s="3" t="s">
        <v>43</v>
      </c>
      <c r="S874">
        <f>COUNTIF(A:A,A874)</f>
        <v>1</v>
      </c>
      <c r="T874" t="str">
        <f>IF(OR(H874="",LOWER(TRIM(H874&amp;""))="missing",LOWER(TRIM(H874&amp;""))=""),"Missing/",IFERROR(IF(OR(VALUE(H874)&lt;0,VALUE(H874)&gt;110),"Invalid","Valid"),"Check Format"))</f>
        <v>Missing/</v>
      </c>
      <c r="U874" t="str">
        <f>IF(Raw_Data[[#This Row],[Age_Check]]="Valid",H874,"")</f>
        <v/>
      </c>
      <c r="V874" t="str">
        <f>IF(OR(K874="",UPPER(TRIM(K874&amp;""))="",LOWER(TRIM(K874&amp;""))="",LOWER(TRIM(K874&amp;""))="",LOWER(TRIM(K874&amp;""))="missing"),"Missing/",IFERROR(IF(VALUE(K874)&lt;0,"Invalid","Valid"),"Check Format"))</f>
        <v>Valid</v>
      </c>
      <c r="W874" t="str">
        <f>IF(OR(E874="",F874=""),"Missing Date/Time",IFERROR(IF(F874&gt;E874,"Arrival After Appointment","OK"),"Check Format"))</f>
        <v>OK</v>
      </c>
      <c r="X874" t="str">
        <f>IF(OR(F874="",G874=""),"Missing Date/Time",IFERROR(IF(G874&lt;F874,"Discharge Before Arrival","OK"),"Check Format"))</f>
        <v>OK</v>
      </c>
    </row>
    <row r="875" spans="1:24" x14ac:dyDescent="0.25">
      <c r="A875" s="2" t="s">
        <v>1217</v>
      </c>
      <c r="B875" s="2" t="s">
        <v>1218</v>
      </c>
      <c r="C875" s="3" t="s">
        <v>46</v>
      </c>
      <c r="D875" s="3" t="s">
        <v>99</v>
      </c>
      <c r="E875" s="4">
        <v>45833.361111111109</v>
      </c>
      <c r="F875" s="4">
        <v>45833.347222222219</v>
      </c>
      <c r="G875" s="4">
        <v>45833.440972222219</v>
      </c>
      <c r="H875" s="5">
        <v>63</v>
      </c>
      <c r="K875" s="5">
        <v>87</v>
      </c>
      <c r="L875" s="5">
        <v>28</v>
      </c>
      <c r="M875" s="3" t="s">
        <v>50</v>
      </c>
      <c r="N875" t="s">
        <v>69</v>
      </c>
      <c r="P875" s="3" t="s">
        <v>25</v>
      </c>
      <c r="Q875" s="2">
        <v>123.84</v>
      </c>
      <c r="R875" s="3" t="s">
        <v>43</v>
      </c>
      <c r="S875">
        <f>COUNTIF(A:A,A875)</f>
        <v>2</v>
      </c>
      <c r="T875" t="str">
        <f>IF(OR(H875="",LOWER(TRIM(H875&amp;""))="missing",LOWER(TRIM(H875&amp;""))=""),"Missing/",IFERROR(IF(OR(VALUE(H875)&lt;0,VALUE(H875)&gt;110),"Invalid","Valid"),"Check Format"))</f>
        <v>Valid</v>
      </c>
      <c r="U875">
        <f>IF(Raw_Data[[#This Row],[Age_Check]]="Valid",H875,"")</f>
        <v>63</v>
      </c>
      <c r="V875" t="str">
        <f>IF(OR(K875="",UPPER(TRIM(K875&amp;""))="",LOWER(TRIM(K875&amp;""))="",LOWER(TRIM(K875&amp;""))="",LOWER(TRIM(K875&amp;""))="missing"),"Missing/",IFERROR(IF(VALUE(K875)&lt;0,"Invalid","Valid"),"Check Format"))</f>
        <v>Valid</v>
      </c>
      <c r="W875" t="str">
        <f>IF(OR(E875="",F875=""),"Missing Date/Time",IFERROR(IF(F875&gt;E875,"Arrival After Appointment","OK"),"Check Format"))</f>
        <v>OK</v>
      </c>
      <c r="X875" t="str">
        <f>IF(OR(F875="",G875=""),"Missing Date/Time",IFERROR(IF(G875&lt;F875,"Discharge Before Arrival","OK"),"Check Format"))</f>
        <v>OK</v>
      </c>
    </row>
    <row r="876" spans="1:24" x14ac:dyDescent="0.25">
      <c r="A876" s="2" t="s">
        <v>1456</v>
      </c>
      <c r="B876" s="2" t="s">
        <v>1394</v>
      </c>
      <c r="C876" s="3" t="s">
        <v>46</v>
      </c>
      <c r="D876" s="3" t="s">
        <v>149</v>
      </c>
      <c r="E876" s="4">
        <v>45841.336805555555</v>
      </c>
      <c r="F876" s="4">
        <v>45841.329861111109</v>
      </c>
      <c r="G876" s="4">
        <v>45841.367361111108</v>
      </c>
      <c r="H876" s="5">
        <v>145</v>
      </c>
      <c r="J876" s="3" t="s">
        <v>2639</v>
      </c>
      <c r="K876" s="5">
        <v>36</v>
      </c>
      <c r="L876" s="5">
        <v>8</v>
      </c>
      <c r="M876" s="3" t="s">
        <v>68</v>
      </c>
      <c r="N876" t="s">
        <v>100</v>
      </c>
      <c r="O876" s="5">
        <v>6</v>
      </c>
      <c r="P876" s="3" t="s">
        <v>25</v>
      </c>
      <c r="Q876" s="2">
        <v>128.76</v>
      </c>
      <c r="R876" s="3" t="s">
        <v>43</v>
      </c>
      <c r="S876">
        <f>COUNTIF(A:A,A876)</f>
        <v>1</v>
      </c>
      <c r="T876" t="str">
        <f>IF(OR(H876="",LOWER(TRIM(H876&amp;""))="missing",LOWER(TRIM(H876&amp;""))=""),"Missing/",IFERROR(IF(OR(VALUE(H876)&lt;0,VALUE(H876)&gt;110),"Invalid","Valid"),"Check Format"))</f>
        <v>Invalid</v>
      </c>
      <c r="U876" t="str">
        <f>IF(Raw_Data[[#This Row],[Age_Check]]="Valid",H876,"")</f>
        <v/>
      </c>
      <c r="V876" t="str">
        <f>IF(OR(K876="",UPPER(TRIM(K876&amp;""))="",LOWER(TRIM(K876&amp;""))="",LOWER(TRIM(K876&amp;""))="",LOWER(TRIM(K876&amp;""))="missing"),"Missing/",IFERROR(IF(VALUE(K876)&lt;0,"Invalid","Valid"),"Check Format"))</f>
        <v>Valid</v>
      </c>
      <c r="W876" t="str">
        <f>IF(OR(E876="",F876=""),"Missing Date/Time",IFERROR(IF(F876&gt;E876,"Arrival After Appointment","OK"),"Check Format"))</f>
        <v>OK</v>
      </c>
      <c r="X876" t="str">
        <f>IF(OR(F876="",G876=""),"Missing Date/Time",IFERROR(IF(G876&lt;F876,"Discharge Before Arrival","OK"),"Check Format"))</f>
        <v>OK</v>
      </c>
    </row>
    <row r="877" spans="1:24" x14ac:dyDescent="0.25">
      <c r="A877" s="2" t="s">
        <v>1457</v>
      </c>
      <c r="B877" s="2" t="s">
        <v>756</v>
      </c>
      <c r="C877" s="3" t="s">
        <v>46</v>
      </c>
      <c r="D877" s="3" t="s">
        <v>47</v>
      </c>
      <c r="E877" s="4" t="s">
        <v>1458</v>
      </c>
      <c r="F877" s="4">
        <v>45504.424305555556</v>
      </c>
      <c r="G877" s="4">
        <v>45504.474999999999</v>
      </c>
      <c r="I877" s="3" t="s">
        <v>73</v>
      </c>
      <c r="J877" s="3" t="s">
        <v>62</v>
      </c>
      <c r="K877" s="5">
        <v>29</v>
      </c>
      <c r="L877" s="5">
        <v>30</v>
      </c>
      <c r="M877" s="3" t="s">
        <v>68</v>
      </c>
      <c r="N877" t="s">
        <v>69</v>
      </c>
      <c r="O877" s="5">
        <v>1</v>
      </c>
      <c r="P877" s="3" t="s">
        <v>25</v>
      </c>
      <c r="Q877" s="2">
        <v>244</v>
      </c>
      <c r="R877" s="3" t="s">
        <v>26</v>
      </c>
      <c r="S877">
        <f>COUNTIF(A:A,A877)</f>
        <v>1</v>
      </c>
      <c r="T877" t="str">
        <f>IF(OR(H877="",LOWER(TRIM(H877&amp;""))="missing",LOWER(TRIM(H877&amp;""))=""),"Missing/",IFERROR(IF(OR(VALUE(H877)&lt;0,VALUE(H877)&gt;110),"Invalid","Valid"),"Check Format"))</f>
        <v>Missing/</v>
      </c>
      <c r="U877" t="str">
        <f>IF(Raw_Data[[#This Row],[Age_Check]]="Valid",H877,"")</f>
        <v/>
      </c>
      <c r="V877" t="str">
        <f>IF(OR(K877="",UPPER(TRIM(K877&amp;""))="",LOWER(TRIM(K877&amp;""))="",LOWER(TRIM(K877&amp;""))="",LOWER(TRIM(K877&amp;""))="missing"),"Missing/",IFERROR(IF(VALUE(K877)&lt;0,"Invalid","Valid"),"Check Format"))</f>
        <v>Valid</v>
      </c>
      <c r="W877" t="str">
        <f>IF(OR(E877="",F877=""),"Missing Date/Time",IFERROR(IF(F877&gt;E877,"Arrival After Appointment","OK"),"Check Format"))</f>
        <v>OK</v>
      </c>
      <c r="X877" t="str">
        <f>IF(OR(F877="",G877=""),"Missing Date/Time",IFERROR(IF(G877&lt;F877,"Discharge Before Arrival","OK"),"Check Format"))</f>
        <v>OK</v>
      </c>
    </row>
    <row r="878" spans="1:24" x14ac:dyDescent="0.25">
      <c r="A878" s="2" t="s">
        <v>1459</v>
      </c>
      <c r="B878" s="2" t="s">
        <v>253</v>
      </c>
      <c r="C878" s="3" t="s">
        <v>37</v>
      </c>
      <c r="D878" s="3" t="s">
        <v>55</v>
      </c>
      <c r="E878" s="4">
        <v>45509.690972222219</v>
      </c>
      <c r="F878" s="4">
        <v>45420.69027777778</v>
      </c>
      <c r="G878" s="4">
        <v>45420.740972222222</v>
      </c>
      <c r="J878" s="3" t="s">
        <v>22</v>
      </c>
      <c r="K878" s="5">
        <v>41</v>
      </c>
      <c r="L878" s="5">
        <v>31</v>
      </c>
      <c r="M878" s="3" t="s">
        <v>23</v>
      </c>
      <c r="P878" s="3" t="s">
        <v>25</v>
      </c>
      <c r="R878" s="3" t="s">
        <v>43</v>
      </c>
      <c r="S878">
        <f>COUNTIF(A:A,A878)</f>
        <v>1</v>
      </c>
      <c r="T878" t="str">
        <f>IF(OR(H878="",LOWER(TRIM(H878&amp;""))="missing",LOWER(TRIM(H878&amp;""))=""),"Missing/",IFERROR(IF(OR(VALUE(H878)&lt;0,VALUE(H878)&gt;110),"Invalid","Valid"),"Check Format"))</f>
        <v>Missing/</v>
      </c>
      <c r="U878" t="str">
        <f>IF(Raw_Data[[#This Row],[Age_Check]]="Valid",H878,"")</f>
        <v/>
      </c>
      <c r="V878" t="str">
        <f>IF(OR(K878="",UPPER(TRIM(K878&amp;""))="",LOWER(TRIM(K878&amp;""))="",LOWER(TRIM(K878&amp;""))="",LOWER(TRIM(K878&amp;""))="missing"),"Missing/",IFERROR(IF(VALUE(K878)&lt;0,"Invalid","Valid"),"Check Format"))</f>
        <v>Valid</v>
      </c>
      <c r="W878" t="str">
        <f>IF(OR(E878="",F878=""),"Missing Date/Time",IFERROR(IF(F878&gt;E878,"Arrival After Appointment","OK"),"Check Format"))</f>
        <v>OK</v>
      </c>
      <c r="X878" t="str">
        <f>IF(OR(F878="",G878=""),"Missing Date/Time",IFERROR(IF(G878&lt;F878,"Discharge Before Arrival","OK"),"Check Format"))</f>
        <v>OK</v>
      </c>
    </row>
    <row r="879" spans="1:24" x14ac:dyDescent="0.25">
      <c r="A879" s="2" t="s">
        <v>1460</v>
      </c>
      <c r="B879" s="2" t="s">
        <v>154</v>
      </c>
      <c r="C879" s="3" t="s">
        <v>94</v>
      </c>
      <c r="D879" s="3" t="s">
        <v>174</v>
      </c>
      <c r="E879" s="4">
        <v>45363.538194444445</v>
      </c>
      <c r="F879" s="4">
        <v>45363.52847222222</v>
      </c>
      <c r="H879" s="5">
        <v>145</v>
      </c>
      <c r="K879" s="5">
        <v>60</v>
      </c>
      <c r="L879" s="5">
        <v>47</v>
      </c>
      <c r="P879" s="3" t="s">
        <v>80</v>
      </c>
      <c r="Q879" s="2">
        <v>0</v>
      </c>
      <c r="R879" s="3" t="s">
        <v>58</v>
      </c>
      <c r="S879">
        <f>COUNTIF(A:A,A879)</f>
        <v>1</v>
      </c>
      <c r="T879" t="str">
        <f>IF(OR(H879="",LOWER(TRIM(H879&amp;""))="missing",LOWER(TRIM(H879&amp;""))=""),"Missing/",IFERROR(IF(OR(VALUE(H879)&lt;0,VALUE(H879)&gt;110),"Invalid","Valid"),"Check Format"))</f>
        <v>Invalid</v>
      </c>
      <c r="U879" t="str">
        <f>IF(Raw_Data[[#This Row],[Age_Check]]="Valid",H879,"")</f>
        <v/>
      </c>
      <c r="V879" t="str">
        <f>IF(OR(K879="",UPPER(TRIM(K879&amp;""))="",LOWER(TRIM(K879&amp;""))="",LOWER(TRIM(K879&amp;""))="",LOWER(TRIM(K879&amp;""))="missing"),"Missing/",IFERROR(IF(VALUE(K879)&lt;0,"Invalid","Valid"),"Check Format"))</f>
        <v>Valid</v>
      </c>
      <c r="W879" t="str">
        <f>IF(OR(E879="",F879=""),"Missing Date/Time",IFERROR(IF(F879&gt;E879,"Arrival After Appointment","OK"),"Check Format"))</f>
        <v>OK</v>
      </c>
      <c r="X879" t="str">
        <f>IF(OR(F879="",G879=""),"Missing Date/Time",IFERROR(IF(G879&lt;F879,"Discharge Before Arrival","OK"),"Check Format"))</f>
        <v>Missing Date/Time</v>
      </c>
    </row>
    <row r="880" spans="1:24" x14ac:dyDescent="0.25">
      <c r="A880" s="2" t="s">
        <v>1461</v>
      </c>
      <c r="B880" s="2" t="s">
        <v>1462</v>
      </c>
      <c r="C880" s="3" t="s">
        <v>29</v>
      </c>
      <c r="D880" s="3" t="s">
        <v>174</v>
      </c>
      <c r="E880" s="4">
        <v>45732.350694444445</v>
      </c>
      <c r="F880" s="4">
        <v>45732.332638888889</v>
      </c>
      <c r="G880" s="4">
        <v>45732.4</v>
      </c>
      <c r="H880" s="5">
        <v>145</v>
      </c>
      <c r="I880" s="3" t="s">
        <v>95</v>
      </c>
      <c r="J880" s="3" t="s">
        <v>22</v>
      </c>
      <c r="K880" s="5">
        <v>36</v>
      </c>
      <c r="L880" s="5">
        <v>35</v>
      </c>
      <c r="M880" s="3" t="s">
        <v>41</v>
      </c>
      <c r="N880" t="s">
        <v>91</v>
      </c>
      <c r="O880" s="5">
        <v>0</v>
      </c>
      <c r="P880" s="3" t="s">
        <v>25</v>
      </c>
      <c r="Q880" s="2">
        <v>241.01</v>
      </c>
      <c r="R880" s="3" t="s">
        <v>26</v>
      </c>
      <c r="S880">
        <f>COUNTIF(A:A,A880)</f>
        <v>1</v>
      </c>
      <c r="T880" t="str">
        <f>IF(OR(H880="",LOWER(TRIM(H880&amp;""))="missing",LOWER(TRIM(H880&amp;""))=""),"Missing/",IFERROR(IF(OR(VALUE(H880)&lt;0,VALUE(H880)&gt;110),"Invalid","Valid"),"Check Format"))</f>
        <v>Invalid</v>
      </c>
      <c r="U880" t="str">
        <f>IF(Raw_Data[[#This Row],[Age_Check]]="Valid",H880,"")</f>
        <v/>
      </c>
      <c r="V880" t="str">
        <f>IF(OR(K880="",UPPER(TRIM(K880&amp;""))="",LOWER(TRIM(K880&amp;""))="",LOWER(TRIM(K880&amp;""))="",LOWER(TRIM(K880&amp;""))="missing"),"Missing/",IFERROR(IF(VALUE(K880)&lt;0,"Invalid","Valid"),"Check Format"))</f>
        <v>Valid</v>
      </c>
      <c r="W880" t="str">
        <f>IF(OR(E880="",F880=""),"Missing Date/Time",IFERROR(IF(F880&gt;E880,"Arrival After Appointment","OK"),"Check Format"))</f>
        <v>OK</v>
      </c>
      <c r="X880" t="str">
        <f>IF(OR(F880="",G880=""),"Missing Date/Time",IFERROR(IF(G880&lt;F880,"Discharge Before Arrival","OK"),"Check Format"))</f>
        <v>OK</v>
      </c>
    </row>
    <row r="881" spans="1:24" x14ac:dyDescent="0.25">
      <c r="A881" s="2" t="s">
        <v>1463</v>
      </c>
      <c r="B881" s="2" t="s">
        <v>1464</v>
      </c>
      <c r="C881" s="3" t="s">
        <v>94</v>
      </c>
      <c r="D881" s="3" t="s">
        <v>174</v>
      </c>
      <c r="E881" s="4">
        <v>45537.607638888891</v>
      </c>
      <c r="F881" s="4">
        <v>45537.59375</v>
      </c>
      <c r="G881" s="4">
        <v>45537.638888888891</v>
      </c>
      <c r="H881" s="5">
        <v>43</v>
      </c>
      <c r="I881" s="3" t="s">
        <v>90</v>
      </c>
      <c r="J881" s="3" t="s">
        <v>171</v>
      </c>
      <c r="K881" s="5">
        <v>40</v>
      </c>
      <c r="L881" s="5">
        <v>5</v>
      </c>
      <c r="M881" s="3" t="s">
        <v>68</v>
      </c>
      <c r="P881" s="3" t="s">
        <v>25</v>
      </c>
      <c r="R881" s="3" t="s">
        <v>58</v>
      </c>
      <c r="S881">
        <f>COUNTIF(A:A,A881)</f>
        <v>1</v>
      </c>
      <c r="T881" t="str">
        <f>IF(OR(H881="",LOWER(TRIM(H881&amp;""))="missing",LOWER(TRIM(H881&amp;""))=""),"Missing/",IFERROR(IF(OR(VALUE(H881)&lt;0,VALUE(H881)&gt;110),"Invalid","Valid"),"Check Format"))</f>
        <v>Valid</v>
      </c>
      <c r="U881">
        <f>IF(Raw_Data[[#This Row],[Age_Check]]="Valid",H881,"")</f>
        <v>43</v>
      </c>
      <c r="V881" t="str">
        <f>IF(OR(K881="",UPPER(TRIM(K881&amp;""))="",LOWER(TRIM(K881&amp;""))="",LOWER(TRIM(K881&amp;""))="",LOWER(TRIM(K881&amp;""))="missing"),"Missing/",IFERROR(IF(VALUE(K881)&lt;0,"Invalid","Valid"),"Check Format"))</f>
        <v>Valid</v>
      </c>
      <c r="W881" t="str">
        <f>IF(OR(E881="",F881=""),"Missing Date/Time",IFERROR(IF(F881&gt;E881,"Arrival After Appointment","OK"),"Check Format"))</f>
        <v>OK</v>
      </c>
      <c r="X881" t="str">
        <f>IF(OR(F881="",G881=""),"Missing Date/Time",IFERROR(IF(G881&lt;F881,"Discharge Before Arrival","OK"),"Check Format"))</f>
        <v>OK</v>
      </c>
    </row>
    <row r="882" spans="1:24" x14ac:dyDescent="0.25">
      <c r="A882" s="2" t="s">
        <v>1465</v>
      </c>
      <c r="B882" s="2" t="s">
        <v>671</v>
      </c>
      <c r="C882" s="3" t="s">
        <v>46</v>
      </c>
      <c r="D882" s="3" t="s">
        <v>30</v>
      </c>
      <c r="E882" s="4" t="s">
        <v>1466</v>
      </c>
      <c r="G882" s="4">
        <v>46005.669444444444</v>
      </c>
      <c r="H882" s="5">
        <v>4</v>
      </c>
      <c r="J882" s="3" t="s">
        <v>2639</v>
      </c>
      <c r="K882" s="5">
        <v>79</v>
      </c>
      <c r="L882" s="5">
        <v>20</v>
      </c>
      <c r="M882" s="3" t="s">
        <v>87</v>
      </c>
      <c r="N882" t="s">
        <v>69</v>
      </c>
      <c r="O882" s="5">
        <v>4</v>
      </c>
      <c r="P882" s="3" t="s">
        <v>25</v>
      </c>
      <c r="Q882" s="2">
        <v>49.83</v>
      </c>
      <c r="R882" s="3" t="s">
        <v>58</v>
      </c>
      <c r="S882">
        <f>COUNTIF(A:A,A882)</f>
        <v>1</v>
      </c>
      <c r="T882" t="str">
        <f>IF(OR(H882="",LOWER(TRIM(H882&amp;""))="missing",LOWER(TRIM(H882&amp;""))=""),"Missing/",IFERROR(IF(OR(VALUE(H882)&lt;0,VALUE(H882)&gt;110),"Invalid","Valid"),"Check Format"))</f>
        <v>Valid</v>
      </c>
      <c r="U882">
        <f>IF(Raw_Data[[#This Row],[Age_Check]]="Valid",H882,"")</f>
        <v>4</v>
      </c>
      <c r="V882" t="str">
        <f>IF(OR(K882="",UPPER(TRIM(K882&amp;""))="",LOWER(TRIM(K882&amp;""))="",LOWER(TRIM(K882&amp;""))="",LOWER(TRIM(K882&amp;""))="missing"),"Missing/",IFERROR(IF(VALUE(K882)&lt;0,"Invalid","Valid"),"Check Format"))</f>
        <v>Valid</v>
      </c>
      <c r="W882" t="str">
        <f>IF(OR(E882="",F882=""),"Missing Date/Time",IFERROR(IF(F882&gt;E882,"Arrival After Appointment","OK"),"Check Format"))</f>
        <v>Missing Date/Time</v>
      </c>
      <c r="X882" t="str">
        <f>IF(OR(F882="",G882=""),"Missing Date/Time",IFERROR(IF(G882&lt;F882,"Discharge Before Arrival","OK"),"Check Format"))</f>
        <v>Missing Date/Time</v>
      </c>
    </row>
    <row r="883" spans="1:24" x14ac:dyDescent="0.25">
      <c r="A883" s="2" t="s">
        <v>1467</v>
      </c>
      <c r="B883" s="2" t="s">
        <v>761</v>
      </c>
      <c r="C883" s="3" t="s">
        <v>37</v>
      </c>
      <c r="D883" s="3" t="s">
        <v>47</v>
      </c>
      <c r="F883" s="4">
        <v>45396.475694444445</v>
      </c>
      <c r="G883" s="4">
        <v>45396.537499999999</v>
      </c>
      <c r="J883" s="3" t="s">
        <v>22</v>
      </c>
      <c r="K883" s="5">
        <v>36</v>
      </c>
      <c r="L883" s="5">
        <v>28</v>
      </c>
      <c r="M883" s="3" t="s">
        <v>87</v>
      </c>
      <c r="N883" t="s">
        <v>69</v>
      </c>
      <c r="P883" s="3" t="s">
        <v>42</v>
      </c>
      <c r="Q883" s="2">
        <v>96.62</v>
      </c>
      <c r="R883" s="3" t="s">
        <v>26</v>
      </c>
      <c r="S883">
        <f>COUNTIF(A:A,A883)</f>
        <v>1</v>
      </c>
      <c r="T883" t="str">
        <f>IF(OR(H883="",LOWER(TRIM(H883&amp;""))="missing",LOWER(TRIM(H883&amp;""))=""),"Missing/",IFERROR(IF(OR(VALUE(H883)&lt;0,VALUE(H883)&gt;110),"Invalid","Valid"),"Check Format"))</f>
        <v>Missing/</v>
      </c>
      <c r="U883" t="str">
        <f>IF(Raw_Data[[#This Row],[Age_Check]]="Valid",H883,"")</f>
        <v/>
      </c>
      <c r="V883" t="str">
        <f>IF(OR(K883="",UPPER(TRIM(K883&amp;""))="",LOWER(TRIM(K883&amp;""))="",LOWER(TRIM(K883&amp;""))="",LOWER(TRIM(K883&amp;""))="missing"),"Missing/",IFERROR(IF(VALUE(K883)&lt;0,"Invalid","Valid"),"Check Format"))</f>
        <v>Valid</v>
      </c>
      <c r="W883" t="str">
        <f>IF(OR(E883="",F883=""),"Missing Date/Time",IFERROR(IF(F883&gt;E883,"Arrival After Appointment","OK"),"Check Format"))</f>
        <v>Missing Date/Time</v>
      </c>
      <c r="X883" t="str">
        <f>IF(OR(F883="",G883=""),"Missing Date/Time",IFERROR(IF(G883&lt;F883,"Discharge Before Arrival","OK"),"Check Format"))</f>
        <v>OK</v>
      </c>
    </row>
    <row r="884" spans="1:24" x14ac:dyDescent="0.25">
      <c r="A884" s="2" t="s">
        <v>1468</v>
      </c>
      <c r="B884" s="2" t="s">
        <v>1002</v>
      </c>
      <c r="D884" s="3" t="s">
        <v>38</v>
      </c>
      <c r="E884" s="4" t="s">
        <v>1469</v>
      </c>
      <c r="F884" s="4">
        <v>45469.384027777778</v>
      </c>
      <c r="G884" s="4">
        <v>45469.436111111114</v>
      </c>
      <c r="I884" s="3" t="s">
        <v>73</v>
      </c>
      <c r="K884" s="5">
        <v>0</v>
      </c>
      <c r="L884" s="5">
        <v>48</v>
      </c>
      <c r="M884" s="3" t="s">
        <v>41</v>
      </c>
      <c r="O884" s="5">
        <v>0</v>
      </c>
      <c r="P884" s="3" t="s">
        <v>25</v>
      </c>
      <c r="Q884" s="2">
        <v>246.99</v>
      </c>
      <c r="R884" s="3" t="s">
        <v>43</v>
      </c>
      <c r="S884">
        <f>COUNTIF(A:A,A884)</f>
        <v>1</v>
      </c>
      <c r="T884" t="str">
        <f>IF(OR(H884="",LOWER(TRIM(H884&amp;""))="missing",LOWER(TRIM(H884&amp;""))=""),"Missing/",IFERROR(IF(OR(VALUE(H884)&lt;0,VALUE(H884)&gt;110),"Invalid","Valid"),"Check Format"))</f>
        <v>Missing/</v>
      </c>
      <c r="U884" t="str">
        <f>IF(Raw_Data[[#This Row],[Age_Check]]="Valid",H884,"")</f>
        <v/>
      </c>
      <c r="V884" t="str">
        <f>IF(OR(K884="",UPPER(TRIM(K884&amp;""))="",LOWER(TRIM(K884&amp;""))="",LOWER(TRIM(K884&amp;""))="",LOWER(TRIM(K884&amp;""))="missing"),"Missing/",IFERROR(IF(VALUE(K884)&lt;0,"Invalid","Valid"),"Check Format"))</f>
        <v>Valid</v>
      </c>
      <c r="W884" t="str">
        <f>IF(OR(E884="",F884=""),"Missing Date/Time",IFERROR(IF(F884&gt;E884,"Arrival After Appointment","OK"),"Check Format"))</f>
        <v>OK</v>
      </c>
      <c r="X884" t="str">
        <f>IF(OR(F884="",G884=""),"Missing Date/Time",IFERROR(IF(G884&lt;F884,"Discharge Before Arrival","OK"),"Check Format"))</f>
        <v>OK</v>
      </c>
    </row>
    <row r="885" spans="1:24" x14ac:dyDescent="0.25">
      <c r="A885" s="2" t="s">
        <v>1470</v>
      </c>
      <c r="B885" s="2" t="s">
        <v>444</v>
      </c>
      <c r="C885" s="3" t="s">
        <v>46</v>
      </c>
      <c r="D885" s="3" t="s">
        <v>106</v>
      </c>
      <c r="E885" s="4" t="s">
        <v>1471</v>
      </c>
      <c r="F885" s="4">
        <v>45865.315972222219</v>
      </c>
      <c r="G885" s="4">
        <v>45865.4</v>
      </c>
      <c r="H885" s="5">
        <v>64</v>
      </c>
      <c r="J885" s="3" t="s">
        <v>67</v>
      </c>
      <c r="K885" s="5">
        <v>80</v>
      </c>
      <c r="L885" s="5">
        <v>11</v>
      </c>
      <c r="M885" s="3" t="s">
        <v>32</v>
      </c>
      <c r="N885" t="s">
        <v>24</v>
      </c>
      <c r="O885" s="5">
        <v>0</v>
      </c>
      <c r="P885" s="3" t="s">
        <v>42</v>
      </c>
      <c r="Q885" s="2">
        <v>128.88</v>
      </c>
      <c r="R885" s="3" t="s">
        <v>26</v>
      </c>
      <c r="S885">
        <f>COUNTIF(A:A,A885)</f>
        <v>1</v>
      </c>
      <c r="T885" t="str">
        <f>IF(OR(H885="",LOWER(TRIM(H885&amp;""))="missing",LOWER(TRIM(H885&amp;""))=""),"Missing/",IFERROR(IF(OR(VALUE(H885)&lt;0,VALUE(H885)&gt;110),"Invalid","Valid"),"Check Format"))</f>
        <v>Valid</v>
      </c>
      <c r="U885">
        <f>IF(Raw_Data[[#This Row],[Age_Check]]="Valid",H885,"")</f>
        <v>64</v>
      </c>
      <c r="V885" t="str">
        <f>IF(OR(K885="",UPPER(TRIM(K885&amp;""))="",LOWER(TRIM(K885&amp;""))="",LOWER(TRIM(K885&amp;""))="",LOWER(TRIM(K885&amp;""))="missing"),"Missing/",IFERROR(IF(VALUE(K885)&lt;0,"Invalid","Valid"),"Check Format"))</f>
        <v>Valid</v>
      </c>
      <c r="W885" t="str">
        <f>IF(OR(E885="",F885=""),"Missing Date/Time",IFERROR(IF(F885&gt;E885,"Arrival After Appointment","OK"),"Check Format"))</f>
        <v>OK</v>
      </c>
      <c r="X885" t="str">
        <f>IF(OR(F885="",G885=""),"Missing Date/Time",IFERROR(IF(G885&lt;F885,"Discharge Before Arrival","OK"),"Check Format"))</f>
        <v>OK</v>
      </c>
    </row>
    <row r="886" spans="1:24" x14ac:dyDescent="0.25">
      <c r="A886" s="2" t="s">
        <v>1472</v>
      </c>
      <c r="B886" s="2" t="s">
        <v>474</v>
      </c>
      <c r="C886" s="3" t="s">
        <v>46</v>
      </c>
      <c r="D886" s="3" t="s">
        <v>66</v>
      </c>
      <c r="E886" s="4">
        <v>45778.583333333336</v>
      </c>
      <c r="F886" s="4">
        <v>45778.581250000003</v>
      </c>
      <c r="G886" s="4">
        <v>45778.652083333334</v>
      </c>
      <c r="H886" s="5">
        <v>145</v>
      </c>
      <c r="I886" s="3" t="s">
        <v>95</v>
      </c>
      <c r="J886" s="3" t="s">
        <v>22</v>
      </c>
      <c r="K886" s="5">
        <v>57</v>
      </c>
      <c r="L886" s="5">
        <v>42</v>
      </c>
      <c r="M886" s="3" t="s">
        <v>87</v>
      </c>
      <c r="N886" t="s">
        <v>69</v>
      </c>
      <c r="O886" s="5">
        <v>0</v>
      </c>
      <c r="P886" s="3" t="s">
        <v>80</v>
      </c>
      <c r="Q886" s="2">
        <v>198.47</v>
      </c>
      <c r="R886" s="3" t="s">
        <v>43</v>
      </c>
      <c r="S886">
        <f>COUNTIF(A:A,A886)</f>
        <v>1</v>
      </c>
      <c r="T886" t="str">
        <f>IF(OR(H886="",LOWER(TRIM(H886&amp;""))="missing",LOWER(TRIM(H886&amp;""))=""),"Missing/",IFERROR(IF(OR(VALUE(H886)&lt;0,VALUE(H886)&gt;110),"Invalid","Valid"),"Check Format"))</f>
        <v>Invalid</v>
      </c>
      <c r="U886" t="str">
        <f>IF(Raw_Data[[#This Row],[Age_Check]]="Valid",H886,"")</f>
        <v/>
      </c>
      <c r="V886" t="str">
        <f>IF(OR(K886="",UPPER(TRIM(K886&amp;""))="",LOWER(TRIM(K886&amp;""))="",LOWER(TRIM(K886&amp;""))="",LOWER(TRIM(K886&amp;""))="missing"),"Missing/",IFERROR(IF(VALUE(K886)&lt;0,"Invalid","Valid"),"Check Format"))</f>
        <v>Valid</v>
      </c>
      <c r="W886" t="str">
        <f>IF(OR(E886="",F886=""),"Missing Date/Time",IFERROR(IF(F886&gt;E886,"Arrival After Appointment","OK"),"Check Format"))</f>
        <v>OK</v>
      </c>
      <c r="X886" t="str">
        <f>IF(OR(F886="",G886=""),"Missing Date/Time",IFERROR(IF(G886&lt;F886,"Discharge Before Arrival","OK"),"Check Format"))</f>
        <v>OK</v>
      </c>
    </row>
    <row r="887" spans="1:24" x14ac:dyDescent="0.25">
      <c r="A887" s="2" t="s">
        <v>1473</v>
      </c>
      <c r="B887" s="2" t="s">
        <v>641</v>
      </c>
      <c r="C887" s="3" t="s">
        <v>94</v>
      </c>
      <c r="D887" s="3" t="s">
        <v>99</v>
      </c>
      <c r="E887" s="4" t="s">
        <v>1474</v>
      </c>
      <c r="G887" s="4">
        <v>45466.465277777781</v>
      </c>
      <c r="H887" s="5">
        <v>8</v>
      </c>
      <c r="I887" s="3" t="s">
        <v>73</v>
      </c>
      <c r="J887" s="3" t="s">
        <v>67</v>
      </c>
      <c r="K887" s="5">
        <v>32</v>
      </c>
      <c r="L887" s="5">
        <v>33</v>
      </c>
      <c r="M887" s="3" t="s">
        <v>63</v>
      </c>
      <c r="N887" t="s">
        <v>100</v>
      </c>
      <c r="O887" s="5">
        <v>2</v>
      </c>
      <c r="P887" s="3" t="s">
        <v>25</v>
      </c>
      <c r="Q887" s="2">
        <v>181.58</v>
      </c>
      <c r="R887" s="3" t="s">
        <v>43</v>
      </c>
      <c r="S887">
        <f>COUNTIF(A:A,A887)</f>
        <v>1</v>
      </c>
      <c r="T887" t="str">
        <f>IF(OR(H887="",LOWER(TRIM(H887&amp;""))="missing",LOWER(TRIM(H887&amp;""))=""),"Missing/",IFERROR(IF(OR(VALUE(H887)&lt;0,VALUE(H887)&gt;110),"Invalid","Valid"),"Check Format"))</f>
        <v>Valid</v>
      </c>
      <c r="U887">
        <f>IF(Raw_Data[[#This Row],[Age_Check]]="Valid",H887,"")</f>
        <v>8</v>
      </c>
      <c r="V887" t="str">
        <f>IF(OR(K887="",UPPER(TRIM(K887&amp;""))="",LOWER(TRIM(K887&amp;""))="",LOWER(TRIM(K887&amp;""))="",LOWER(TRIM(K887&amp;""))="missing"),"Missing/",IFERROR(IF(VALUE(K887)&lt;0,"Invalid","Valid"),"Check Format"))</f>
        <v>Valid</v>
      </c>
      <c r="W887" t="str">
        <f>IF(OR(E887="",F887=""),"Missing Date/Time",IFERROR(IF(F887&gt;E887,"Arrival After Appointment","OK"),"Check Format"))</f>
        <v>Missing Date/Time</v>
      </c>
      <c r="X887" t="str">
        <f>IF(OR(F887="",G887=""),"Missing Date/Time",IFERROR(IF(G887&lt;F887,"Discharge Before Arrival","OK"),"Check Format"))</f>
        <v>Missing Date/Time</v>
      </c>
    </row>
    <row r="888" spans="1:24" x14ac:dyDescent="0.25">
      <c r="A888" s="2" t="s">
        <v>1475</v>
      </c>
      <c r="B888" s="2" t="s">
        <v>1094</v>
      </c>
      <c r="C888" s="3" t="s">
        <v>46</v>
      </c>
      <c r="D888" s="3" t="s">
        <v>66</v>
      </c>
      <c r="E888" s="4">
        <v>45786.78125</v>
      </c>
      <c r="F888" s="4">
        <v>45786.771527777775</v>
      </c>
      <c r="H888" s="5">
        <v>145</v>
      </c>
      <c r="I888" s="3" t="s">
        <v>73</v>
      </c>
      <c r="J888" s="3" t="s">
        <v>22</v>
      </c>
      <c r="K888" s="5">
        <v>108</v>
      </c>
      <c r="L888" s="5">
        <v>44</v>
      </c>
      <c r="M888" s="3" t="s">
        <v>68</v>
      </c>
      <c r="N888" t="s">
        <v>69</v>
      </c>
      <c r="O888" s="5">
        <v>0</v>
      </c>
      <c r="P888" s="3" t="s">
        <v>80</v>
      </c>
      <c r="Q888" s="2">
        <v>208.12</v>
      </c>
      <c r="R888" s="3" t="s">
        <v>75</v>
      </c>
      <c r="S888">
        <f>COUNTIF(A:A,A888)</f>
        <v>1</v>
      </c>
      <c r="T888" t="str">
        <f>IF(OR(H888="",LOWER(TRIM(H888&amp;""))="missing",LOWER(TRIM(H888&amp;""))=""),"Missing/",IFERROR(IF(OR(VALUE(H888)&lt;0,VALUE(H888)&gt;110),"Invalid","Valid"),"Check Format"))</f>
        <v>Invalid</v>
      </c>
      <c r="U888" t="str">
        <f>IF(Raw_Data[[#This Row],[Age_Check]]="Valid",H888,"")</f>
        <v/>
      </c>
      <c r="V888" t="str">
        <f>IF(OR(K888="",UPPER(TRIM(K888&amp;""))="",LOWER(TRIM(K888&amp;""))="",LOWER(TRIM(K888&amp;""))="",LOWER(TRIM(K888&amp;""))="missing"),"Missing/",IFERROR(IF(VALUE(K888)&lt;0,"Invalid","Valid"),"Check Format"))</f>
        <v>Valid</v>
      </c>
      <c r="W888" t="str">
        <f>IF(OR(E888="",F888=""),"Missing Date/Time",IFERROR(IF(F888&gt;E888,"Arrival After Appointment","OK"),"Check Format"))</f>
        <v>OK</v>
      </c>
      <c r="X888" t="str">
        <f>IF(OR(F888="",G888=""),"Missing Date/Time",IFERROR(IF(G888&lt;F888,"Discharge Before Arrival","OK"),"Check Format"))</f>
        <v>Missing Date/Time</v>
      </c>
    </row>
    <row r="889" spans="1:24" x14ac:dyDescent="0.25">
      <c r="A889" s="2" t="s">
        <v>1476</v>
      </c>
      <c r="B889" s="2" t="s">
        <v>962</v>
      </c>
      <c r="C889" s="3" t="s">
        <v>19</v>
      </c>
      <c r="D889" s="3" t="s">
        <v>61</v>
      </c>
      <c r="E889" s="4">
        <v>45439.388888888891</v>
      </c>
      <c r="F889" s="4">
        <v>45439.370833333334</v>
      </c>
      <c r="G889" s="4">
        <v>45439.470138888886</v>
      </c>
      <c r="I889" s="3" t="s">
        <v>95</v>
      </c>
      <c r="J889" s="3" t="s">
        <v>67</v>
      </c>
      <c r="K889" s="5">
        <v>60</v>
      </c>
      <c r="L889" s="5">
        <v>57</v>
      </c>
      <c r="N889" t="s">
        <v>100</v>
      </c>
      <c r="O889" s="5">
        <v>4</v>
      </c>
      <c r="P889" s="3" t="s">
        <v>80</v>
      </c>
      <c r="R889" s="3" t="s">
        <v>26</v>
      </c>
      <c r="S889">
        <f>COUNTIF(A:A,A889)</f>
        <v>1</v>
      </c>
      <c r="T889" t="str">
        <f>IF(OR(H889="",LOWER(TRIM(H889&amp;""))="missing",LOWER(TRIM(H889&amp;""))=""),"Missing/",IFERROR(IF(OR(VALUE(H889)&lt;0,VALUE(H889)&gt;110),"Invalid","Valid"),"Check Format"))</f>
        <v>Missing/</v>
      </c>
      <c r="U889" t="str">
        <f>IF(Raw_Data[[#This Row],[Age_Check]]="Valid",H889,"")</f>
        <v/>
      </c>
      <c r="V889" t="str">
        <f>IF(OR(K889="",UPPER(TRIM(K889&amp;""))="",LOWER(TRIM(K889&amp;""))="",LOWER(TRIM(K889&amp;""))="",LOWER(TRIM(K889&amp;""))="missing"),"Missing/",IFERROR(IF(VALUE(K889)&lt;0,"Invalid","Valid"),"Check Format"))</f>
        <v>Valid</v>
      </c>
      <c r="W889" t="str">
        <f>IF(OR(E889="",F889=""),"Missing Date/Time",IFERROR(IF(F889&gt;E889,"Arrival After Appointment","OK"),"Check Format"))</f>
        <v>OK</v>
      </c>
      <c r="X889" t="str">
        <f>IF(OR(F889="",G889=""),"Missing Date/Time",IFERROR(IF(G889&lt;F889,"Discharge Before Arrival","OK"),"Check Format"))</f>
        <v>OK</v>
      </c>
    </row>
    <row r="890" spans="1:24" x14ac:dyDescent="0.25">
      <c r="A890" s="2" t="s">
        <v>1477</v>
      </c>
      <c r="B890" s="2" t="s">
        <v>196</v>
      </c>
      <c r="C890" s="3" t="s">
        <v>94</v>
      </c>
      <c r="D890" s="3" t="s">
        <v>38</v>
      </c>
      <c r="E890" s="4">
        <v>45447.291666666664</v>
      </c>
      <c r="F890" s="4">
        <v>45447.290277777778</v>
      </c>
      <c r="G890" s="4">
        <v>45447.352777777778</v>
      </c>
      <c r="H890" s="5">
        <v>145</v>
      </c>
      <c r="J890" s="3" t="s">
        <v>150</v>
      </c>
      <c r="K890" s="5">
        <v>72</v>
      </c>
      <c r="L890" s="5">
        <v>16</v>
      </c>
      <c r="M890" s="3" t="s">
        <v>87</v>
      </c>
      <c r="N890" t="s">
        <v>74</v>
      </c>
      <c r="O890" s="5">
        <v>0</v>
      </c>
      <c r="P890" s="3" t="s">
        <v>25</v>
      </c>
      <c r="Q890" s="2">
        <v>257.27</v>
      </c>
      <c r="R890" s="3" t="s">
        <v>58</v>
      </c>
      <c r="S890">
        <f>COUNTIF(A:A,A890)</f>
        <v>1</v>
      </c>
      <c r="T890" t="str">
        <f>IF(OR(H890="",LOWER(TRIM(H890&amp;""))="missing",LOWER(TRIM(H890&amp;""))=""),"Missing/",IFERROR(IF(OR(VALUE(H890)&lt;0,VALUE(H890)&gt;110),"Invalid","Valid"),"Check Format"))</f>
        <v>Invalid</v>
      </c>
      <c r="U890" t="str">
        <f>IF(Raw_Data[[#This Row],[Age_Check]]="Valid",H890,"")</f>
        <v/>
      </c>
      <c r="V890" t="str">
        <f>IF(OR(K890="",UPPER(TRIM(K890&amp;""))="",LOWER(TRIM(K890&amp;""))="",LOWER(TRIM(K890&amp;""))="",LOWER(TRIM(K890&amp;""))="missing"),"Missing/",IFERROR(IF(VALUE(K890)&lt;0,"Invalid","Valid"),"Check Format"))</f>
        <v>Valid</v>
      </c>
      <c r="W890" t="str">
        <f>IF(OR(E890="",F890=""),"Missing Date/Time",IFERROR(IF(F890&gt;E890,"Arrival After Appointment","OK"),"Check Format"))</f>
        <v>OK</v>
      </c>
      <c r="X890" t="str">
        <f>IF(OR(F890="",G890=""),"Missing Date/Time",IFERROR(IF(G890&lt;F890,"Discharge Before Arrival","OK"),"Check Format"))</f>
        <v>OK</v>
      </c>
    </row>
    <row r="891" spans="1:24" x14ac:dyDescent="0.25">
      <c r="A891" s="2" t="s">
        <v>1478</v>
      </c>
      <c r="B891" s="2" t="s">
        <v>77</v>
      </c>
      <c r="C891" s="3" t="s">
        <v>46</v>
      </c>
      <c r="D891" s="3" t="s">
        <v>20</v>
      </c>
      <c r="E891" s="4">
        <v>45868.291666666664</v>
      </c>
      <c r="F891" s="4">
        <v>45868.288194444445</v>
      </c>
      <c r="G891" s="4">
        <v>45868.365277777775</v>
      </c>
      <c r="H891" s="5">
        <v>145</v>
      </c>
      <c r="I891" s="3" t="s">
        <v>95</v>
      </c>
      <c r="J891" s="3" t="s">
        <v>62</v>
      </c>
      <c r="K891" s="5">
        <v>82</v>
      </c>
      <c r="L891" s="5">
        <v>24</v>
      </c>
      <c r="M891" s="3" t="s">
        <v>87</v>
      </c>
      <c r="P891" s="3" t="s">
        <v>80</v>
      </c>
      <c r="Q891" s="2">
        <v>106.64</v>
      </c>
      <c r="R891" s="3" t="s">
        <v>43</v>
      </c>
      <c r="S891">
        <f>COUNTIF(A:A,A891)</f>
        <v>1</v>
      </c>
      <c r="T891" t="str">
        <f>IF(OR(H891="",LOWER(TRIM(H891&amp;""))="missing",LOWER(TRIM(H891&amp;""))=""),"Missing/",IFERROR(IF(OR(VALUE(H891)&lt;0,VALUE(H891)&gt;110),"Invalid","Valid"),"Check Format"))</f>
        <v>Invalid</v>
      </c>
      <c r="U891" t="str">
        <f>IF(Raw_Data[[#This Row],[Age_Check]]="Valid",H891,"")</f>
        <v/>
      </c>
      <c r="V891" t="str">
        <f>IF(OR(K891="",UPPER(TRIM(K891&amp;""))="",LOWER(TRIM(K891&amp;""))="",LOWER(TRIM(K891&amp;""))="",LOWER(TRIM(K891&amp;""))="missing"),"Missing/",IFERROR(IF(VALUE(K891)&lt;0,"Invalid","Valid"),"Check Format"))</f>
        <v>Valid</v>
      </c>
      <c r="W891" t="str">
        <f>IF(OR(E891="",F891=""),"Missing Date/Time",IFERROR(IF(F891&gt;E891,"Arrival After Appointment","OK"),"Check Format"))</f>
        <v>OK</v>
      </c>
      <c r="X891" t="str">
        <f>IF(OR(F891="",G891=""),"Missing Date/Time",IFERROR(IF(G891&lt;F891,"Discharge Before Arrival","OK"),"Check Format"))</f>
        <v>OK</v>
      </c>
    </row>
    <row r="892" spans="1:24" x14ac:dyDescent="0.25">
      <c r="A892" s="2" t="s">
        <v>1479</v>
      </c>
      <c r="B892" s="2" t="s">
        <v>180</v>
      </c>
      <c r="C892" s="3" t="s">
        <v>94</v>
      </c>
      <c r="D892" s="3" t="s">
        <v>38</v>
      </c>
      <c r="E892" s="4">
        <v>46018.496527777781</v>
      </c>
      <c r="F892" s="4">
        <v>46018.475694444445</v>
      </c>
      <c r="I892" s="3" t="s">
        <v>90</v>
      </c>
      <c r="J892" s="3" t="s">
        <v>67</v>
      </c>
      <c r="K892" s="5">
        <v>68</v>
      </c>
      <c r="L892" s="5">
        <v>40</v>
      </c>
      <c r="M892" s="3" t="s">
        <v>50</v>
      </c>
      <c r="N892" t="s">
        <v>69</v>
      </c>
      <c r="O892" s="5">
        <v>2</v>
      </c>
      <c r="Q892" s="2">
        <v>160.78</v>
      </c>
      <c r="R892" s="3" t="s">
        <v>43</v>
      </c>
      <c r="S892">
        <f>COUNTIF(A:A,A892)</f>
        <v>1</v>
      </c>
      <c r="T892" t="str">
        <f>IF(OR(H892="",LOWER(TRIM(H892&amp;""))="missing",LOWER(TRIM(H892&amp;""))=""),"Missing/",IFERROR(IF(OR(VALUE(H892)&lt;0,VALUE(H892)&gt;110),"Invalid","Valid"),"Check Format"))</f>
        <v>Missing/</v>
      </c>
      <c r="U892" t="str">
        <f>IF(Raw_Data[[#This Row],[Age_Check]]="Valid",H892,"")</f>
        <v/>
      </c>
      <c r="V892" t="str">
        <f>IF(OR(K892="",UPPER(TRIM(K892&amp;""))="",LOWER(TRIM(K892&amp;""))="",LOWER(TRIM(K892&amp;""))="",LOWER(TRIM(K892&amp;""))="missing"),"Missing/",IFERROR(IF(VALUE(K892)&lt;0,"Invalid","Valid"),"Check Format"))</f>
        <v>Valid</v>
      </c>
      <c r="W892" t="str">
        <f>IF(OR(E892="",F892=""),"Missing Date/Time",IFERROR(IF(F892&gt;E892,"Arrival After Appointment","OK"),"Check Format"))</f>
        <v>OK</v>
      </c>
      <c r="X892" t="str">
        <f>IF(OR(F892="",G892=""),"Missing Date/Time",IFERROR(IF(G892&lt;F892,"Discharge Before Arrival","OK"),"Check Format"))</f>
        <v>Missing Date/Time</v>
      </c>
    </row>
    <row r="893" spans="1:24" x14ac:dyDescent="0.25">
      <c r="A893" s="2" t="s">
        <v>1480</v>
      </c>
      <c r="B893" s="2" t="s">
        <v>830</v>
      </c>
      <c r="C893" s="3" t="s">
        <v>46</v>
      </c>
      <c r="D893" s="3" t="s">
        <v>20</v>
      </c>
      <c r="E893" s="4" t="s">
        <v>1481</v>
      </c>
      <c r="F893" s="4">
        <v>45307.386111111111</v>
      </c>
      <c r="G893" s="4">
        <v>45307.482638888891</v>
      </c>
      <c r="H893" s="5">
        <v>60</v>
      </c>
      <c r="I893" s="3" t="s">
        <v>95</v>
      </c>
      <c r="J893" s="3" t="s">
        <v>171</v>
      </c>
      <c r="K893" s="5">
        <v>68</v>
      </c>
      <c r="L893" s="5">
        <v>62</v>
      </c>
      <c r="M893" s="3" t="s">
        <v>87</v>
      </c>
      <c r="N893" t="s">
        <v>24</v>
      </c>
      <c r="P893" s="3" t="s">
        <v>42</v>
      </c>
      <c r="Q893" s="2">
        <v>230.72</v>
      </c>
      <c r="R893" s="3" t="s">
        <v>58</v>
      </c>
      <c r="S893">
        <f>COUNTIF(A:A,A893)</f>
        <v>1</v>
      </c>
      <c r="T893" t="str">
        <f>IF(OR(H893="",LOWER(TRIM(H893&amp;""))="missing",LOWER(TRIM(H893&amp;""))=""),"Missing/",IFERROR(IF(OR(VALUE(H893)&lt;0,VALUE(H893)&gt;110),"Invalid","Valid"),"Check Format"))</f>
        <v>Valid</v>
      </c>
      <c r="U893">
        <f>IF(Raw_Data[[#This Row],[Age_Check]]="Valid",H893,"")</f>
        <v>60</v>
      </c>
      <c r="V893" t="str">
        <f>IF(OR(K893="",UPPER(TRIM(K893&amp;""))="",LOWER(TRIM(K893&amp;""))="",LOWER(TRIM(K893&amp;""))="",LOWER(TRIM(K893&amp;""))="missing"),"Missing/",IFERROR(IF(VALUE(K893)&lt;0,"Invalid","Valid"),"Check Format"))</f>
        <v>Valid</v>
      </c>
      <c r="W893" t="str">
        <f>IF(OR(E893="",F893=""),"Missing Date/Time",IFERROR(IF(F893&gt;E893,"Arrival After Appointment","OK"),"Check Format"))</f>
        <v>OK</v>
      </c>
      <c r="X893" t="str">
        <f>IF(OR(F893="",G893=""),"Missing Date/Time",IFERROR(IF(G893&lt;F893,"Discharge Before Arrival","OK"),"Check Format"))</f>
        <v>OK</v>
      </c>
    </row>
    <row r="894" spans="1:24" x14ac:dyDescent="0.25">
      <c r="A894" s="2" t="s">
        <v>1217</v>
      </c>
      <c r="B894" s="2" t="s">
        <v>1219</v>
      </c>
      <c r="C894" s="3" t="s">
        <v>94</v>
      </c>
      <c r="D894" s="3" t="s">
        <v>115</v>
      </c>
      <c r="E894" s="4" t="s">
        <v>1220</v>
      </c>
      <c r="G894" s="4">
        <v>45925.752083333333</v>
      </c>
      <c r="J894" s="3" t="s">
        <v>171</v>
      </c>
      <c r="K894" s="5">
        <v>0</v>
      </c>
      <c r="L894" s="5">
        <v>43</v>
      </c>
      <c r="N894" t="s">
        <v>24</v>
      </c>
      <c r="P894" s="3" t="s">
        <v>25</v>
      </c>
      <c r="Q894" s="2">
        <v>45.86</v>
      </c>
      <c r="R894" s="3" t="s">
        <v>58</v>
      </c>
      <c r="S894">
        <f>COUNTIF(A:A,A894)</f>
        <v>2</v>
      </c>
      <c r="T894" t="str">
        <f>IF(OR(H894="",LOWER(TRIM(H894&amp;""))="missing",LOWER(TRIM(H894&amp;""))=""),"Missing/",IFERROR(IF(OR(VALUE(H894)&lt;0,VALUE(H894)&gt;110),"Invalid","Valid"),"Check Format"))</f>
        <v>Missing/</v>
      </c>
      <c r="U894" t="str">
        <f>IF(Raw_Data[[#This Row],[Age_Check]]="Valid",H894,"")</f>
        <v/>
      </c>
      <c r="V894" t="str">
        <f>IF(OR(K894="",UPPER(TRIM(K894&amp;""))="",LOWER(TRIM(K894&amp;""))="",LOWER(TRIM(K894&amp;""))="",LOWER(TRIM(K894&amp;""))="missing"),"Missing/",IFERROR(IF(VALUE(K894)&lt;0,"Invalid","Valid"),"Check Format"))</f>
        <v>Valid</v>
      </c>
      <c r="W894" t="str">
        <f>IF(OR(E894="",F894=""),"Missing Date/Time",IFERROR(IF(F894&gt;E894,"Arrival After Appointment","OK"),"Check Format"))</f>
        <v>Missing Date/Time</v>
      </c>
      <c r="X894" t="str">
        <f>IF(OR(F894="",G894=""),"Missing Date/Time",IFERROR(IF(G894&lt;F894,"Discharge Before Arrival","OK"),"Check Format"))</f>
        <v>Missing Date/Time</v>
      </c>
    </row>
    <row r="895" spans="1:24" x14ac:dyDescent="0.25">
      <c r="A895" s="2" t="s">
        <v>1483</v>
      </c>
      <c r="B895" s="2" t="s">
        <v>1234</v>
      </c>
      <c r="C895" s="3" t="s">
        <v>94</v>
      </c>
      <c r="D895" s="3" t="s">
        <v>209</v>
      </c>
      <c r="E895" s="4">
        <v>45385.395833333336</v>
      </c>
      <c r="F895" s="4">
        <v>45385.384027777778</v>
      </c>
      <c r="G895" s="4">
        <v>45385.489583333336</v>
      </c>
      <c r="I895" s="3" t="s">
        <v>95</v>
      </c>
      <c r="K895" s="5">
        <v>71</v>
      </c>
      <c r="L895" s="5">
        <v>64</v>
      </c>
      <c r="M895" s="3" t="s">
        <v>50</v>
      </c>
      <c r="N895" t="s">
        <v>24</v>
      </c>
      <c r="O895" s="5">
        <v>4</v>
      </c>
      <c r="P895" s="3" t="s">
        <v>25</v>
      </c>
      <c r="Q895" s="2">
        <v>127.56</v>
      </c>
      <c r="R895" s="3" t="s">
        <v>75</v>
      </c>
      <c r="S895">
        <f>COUNTIF(A:A,A895)</f>
        <v>1</v>
      </c>
      <c r="T895" t="str">
        <f>IF(OR(H895="",LOWER(TRIM(H895&amp;""))="missing",LOWER(TRIM(H895&amp;""))=""),"Missing/",IFERROR(IF(OR(VALUE(H895)&lt;0,VALUE(H895)&gt;110),"Invalid","Valid"),"Check Format"))</f>
        <v>Missing/</v>
      </c>
      <c r="U895" t="str">
        <f>IF(Raw_Data[[#This Row],[Age_Check]]="Valid",H895,"")</f>
        <v/>
      </c>
      <c r="V895" t="str">
        <f>IF(OR(K895="",UPPER(TRIM(K895&amp;""))="",LOWER(TRIM(K895&amp;""))="",LOWER(TRIM(K895&amp;""))="",LOWER(TRIM(K895&amp;""))="missing"),"Missing/",IFERROR(IF(VALUE(K895)&lt;0,"Invalid","Valid"),"Check Format"))</f>
        <v>Valid</v>
      </c>
      <c r="W895" t="str">
        <f>IF(OR(E895="",F895=""),"Missing Date/Time",IFERROR(IF(F895&gt;E895,"Arrival After Appointment","OK"),"Check Format"))</f>
        <v>OK</v>
      </c>
      <c r="X895" t="str">
        <f>IF(OR(F895="",G895=""),"Missing Date/Time",IFERROR(IF(G895&lt;F895,"Discharge Before Arrival","OK"),"Check Format"))</f>
        <v>OK</v>
      </c>
    </row>
    <row r="896" spans="1:24" x14ac:dyDescent="0.25">
      <c r="A896" s="2" t="s">
        <v>1484</v>
      </c>
      <c r="B896" s="2" t="s">
        <v>1485</v>
      </c>
      <c r="D896" s="3" t="s">
        <v>149</v>
      </c>
      <c r="E896" s="4">
        <v>45740.736111111109</v>
      </c>
      <c r="F896" s="4">
        <v>45740.717361111114</v>
      </c>
      <c r="G896" s="4">
        <v>45740.769444444442</v>
      </c>
      <c r="I896" s="3" t="s">
        <v>95</v>
      </c>
      <c r="J896" s="3" t="s">
        <v>62</v>
      </c>
      <c r="K896" s="5">
        <v>28</v>
      </c>
      <c r="L896" s="5">
        <v>20</v>
      </c>
      <c r="M896" s="3" t="s">
        <v>87</v>
      </c>
      <c r="N896" t="s">
        <v>69</v>
      </c>
      <c r="O896" s="5">
        <v>5</v>
      </c>
      <c r="P896" s="3" t="s">
        <v>80</v>
      </c>
      <c r="Q896" s="2">
        <v>57.83</v>
      </c>
      <c r="R896" s="3" t="s">
        <v>43</v>
      </c>
      <c r="S896">
        <f>COUNTIF(A:A,A896)</f>
        <v>1</v>
      </c>
      <c r="T896" t="str">
        <f>IF(OR(H896="",LOWER(TRIM(H896&amp;""))="missing",LOWER(TRIM(H896&amp;""))=""),"Missing/",IFERROR(IF(OR(VALUE(H896)&lt;0,VALUE(H896)&gt;110),"Invalid","Valid"),"Check Format"))</f>
        <v>Missing/</v>
      </c>
      <c r="U896" t="str">
        <f>IF(Raw_Data[[#This Row],[Age_Check]]="Valid",H896,"")</f>
        <v/>
      </c>
      <c r="V896" t="str">
        <f>IF(OR(K896="",UPPER(TRIM(K896&amp;""))="",LOWER(TRIM(K896&amp;""))="",LOWER(TRIM(K896&amp;""))="",LOWER(TRIM(K896&amp;""))="missing"),"Missing/",IFERROR(IF(VALUE(K896)&lt;0,"Invalid","Valid"),"Check Format"))</f>
        <v>Valid</v>
      </c>
      <c r="W896" t="str">
        <f>IF(OR(E896="",F896=""),"Missing Date/Time",IFERROR(IF(F896&gt;E896,"Arrival After Appointment","OK"),"Check Format"))</f>
        <v>OK</v>
      </c>
      <c r="X896" t="str">
        <f>IF(OR(F896="",G896=""),"Missing Date/Time",IFERROR(IF(G896&lt;F896,"Discharge Before Arrival","OK"),"Check Format"))</f>
        <v>OK</v>
      </c>
    </row>
    <row r="897" spans="1:24" x14ac:dyDescent="0.25">
      <c r="A897" s="2" t="s">
        <v>1486</v>
      </c>
      <c r="B897" s="2" t="s">
        <v>1139</v>
      </c>
      <c r="C897" s="3" t="s">
        <v>94</v>
      </c>
      <c r="D897" s="3" t="s">
        <v>72</v>
      </c>
      <c r="E897" s="4">
        <v>45636.638888888891</v>
      </c>
      <c r="F897" s="4">
        <v>45577.626388888886</v>
      </c>
      <c r="G897" s="4">
        <v>45577.677083333336</v>
      </c>
      <c r="I897" s="3" t="s">
        <v>95</v>
      </c>
      <c r="K897" s="5">
        <v>30</v>
      </c>
      <c r="L897" s="5">
        <v>25</v>
      </c>
      <c r="M897" s="3" t="s">
        <v>68</v>
      </c>
      <c r="N897" t="s">
        <v>69</v>
      </c>
      <c r="O897" s="5">
        <v>1</v>
      </c>
      <c r="P897" s="3" t="s">
        <v>80</v>
      </c>
      <c r="Q897" s="2">
        <v>32.549999999999997</v>
      </c>
      <c r="R897" s="3" t="s">
        <v>58</v>
      </c>
      <c r="S897">
        <f>COUNTIF(A:A,A897)</f>
        <v>1</v>
      </c>
      <c r="T897" t="str">
        <f>IF(OR(H897="",LOWER(TRIM(H897&amp;""))="missing",LOWER(TRIM(H897&amp;""))=""),"Missing/",IFERROR(IF(OR(VALUE(H897)&lt;0,VALUE(H897)&gt;110),"Invalid","Valid"),"Check Format"))</f>
        <v>Missing/</v>
      </c>
      <c r="U897" t="str">
        <f>IF(Raw_Data[[#This Row],[Age_Check]]="Valid",H897,"")</f>
        <v/>
      </c>
      <c r="V897" t="str">
        <f>IF(OR(K897="",UPPER(TRIM(K897&amp;""))="",LOWER(TRIM(K897&amp;""))="",LOWER(TRIM(K897&amp;""))="",LOWER(TRIM(K897&amp;""))="missing"),"Missing/",IFERROR(IF(VALUE(K897)&lt;0,"Invalid","Valid"),"Check Format"))</f>
        <v>Valid</v>
      </c>
      <c r="W897" t="str">
        <f>IF(OR(E897="",F897=""),"Missing Date/Time",IFERROR(IF(F897&gt;E897,"Arrival After Appointment","OK"),"Check Format"))</f>
        <v>OK</v>
      </c>
      <c r="X897" t="str">
        <f>IF(OR(F897="",G897=""),"Missing Date/Time",IFERROR(IF(G897&lt;F897,"Discharge Before Arrival","OK"),"Check Format"))</f>
        <v>OK</v>
      </c>
    </row>
    <row r="898" spans="1:24" x14ac:dyDescent="0.25">
      <c r="A898" s="2" t="s">
        <v>1487</v>
      </c>
      <c r="B898" s="2" t="s">
        <v>1488</v>
      </c>
      <c r="C898" s="3" t="s">
        <v>46</v>
      </c>
      <c r="D898" s="3" t="s">
        <v>38</v>
      </c>
      <c r="E898" s="4">
        <v>45659.5</v>
      </c>
      <c r="G898" s="4">
        <v>45659.573611111111</v>
      </c>
      <c r="I898" s="3" t="s">
        <v>95</v>
      </c>
      <c r="J898" s="3" t="s">
        <v>2639</v>
      </c>
      <c r="K898" s="5">
        <v>58</v>
      </c>
      <c r="L898" s="5">
        <v>48</v>
      </c>
      <c r="M898" s="3" t="s">
        <v>32</v>
      </c>
      <c r="N898" t="s">
        <v>24</v>
      </c>
      <c r="O898" s="5">
        <v>6</v>
      </c>
      <c r="P898" s="3" t="s">
        <v>25</v>
      </c>
      <c r="R898" s="3" t="s">
        <v>26</v>
      </c>
      <c r="S898">
        <f>COUNTIF(A:A,A898)</f>
        <v>1</v>
      </c>
      <c r="T898" t="str">
        <f>IF(OR(H898="",LOWER(TRIM(H898&amp;""))="missing",LOWER(TRIM(H898&amp;""))=""),"Missing/",IFERROR(IF(OR(VALUE(H898)&lt;0,VALUE(H898)&gt;110),"Invalid","Valid"),"Check Format"))</f>
        <v>Missing/</v>
      </c>
      <c r="U898" t="str">
        <f>IF(Raw_Data[[#This Row],[Age_Check]]="Valid",H898,"")</f>
        <v/>
      </c>
      <c r="V898" t="str">
        <f>IF(OR(K898="",UPPER(TRIM(K898&amp;""))="",LOWER(TRIM(K898&amp;""))="",LOWER(TRIM(K898&amp;""))="",LOWER(TRIM(K898&amp;""))="missing"),"Missing/",IFERROR(IF(VALUE(K898)&lt;0,"Invalid","Valid"),"Check Format"))</f>
        <v>Valid</v>
      </c>
      <c r="W898" t="str">
        <f>IF(OR(E898="",F898=""),"Missing Date/Time",IFERROR(IF(F898&gt;E898,"Arrival After Appointment","OK"),"Check Format"))</f>
        <v>Missing Date/Time</v>
      </c>
      <c r="X898" t="str">
        <f>IF(OR(F898="",G898=""),"Missing Date/Time",IFERROR(IF(G898&lt;F898,"Discharge Before Arrival","OK"),"Check Format"))</f>
        <v>Missing Date/Time</v>
      </c>
    </row>
    <row r="899" spans="1:24" x14ac:dyDescent="0.25">
      <c r="A899" s="2" t="s">
        <v>1489</v>
      </c>
      <c r="B899" s="2" t="s">
        <v>158</v>
      </c>
      <c r="C899" s="3" t="s">
        <v>19</v>
      </c>
      <c r="D899" s="3" t="s">
        <v>38</v>
      </c>
      <c r="E899" s="4">
        <v>45416.461805555555</v>
      </c>
      <c r="F899" s="4">
        <v>45416.445138888892</v>
      </c>
      <c r="G899" s="4">
        <v>45416.520833333336</v>
      </c>
      <c r="H899" s="5">
        <v>30</v>
      </c>
      <c r="I899" s="3" t="s">
        <v>73</v>
      </c>
      <c r="J899" s="3" t="s">
        <v>67</v>
      </c>
      <c r="K899" s="5">
        <v>26</v>
      </c>
      <c r="M899" s="3" t="s">
        <v>50</v>
      </c>
      <c r="N899" t="s">
        <v>24</v>
      </c>
      <c r="O899" s="5">
        <v>6</v>
      </c>
      <c r="P899" s="3" t="s">
        <v>42</v>
      </c>
      <c r="Q899" s="2">
        <v>185.86</v>
      </c>
      <c r="R899" s="3" t="s">
        <v>26</v>
      </c>
      <c r="S899">
        <f>COUNTIF(A:A,A899)</f>
        <v>1</v>
      </c>
      <c r="T899" t="str">
        <f>IF(OR(H899="",LOWER(TRIM(H899&amp;""))="missing",LOWER(TRIM(H899&amp;""))=""),"Missing/",IFERROR(IF(OR(VALUE(H899)&lt;0,VALUE(H899)&gt;110),"Invalid","Valid"),"Check Format"))</f>
        <v>Valid</v>
      </c>
      <c r="U899">
        <f>IF(Raw_Data[[#This Row],[Age_Check]]="Valid",H899,"")</f>
        <v>30</v>
      </c>
      <c r="V899" t="str">
        <f>IF(OR(K899="",UPPER(TRIM(K899&amp;""))="",LOWER(TRIM(K899&amp;""))="",LOWER(TRIM(K899&amp;""))="",LOWER(TRIM(K899&amp;""))="missing"),"Missing/",IFERROR(IF(VALUE(K899)&lt;0,"Invalid","Valid"),"Check Format"))</f>
        <v>Valid</v>
      </c>
      <c r="W899" t="str">
        <f>IF(OR(E899="",F899=""),"Missing Date/Time",IFERROR(IF(F899&gt;E899,"Arrival After Appointment","OK"),"Check Format"))</f>
        <v>OK</v>
      </c>
      <c r="X899" t="str">
        <f>IF(OR(F899="",G899=""),"Missing Date/Time",IFERROR(IF(G899&lt;F899,"Discharge Before Arrival","OK"),"Check Format"))</f>
        <v>OK</v>
      </c>
    </row>
    <row r="900" spans="1:24" x14ac:dyDescent="0.25">
      <c r="A900" s="2" t="s">
        <v>1490</v>
      </c>
      <c r="B900" s="2" t="s">
        <v>1135</v>
      </c>
      <c r="C900" s="3" t="s">
        <v>46</v>
      </c>
      <c r="D900" s="3" t="s">
        <v>174</v>
      </c>
      <c r="E900" s="4">
        <v>45937.361111111109</v>
      </c>
      <c r="G900" s="4">
        <v>45848.44027777778</v>
      </c>
      <c r="I900" s="3" t="s">
        <v>73</v>
      </c>
      <c r="J900" s="3" t="s">
        <v>67</v>
      </c>
      <c r="K900" s="5">
        <v>94</v>
      </c>
      <c r="L900" s="5">
        <v>20</v>
      </c>
      <c r="M900" s="3" t="s">
        <v>50</v>
      </c>
      <c r="N900" t="s">
        <v>69</v>
      </c>
      <c r="Q900" s="2">
        <v>213.36</v>
      </c>
      <c r="R900" s="3" t="s">
        <v>58</v>
      </c>
      <c r="S900">
        <f>COUNTIF(A:A,A900)</f>
        <v>1</v>
      </c>
      <c r="T900" t="str">
        <f>IF(OR(H900="",LOWER(TRIM(H900&amp;""))="missing",LOWER(TRIM(H900&amp;""))=""),"Missing/",IFERROR(IF(OR(VALUE(H900)&lt;0,VALUE(H900)&gt;110),"Invalid","Valid"),"Check Format"))</f>
        <v>Missing/</v>
      </c>
      <c r="U900" t="str">
        <f>IF(Raw_Data[[#This Row],[Age_Check]]="Valid",H900,"")</f>
        <v/>
      </c>
      <c r="V900" t="str">
        <f>IF(OR(K900="",UPPER(TRIM(K900&amp;""))="",LOWER(TRIM(K900&amp;""))="",LOWER(TRIM(K900&amp;""))="",LOWER(TRIM(K900&amp;""))="missing"),"Missing/",IFERROR(IF(VALUE(K900)&lt;0,"Invalid","Valid"),"Check Format"))</f>
        <v>Valid</v>
      </c>
      <c r="W900" t="str">
        <f>IF(OR(E900="",F900=""),"Missing Date/Time",IFERROR(IF(F900&gt;E900,"Arrival After Appointment","OK"),"Check Format"))</f>
        <v>Missing Date/Time</v>
      </c>
      <c r="X900" t="str">
        <f>IF(OR(F900="",G900=""),"Missing Date/Time",IFERROR(IF(G900&lt;F900,"Discharge Before Arrival","OK"),"Check Format"))</f>
        <v>Missing Date/Time</v>
      </c>
    </row>
    <row r="901" spans="1:24" x14ac:dyDescent="0.25">
      <c r="A901" s="2" t="s">
        <v>1491</v>
      </c>
      <c r="B901" s="2" t="s">
        <v>921</v>
      </c>
      <c r="C901" s="3" t="s">
        <v>29</v>
      </c>
      <c r="D901" s="3" t="s">
        <v>47</v>
      </c>
      <c r="E901" s="4" t="s">
        <v>1492</v>
      </c>
      <c r="F901" s="4">
        <v>45617.351388888892</v>
      </c>
      <c r="G901" s="4">
        <v>45617.414583333331</v>
      </c>
      <c r="H901" s="5">
        <v>39</v>
      </c>
      <c r="I901" s="3" t="s">
        <v>73</v>
      </c>
      <c r="K901" s="5">
        <v>19</v>
      </c>
      <c r="L901" s="5">
        <v>48</v>
      </c>
      <c r="M901" s="3" t="s">
        <v>63</v>
      </c>
      <c r="N901" t="s">
        <v>74</v>
      </c>
      <c r="O901" s="5">
        <v>3</v>
      </c>
      <c r="P901" s="3" t="s">
        <v>25</v>
      </c>
      <c r="Q901" s="2">
        <v>158.75</v>
      </c>
      <c r="R901" s="3" t="s">
        <v>75</v>
      </c>
      <c r="S901">
        <f>COUNTIF(A:A,A901)</f>
        <v>1</v>
      </c>
      <c r="T901" t="str">
        <f>IF(OR(H901="",LOWER(TRIM(H901&amp;""))="missing",LOWER(TRIM(H901&amp;""))=""),"Missing/",IFERROR(IF(OR(VALUE(H901)&lt;0,VALUE(H901)&gt;110),"Invalid","Valid"),"Check Format"))</f>
        <v>Valid</v>
      </c>
      <c r="U901">
        <f>IF(Raw_Data[[#This Row],[Age_Check]]="Valid",H901,"")</f>
        <v>39</v>
      </c>
      <c r="V901" t="str">
        <f>IF(OR(K901="",UPPER(TRIM(K901&amp;""))="",LOWER(TRIM(K901&amp;""))="",LOWER(TRIM(K901&amp;""))="",LOWER(TRIM(K901&amp;""))="missing"),"Missing/",IFERROR(IF(VALUE(K901)&lt;0,"Invalid","Valid"),"Check Format"))</f>
        <v>Valid</v>
      </c>
      <c r="W901" t="str">
        <f>IF(OR(E901="",F901=""),"Missing Date/Time",IFERROR(IF(F901&gt;E901,"Arrival After Appointment","OK"),"Check Format"))</f>
        <v>OK</v>
      </c>
      <c r="X901" t="str">
        <f>IF(OR(F901="",G901=""),"Missing Date/Time",IFERROR(IF(G901&lt;F901,"Discharge Before Arrival","OK"),"Check Format"))</f>
        <v>OK</v>
      </c>
    </row>
    <row r="902" spans="1:24" x14ac:dyDescent="0.25">
      <c r="A902" s="2" t="s">
        <v>1493</v>
      </c>
      <c r="B902" s="2" t="s">
        <v>729</v>
      </c>
      <c r="D902" s="3" t="s">
        <v>61</v>
      </c>
      <c r="E902" s="4">
        <v>45969.697916666664</v>
      </c>
      <c r="F902" s="4">
        <v>45880.697222222225</v>
      </c>
      <c r="I902" s="3" t="s">
        <v>95</v>
      </c>
      <c r="J902" s="3" t="s">
        <v>22</v>
      </c>
      <c r="K902" s="5">
        <v>77</v>
      </c>
      <c r="L902" s="5">
        <v>10</v>
      </c>
      <c r="M902" s="3" t="s">
        <v>68</v>
      </c>
      <c r="O902" s="5">
        <v>5</v>
      </c>
      <c r="P902" s="3" t="s">
        <v>80</v>
      </c>
      <c r="Q902" s="2">
        <v>73.39</v>
      </c>
      <c r="R902" s="3" t="s">
        <v>26</v>
      </c>
      <c r="S902">
        <f>COUNTIF(A:A,A902)</f>
        <v>1</v>
      </c>
      <c r="T902" t="str">
        <f>IF(OR(H902="",LOWER(TRIM(H902&amp;""))="missing",LOWER(TRIM(H902&amp;""))=""),"Missing/",IFERROR(IF(OR(VALUE(H902)&lt;0,VALUE(H902)&gt;110),"Invalid","Valid"),"Check Format"))</f>
        <v>Missing/</v>
      </c>
      <c r="U902" t="str">
        <f>IF(Raw_Data[[#This Row],[Age_Check]]="Valid",H902,"")</f>
        <v/>
      </c>
      <c r="V902" t="str">
        <f>IF(OR(K902="",UPPER(TRIM(K902&amp;""))="",LOWER(TRIM(K902&amp;""))="",LOWER(TRIM(K902&amp;""))="",LOWER(TRIM(K902&amp;""))="missing"),"Missing/",IFERROR(IF(VALUE(K902)&lt;0,"Invalid","Valid"),"Check Format"))</f>
        <v>Valid</v>
      </c>
      <c r="W902" t="str">
        <f>IF(OR(E902="",F902=""),"Missing Date/Time",IFERROR(IF(F902&gt;E902,"Arrival After Appointment","OK"),"Check Format"))</f>
        <v>OK</v>
      </c>
      <c r="X902" t="str">
        <f>IF(OR(F902="",G902=""),"Missing Date/Time",IFERROR(IF(G902&lt;F902,"Discharge Before Arrival","OK"),"Check Format"))</f>
        <v>Missing Date/Time</v>
      </c>
    </row>
    <row r="903" spans="1:24" x14ac:dyDescent="0.25">
      <c r="A903" s="2" t="s">
        <v>1494</v>
      </c>
      <c r="B903" s="2" t="s">
        <v>547</v>
      </c>
      <c r="D903" s="3" t="s">
        <v>23</v>
      </c>
      <c r="E903" s="4">
        <v>45323.395833333336</v>
      </c>
      <c r="F903" s="4">
        <v>45293.388888888891</v>
      </c>
      <c r="G903" s="4">
        <v>45293.459722222222</v>
      </c>
      <c r="I903" s="3" t="s">
        <v>73</v>
      </c>
      <c r="J903" s="3" t="s">
        <v>171</v>
      </c>
      <c r="K903" s="5">
        <v>78</v>
      </c>
      <c r="L903" s="5">
        <v>14</v>
      </c>
      <c r="N903" t="s">
        <v>103</v>
      </c>
      <c r="P903" s="3" t="s">
        <v>80</v>
      </c>
      <c r="R903" s="3" t="s">
        <v>75</v>
      </c>
      <c r="S903">
        <f>COUNTIF(A:A,A903)</f>
        <v>1</v>
      </c>
      <c r="T903" t="str">
        <f>IF(OR(H903="",LOWER(TRIM(H903&amp;""))="missing",LOWER(TRIM(H903&amp;""))=""),"Missing/",IFERROR(IF(OR(VALUE(H903)&lt;0,VALUE(H903)&gt;110),"Invalid","Valid"),"Check Format"))</f>
        <v>Missing/</v>
      </c>
      <c r="U903" t="str">
        <f>IF(Raw_Data[[#This Row],[Age_Check]]="Valid",H903,"")</f>
        <v/>
      </c>
      <c r="V903" t="str">
        <f>IF(OR(K903="",UPPER(TRIM(K903&amp;""))="",LOWER(TRIM(K903&amp;""))="",LOWER(TRIM(K903&amp;""))="",LOWER(TRIM(K903&amp;""))="missing"),"Missing/",IFERROR(IF(VALUE(K903)&lt;0,"Invalid","Valid"),"Check Format"))</f>
        <v>Valid</v>
      </c>
      <c r="W903" t="str">
        <f>IF(OR(E903="",F903=""),"Missing Date/Time",IFERROR(IF(F903&gt;E903,"Arrival After Appointment","OK"),"Check Format"))</f>
        <v>OK</v>
      </c>
      <c r="X903" t="str">
        <f>IF(OR(F903="",G903=""),"Missing Date/Time",IFERROR(IF(G903&lt;F903,"Discharge Before Arrival","OK"),"Check Format"))</f>
        <v>OK</v>
      </c>
    </row>
    <row r="904" spans="1:24" x14ac:dyDescent="0.25">
      <c r="A904" s="2" t="s">
        <v>1495</v>
      </c>
      <c r="B904" s="2" t="s">
        <v>962</v>
      </c>
      <c r="C904" s="3" t="s">
        <v>19</v>
      </c>
      <c r="D904" s="3" t="s">
        <v>66</v>
      </c>
      <c r="E904" s="4">
        <v>45865.402777777781</v>
      </c>
      <c r="F904" s="4">
        <v>45865.385416666664</v>
      </c>
      <c r="G904" s="4">
        <v>45865.459027777775</v>
      </c>
      <c r="H904" s="5">
        <v>145</v>
      </c>
      <c r="I904" s="3" t="s">
        <v>95</v>
      </c>
      <c r="J904" s="3" t="s">
        <v>150</v>
      </c>
      <c r="K904" s="5">
        <v>74</v>
      </c>
      <c r="L904" s="5">
        <v>7</v>
      </c>
      <c r="M904" s="3" t="s">
        <v>63</v>
      </c>
      <c r="N904" t="s">
        <v>69</v>
      </c>
      <c r="O904" s="5">
        <v>1</v>
      </c>
      <c r="P904" s="3" t="s">
        <v>80</v>
      </c>
      <c r="Q904" s="2">
        <v>212.85</v>
      </c>
      <c r="R904" s="3" t="s">
        <v>43</v>
      </c>
      <c r="S904">
        <f>COUNTIF(A:A,A904)</f>
        <v>1</v>
      </c>
      <c r="T904" t="str">
        <f>IF(OR(H904="",LOWER(TRIM(H904&amp;""))="missing",LOWER(TRIM(H904&amp;""))=""),"Missing/",IFERROR(IF(OR(VALUE(H904)&lt;0,VALUE(H904)&gt;110),"Invalid","Valid"),"Check Format"))</f>
        <v>Invalid</v>
      </c>
      <c r="U904" t="str">
        <f>IF(Raw_Data[[#This Row],[Age_Check]]="Valid",H904,"")</f>
        <v/>
      </c>
      <c r="V904" t="str">
        <f>IF(OR(K904="",UPPER(TRIM(K904&amp;""))="",LOWER(TRIM(K904&amp;""))="",LOWER(TRIM(K904&amp;""))="",LOWER(TRIM(K904&amp;""))="missing"),"Missing/",IFERROR(IF(VALUE(K904)&lt;0,"Invalid","Valid"),"Check Format"))</f>
        <v>Valid</v>
      </c>
      <c r="W904" t="str">
        <f>IF(OR(E904="",F904=""),"Missing Date/Time",IFERROR(IF(F904&gt;E904,"Arrival After Appointment","OK"),"Check Format"))</f>
        <v>OK</v>
      </c>
      <c r="X904" t="str">
        <f>IF(OR(F904="",G904=""),"Missing Date/Time",IFERROR(IF(G904&lt;F904,"Discharge Before Arrival","OK"),"Check Format"))</f>
        <v>OK</v>
      </c>
    </row>
    <row r="905" spans="1:24" x14ac:dyDescent="0.25">
      <c r="A905" s="2" t="s">
        <v>1496</v>
      </c>
      <c r="B905" s="2" t="s">
        <v>1386</v>
      </c>
      <c r="C905" s="3" t="s">
        <v>46</v>
      </c>
      <c r="D905" s="3" t="s">
        <v>115</v>
      </c>
      <c r="E905" s="4">
        <v>45379.402777777781</v>
      </c>
      <c r="F905" s="4">
        <v>45379.383333333331</v>
      </c>
      <c r="G905" s="4">
        <v>45379.440972222219</v>
      </c>
      <c r="H905" s="5">
        <v>25</v>
      </c>
      <c r="J905" s="3" t="s">
        <v>2639</v>
      </c>
      <c r="K905" s="5">
        <v>14</v>
      </c>
      <c r="L905" s="5">
        <v>41</v>
      </c>
      <c r="N905" t="s">
        <v>100</v>
      </c>
      <c r="O905" s="5">
        <v>1</v>
      </c>
      <c r="P905" s="3" t="s">
        <v>25</v>
      </c>
      <c r="Q905" s="2">
        <v>195.05</v>
      </c>
      <c r="R905" s="3" t="s">
        <v>75</v>
      </c>
      <c r="S905">
        <f>COUNTIF(A:A,A905)</f>
        <v>1</v>
      </c>
      <c r="T905" t="str">
        <f>IF(OR(H905="",LOWER(TRIM(H905&amp;""))="missing",LOWER(TRIM(H905&amp;""))=""),"Missing/",IFERROR(IF(OR(VALUE(H905)&lt;0,VALUE(H905)&gt;110),"Invalid","Valid"),"Check Format"))</f>
        <v>Valid</v>
      </c>
      <c r="U905">
        <f>IF(Raw_Data[[#This Row],[Age_Check]]="Valid",H905,"")</f>
        <v>25</v>
      </c>
      <c r="V905" t="str">
        <f>IF(OR(K905="",UPPER(TRIM(K905&amp;""))="",LOWER(TRIM(K905&amp;""))="",LOWER(TRIM(K905&amp;""))="",LOWER(TRIM(K905&amp;""))="missing"),"Missing/",IFERROR(IF(VALUE(K905)&lt;0,"Invalid","Valid"),"Check Format"))</f>
        <v>Valid</v>
      </c>
      <c r="W905" t="str">
        <f>IF(OR(E905="",F905=""),"Missing Date/Time",IFERROR(IF(F905&gt;E905,"Arrival After Appointment","OK"),"Check Format"))</f>
        <v>OK</v>
      </c>
      <c r="X905" t="str">
        <f>IF(OR(F905="",G905=""),"Missing Date/Time",IFERROR(IF(G905&lt;F905,"Discharge Before Arrival","OK"),"Check Format"))</f>
        <v>OK</v>
      </c>
    </row>
    <row r="906" spans="1:24" x14ac:dyDescent="0.25">
      <c r="A906" s="2" t="s">
        <v>1497</v>
      </c>
      <c r="B906" s="2" t="s">
        <v>781</v>
      </c>
      <c r="C906" s="3" t="s">
        <v>46</v>
      </c>
      <c r="D906" s="3" t="s">
        <v>106</v>
      </c>
      <c r="E906" s="4" t="s">
        <v>1498</v>
      </c>
      <c r="F906" s="4">
        <v>45731.552777777775</v>
      </c>
      <c r="G906" s="4">
        <v>45731.611111111109</v>
      </c>
      <c r="I906" s="3" t="s">
        <v>73</v>
      </c>
      <c r="J906" s="3" t="s">
        <v>2639</v>
      </c>
      <c r="K906" s="5">
        <v>33</v>
      </c>
      <c r="L906" s="5">
        <v>42</v>
      </c>
      <c r="M906" s="3" t="s">
        <v>63</v>
      </c>
      <c r="N906" t="s">
        <v>69</v>
      </c>
      <c r="O906" s="5">
        <v>6</v>
      </c>
      <c r="P906" s="3" t="s">
        <v>25</v>
      </c>
      <c r="Q906" s="2">
        <v>165.84</v>
      </c>
      <c r="R906" s="3" t="s">
        <v>58</v>
      </c>
      <c r="S906">
        <f>COUNTIF(A:A,A906)</f>
        <v>1</v>
      </c>
      <c r="T906" t="str">
        <f>IF(OR(H906="",LOWER(TRIM(H906&amp;""))="missing",LOWER(TRIM(H906&amp;""))=""),"Missing/",IFERROR(IF(OR(VALUE(H906)&lt;0,VALUE(H906)&gt;110),"Invalid","Valid"),"Check Format"))</f>
        <v>Missing/</v>
      </c>
      <c r="U906" t="str">
        <f>IF(Raw_Data[[#This Row],[Age_Check]]="Valid",H906,"")</f>
        <v/>
      </c>
      <c r="V906" t="str">
        <f>IF(OR(K906="",UPPER(TRIM(K906&amp;""))="",LOWER(TRIM(K906&amp;""))="",LOWER(TRIM(K906&amp;""))="",LOWER(TRIM(K906&amp;""))="missing"),"Missing/",IFERROR(IF(VALUE(K906)&lt;0,"Invalid","Valid"),"Check Format"))</f>
        <v>Valid</v>
      </c>
      <c r="W906" t="str">
        <f>IF(OR(E906="",F906=""),"Missing Date/Time",IFERROR(IF(F906&gt;E906,"Arrival After Appointment","OK"),"Check Format"))</f>
        <v>OK</v>
      </c>
      <c r="X906" t="str">
        <f>IF(OR(F906="",G906=""),"Missing Date/Time",IFERROR(IF(G906&lt;F906,"Discharge Before Arrival","OK"),"Check Format"))</f>
        <v>OK</v>
      </c>
    </row>
    <row r="907" spans="1:24" x14ac:dyDescent="0.25">
      <c r="A907" s="2" t="s">
        <v>1499</v>
      </c>
      <c r="B907" s="2" t="s">
        <v>1500</v>
      </c>
      <c r="C907" s="3" t="s">
        <v>29</v>
      </c>
      <c r="D907" s="3" t="s">
        <v>106</v>
      </c>
      <c r="E907" s="4">
        <v>45501.763888888891</v>
      </c>
      <c r="F907" s="4">
        <v>45501.754861111112</v>
      </c>
      <c r="H907" s="5">
        <v>68</v>
      </c>
      <c r="I907" s="3" t="s">
        <v>95</v>
      </c>
      <c r="J907" s="3" t="s">
        <v>62</v>
      </c>
      <c r="K907" s="5">
        <v>39</v>
      </c>
      <c r="L907" s="5">
        <v>13</v>
      </c>
      <c r="M907" s="3" t="s">
        <v>41</v>
      </c>
      <c r="N907" t="s">
        <v>100</v>
      </c>
      <c r="P907" s="3" t="s">
        <v>80</v>
      </c>
      <c r="Q907" s="2">
        <v>0</v>
      </c>
      <c r="R907" s="3" t="s">
        <v>58</v>
      </c>
      <c r="S907">
        <f>COUNTIF(A:A,A907)</f>
        <v>1</v>
      </c>
      <c r="T907" t="str">
        <f>IF(OR(H907="",LOWER(TRIM(H907&amp;""))="missing",LOWER(TRIM(H907&amp;""))=""),"Missing/",IFERROR(IF(OR(VALUE(H907)&lt;0,VALUE(H907)&gt;110),"Invalid","Valid"),"Check Format"))</f>
        <v>Valid</v>
      </c>
      <c r="U907">
        <f>IF(Raw_Data[[#This Row],[Age_Check]]="Valid",H907,"")</f>
        <v>68</v>
      </c>
      <c r="V907" t="str">
        <f>IF(OR(K907="",UPPER(TRIM(K907&amp;""))="",LOWER(TRIM(K907&amp;""))="",LOWER(TRIM(K907&amp;""))="",LOWER(TRIM(K907&amp;""))="missing"),"Missing/",IFERROR(IF(VALUE(K907)&lt;0,"Invalid","Valid"),"Check Format"))</f>
        <v>Valid</v>
      </c>
      <c r="W907" t="str">
        <f>IF(OR(E907="",F907=""),"Missing Date/Time",IFERROR(IF(F907&gt;E907,"Arrival After Appointment","OK"),"Check Format"))</f>
        <v>OK</v>
      </c>
      <c r="X907" t="str">
        <f>IF(OR(F907="",G907=""),"Missing Date/Time",IFERROR(IF(G907&lt;F907,"Discharge Before Arrival","OK"),"Check Format"))</f>
        <v>Missing Date/Time</v>
      </c>
    </row>
    <row r="908" spans="1:24" x14ac:dyDescent="0.25">
      <c r="A908" s="2" t="s">
        <v>1501</v>
      </c>
      <c r="B908" s="2" t="s">
        <v>913</v>
      </c>
      <c r="D908" s="3" t="s">
        <v>55</v>
      </c>
      <c r="E908" s="4">
        <v>45688.538194444445</v>
      </c>
      <c r="F908" s="4">
        <v>45688.529166666667</v>
      </c>
      <c r="G908" s="4">
        <v>45688.590277777781</v>
      </c>
      <c r="J908" s="3" t="s">
        <v>67</v>
      </c>
      <c r="K908" s="5">
        <v>70</v>
      </c>
      <c r="L908" s="5">
        <v>5</v>
      </c>
      <c r="M908" s="3" t="s">
        <v>63</v>
      </c>
      <c r="N908" t="s">
        <v>24</v>
      </c>
      <c r="P908" s="3" t="s">
        <v>80</v>
      </c>
      <c r="Q908" s="2">
        <v>152.63</v>
      </c>
      <c r="R908" s="3" t="s">
        <v>43</v>
      </c>
      <c r="S908">
        <f>COUNTIF(A:A,A908)</f>
        <v>1</v>
      </c>
      <c r="T908" t="str">
        <f>IF(OR(H908="",LOWER(TRIM(H908&amp;""))="missing",LOWER(TRIM(H908&amp;""))=""),"Missing/",IFERROR(IF(OR(VALUE(H908)&lt;0,VALUE(H908)&gt;110),"Invalid","Valid"),"Check Format"))</f>
        <v>Missing/</v>
      </c>
      <c r="U908" t="str">
        <f>IF(Raw_Data[[#This Row],[Age_Check]]="Valid",H908,"")</f>
        <v/>
      </c>
      <c r="V908" t="str">
        <f>IF(OR(K908="",UPPER(TRIM(K908&amp;""))="",LOWER(TRIM(K908&amp;""))="",LOWER(TRIM(K908&amp;""))="",LOWER(TRIM(K908&amp;""))="missing"),"Missing/",IFERROR(IF(VALUE(K908)&lt;0,"Invalid","Valid"),"Check Format"))</f>
        <v>Valid</v>
      </c>
      <c r="W908" t="str">
        <f>IF(OR(E908="",F908=""),"Missing Date/Time",IFERROR(IF(F908&gt;E908,"Arrival After Appointment","OK"),"Check Format"))</f>
        <v>OK</v>
      </c>
      <c r="X908" t="str">
        <f>IF(OR(F908="",G908=""),"Missing Date/Time",IFERROR(IF(G908&lt;F908,"Discharge Before Arrival","OK"),"Check Format"))</f>
        <v>OK</v>
      </c>
    </row>
    <row r="909" spans="1:24" x14ac:dyDescent="0.25">
      <c r="A909" s="2" t="s">
        <v>1502</v>
      </c>
      <c r="B909" s="2" t="s">
        <v>1012</v>
      </c>
      <c r="C909" s="3" t="s">
        <v>94</v>
      </c>
      <c r="D909" s="3" t="s">
        <v>149</v>
      </c>
      <c r="E909" s="4">
        <v>45403.638888888891</v>
      </c>
      <c r="F909" s="4">
        <v>45403.620138888888</v>
      </c>
      <c r="G909" s="4">
        <v>45403.702777777777</v>
      </c>
      <c r="H909" s="5">
        <v>26</v>
      </c>
      <c r="I909" s="3" t="s">
        <v>90</v>
      </c>
      <c r="K909" s="5">
        <v>48</v>
      </c>
      <c r="L909" s="5">
        <v>44</v>
      </c>
      <c r="N909" t="s">
        <v>69</v>
      </c>
      <c r="O909" s="5">
        <v>5</v>
      </c>
      <c r="P909" s="3" t="s">
        <v>80</v>
      </c>
      <c r="Q909" s="2">
        <v>120.84</v>
      </c>
      <c r="R909" s="3" t="s">
        <v>58</v>
      </c>
      <c r="S909">
        <f>COUNTIF(A:A,A909)</f>
        <v>1</v>
      </c>
      <c r="T909" t="str">
        <f>IF(OR(H909="",LOWER(TRIM(H909&amp;""))="missing",LOWER(TRIM(H909&amp;""))=""),"Missing/",IFERROR(IF(OR(VALUE(H909)&lt;0,VALUE(H909)&gt;110),"Invalid","Valid"),"Check Format"))</f>
        <v>Valid</v>
      </c>
      <c r="U909">
        <f>IF(Raw_Data[[#This Row],[Age_Check]]="Valid",H909,"")</f>
        <v>26</v>
      </c>
      <c r="V909" t="str">
        <f>IF(OR(K909="",UPPER(TRIM(K909&amp;""))="",LOWER(TRIM(K909&amp;""))="",LOWER(TRIM(K909&amp;""))="",LOWER(TRIM(K909&amp;""))="missing"),"Missing/",IFERROR(IF(VALUE(K909)&lt;0,"Invalid","Valid"),"Check Format"))</f>
        <v>Valid</v>
      </c>
      <c r="W909" t="str">
        <f>IF(OR(E909="",F909=""),"Missing Date/Time",IFERROR(IF(F909&gt;E909,"Arrival After Appointment","OK"),"Check Format"))</f>
        <v>OK</v>
      </c>
      <c r="X909" t="str">
        <f>IF(OR(F909="",G909=""),"Missing Date/Time",IFERROR(IF(G909&lt;F909,"Discharge Before Arrival","OK"),"Check Format"))</f>
        <v>OK</v>
      </c>
    </row>
    <row r="910" spans="1:24" x14ac:dyDescent="0.25">
      <c r="A910" s="2" t="s">
        <v>1503</v>
      </c>
      <c r="B910" s="2" t="s">
        <v>102</v>
      </c>
      <c r="C910" s="3" t="s">
        <v>46</v>
      </c>
      <c r="D910" s="3" t="s">
        <v>23</v>
      </c>
      <c r="E910" s="4">
        <v>45459.513888888891</v>
      </c>
      <c r="F910" s="4">
        <v>45459.5</v>
      </c>
      <c r="G910" s="4">
        <v>45459.57708333333</v>
      </c>
      <c r="J910" s="3" t="s">
        <v>171</v>
      </c>
      <c r="L910" s="5">
        <v>45</v>
      </c>
      <c r="M910" s="3" t="s">
        <v>32</v>
      </c>
      <c r="N910" t="s">
        <v>24</v>
      </c>
      <c r="O910" s="5">
        <v>5</v>
      </c>
      <c r="P910" s="3" t="s">
        <v>25</v>
      </c>
      <c r="Q910" s="2">
        <v>171.8</v>
      </c>
      <c r="R910" s="3" t="s">
        <v>43</v>
      </c>
      <c r="S910">
        <f>COUNTIF(A:A,A910)</f>
        <v>1</v>
      </c>
      <c r="T910" t="str">
        <f>IF(OR(H910="",LOWER(TRIM(H910&amp;""))="missing",LOWER(TRIM(H910&amp;""))=""),"Missing/",IFERROR(IF(OR(VALUE(H910)&lt;0,VALUE(H910)&gt;110),"Invalid","Valid"),"Check Format"))</f>
        <v>Missing/</v>
      </c>
      <c r="U910" t="str">
        <f>IF(Raw_Data[[#This Row],[Age_Check]]="Valid",H910,"")</f>
        <v/>
      </c>
      <c r="V910" t="str">
        <f>IF(OR(K910="",UPPER(TRIM(K910&amp;""))="",LOWER(TRIM(K910&amp;""))="",LOWER(TRIM(K910&amp;""))="",LOWER(TRIM(K910&amp;""))="missing"),"Missing/",IFERROR(IF(VALUE(K910)&lt;0,"Invalid","Valid"),"Check Format"))</f>
        <v>Missing/</v>
      </c>
      <c r="W910" t="str">
        <f>IF(OR(E910="",F910=""),"Missing Date/Time",IFERROR(IF(F910&gt;E910,"Arrival After Appointment","OK"),"Check Format"))</f>
        <v>OK</v>
      </c>
      <c r="X910" t="str">
        <f>IF(OR(F910="",G910=""),"Missing Date/Time",IFERROR(IF(G910&lt;F910,"Discharge Before Arrival","OK"),"Check Format"))</f>
        <v>OK</v>
      </c>
    </row>
    <row r="911" spans="1:24" x14ac:dyDescent="0.25">
      <c r="A911" s="2" t="s">
        <v>1504</v>
      </c>
      <c r="B911" s="2" t="s">
        <v>710</v>
      </c>
      <c r="C911" s="3" t="s">
        <v>46</v>
      </c>
      <c r="D911" s="3" t="s">
        <v>106</v>
      </c>
      <c r="E911" s="4">
        <v>45985.680555555555</v>
      </c>
      <c r="F911" s="4">
        <v>45985.671527777777</v>
      </c>
      <c r="G911" s="4">
        <v>45985.756249999999</v>
      </c>
      <c r="I911" s="3" t="s">
        <v>95</v>
      </c>
      <c r="K911" s="5">
        <v>69</v>
      </c>
      <c r="L911" s="5">
        <v>40</v>
      </c>
      <c r="M911" s="3" t="s">
        <v>41</v>
      </c>
      <c r="N911" t="s">
        <v>100</v>
      </c>
      <c r="O911" s="5">
        <v>1</v>
      </c>
      <c r="P911" s="3" t="s">
        <v>25</v>
      </c>
      <c r="Q911" s="2">
        <v>22.15</v>
      </c>
      <c r="R911" s="3" t="s">
        <v>75</v>
      </c>
      <c r="S911">
        <f>COUNTIF(A:A,A911)</f>
        <v>1</v>
      </c>
      <c r="T911" t="str">
        <f>IF(OR(H911="",LOWER(TRIM(H911&amp;""))="missing",LOWER(TRIM(H911&amp;""))=""),"Missing/",IFERROR(IF(OR(VALUE(H911)&lt;0,VALUE(H911)&gt;110),"Invalid","Valid"),"Check Format"))</f>
        <v>Missing/</v>
      </c>
      <c r="U911" t="str">
        <f>IF(Raw_Data[[#This Row],[Age_Check]]="Valid",H911,"")</f>
        <v/>
      </c>
      <c r="V911" t="str">
        <f>IF(OR(K911="",UPPER(TRIM(K911&amp;""))="",LOWER(TRIM(K911&amp;""))="",LOWER(TRIM(K911&amp;""))="",LOWER(TRIM(K911&amp;""))="missing"),"Missing/",IFERROR(IF(VALUE(K911)&lt;0,"Invalid","Valid"),"Check Format"))</f>
        <v>Valid</v>
      </c>
      <c r="W911" t="str">
        <f>IF(OR(E911="",F911=""),"Missing Date/Time",IFERROR(IF(F911&gt;E911,"Arrival After Appointment","OK"),"Check Format"))</f>
        <v>OK</v>
      </c>
      <c r="X911" t="str">
        <f>IF(OR(F911="",G911=""),"Missing Date/Time",IFERROR(IF(G911&lt;F911,"Discharge Before Arrival","OK"),"Check Format"))</f>
        <v>OK</v>
      </c>
    </row>
    <row r="912" spans="1:24" x14ac:dyDescent="0.25">
      <c r="A912" s="2" t="s">
        <v>1505</v>
      </c>
      <c r="B912" s="2" t="s">
        <v>1228</v>
      </c>
      <c r="C912" s="3" t="s">
        <v>94</v>
      </c>
      <c r="D912" s="3" t="s">
        <v>99</v>
      </c>
      <c r="E912" s="4">
        <v>45482.416666666664</v>
      </c>
      <c r="G912" s="4">
        <v>45482.504861111112</v>
      </c>
      <c r="H912" s="5">
        <v>63</v>
      </c>
      <c r="J912" s="3" t="s">
        <v>62</v>
      </c>
      <c r="K912" s="5">
        <v>84</v>
      </c>
      <c r="L912" s="5">
        <v>43</v>
      </c>
      <c r="N912" t="s">
        <v>74</v>
      </c>
      <c r="O912" s="5">
        <v>2</v>
      </c>
      <c r="P912" s="3" t="s">
        <v>25</v>
      </c>
      <c r="Q912" s="2">
        <v>63.67</v>
      </c>
      <c r="R912" s="3" t="s">
        <v>43</v>
      </c>
      <c r="S912">
        <f>COUNTIF(A:A,A912)</f>
        <v>1</v>
      </c>
      <c r="T912" t="str">
        <f>IF(OR(H912="",LOWER(TRIM(H912&amp;""))="missing",LOWER(TRIM(H912&amp;""))=""),"Missing/",IFERROR(IF(OR(VALUE(H912)&lt;0,VALUE(H912)&gt;110),"Invalid","Valid"),"Check Format"))</f>
        <v>Valid</v>
      </c>
      <c r="U912">
        <f>IF(Raw_Data[[#This Row],[Age_Check]]="Valid",H912,"")</f>
        <v>63</v>
      </c>
      <c r="V912" t="str">
        <f>IF(OR(K912="",UPPER(TRIM(K912&amp;""))="",LOWER(TRIM(K912&amp;""))="",LOWER(TRIM(K912&amp;""))="",LOWER(TRIM(K912&amp;""))="missing"),"Missing/",IFERROR(IF(VALUE(K912)&lt;0,"Invalid","Valid"),"Check Format"))</f>
        <v>Valid</v>
      </c>
      <c r="W912" t="str">
        <f>IF(OR(E912="",F912=""),"Missing Date/Time",IFERROR(IF(F912&gt;E912,"Arrival After Appointment","OK"),"Check Format"))</f>
        <v>Missing Date/Time</v>
      </c>
      <c r="X912" t="str">
        <f>IF(OR(F912="",G912=""),"Missing Date/Time",IFERROR(IF(G912&lt;F912,"Discharge Before Arrival","OK"),"Check Format"))</f>
        <v>Missing Date/Time</v>
      </c>
    </row>
    <row r="913" spans="1:24" x14ac:dyDescent="0.25">
      <c r="A913" s="2" t="s">
        <v>1506</v>
      </c>
      <c r="B913" s="2" t="s">
        <v>351</v>
      </c>
      <c r="C913" s="3" t="s">
        <v>37</v>
      </c>
      <c r="D913" s="3" t="s">
        <v>66</v>
      </c>
      <c r="E913" s="4" t="s">
        <v>1507</v>
      </c>
      <c r="F913" s="4">
        <v>45929.646527777775</v>
      </c>
      <c r="G913" s="4">
        <v>45929.722222222219</v>
      </c>
      <c r="H913" s="5">
        <v>14</v>
      </c>
      <c r="I913" s="3" t="s">
        <v>73</v>
      </c>
      <c r="J913" s="3" t="s">
        <v>62</v>
      </c>
      <c r="K913" s="5">
        <v>49</v>
      </c>
      <c r="L913" s="5">
        <v>31</v>
      </c>
      <c r="M913" s="3" t="s">
        <v>23</v>
      </c>
      <c r="O913" s="5">
        <v>0</v>
      </c>
      <c r="P913" s="3" t="s">
        <v>25</v>
      </c>
      <c r="Q913" s="2">
        <v>134.24</v>
      </c>
      <c r="R913" s="3" t="s">
        <v>58</v>
      </c>
      <c r="S913">
        <f>COUNTIF(A:A,A913)</f>
        <v>1</v>
      </c>
      <c r="T913" t="str">
        <f>IF(OR(H913="",LOWER(TRIM(H913&amp;""))="missing",LOWER(TRIM(H913&amp;""))=""),"Missing/",IFERROR(IF(OR(VALUE(H913)&lt;0,VALUE(H913)&gt;110),"Invalid","Valid"),"Check Format"))</f>
        <v>Valid</v>
      </c>
      <c r="U913">
        <f>IF(Raw_Data[[#This Row],[Age_Check]]="Valid",H913,"")</f>
        <v>14</v>
      </c>
      <c r="V913" t="str">
        <f>IF(OR(K913="",UPPER(TRIM(K913&amp;""))="",LOWER(TRIM(K913&amp;""))="",LOWER(TRIM(K913&amp;""))="",LOWER(TRIM(K913&amp;""))="missing"),"Missing/",IFERROR(IF(VALUE(K913)&lt;0,"Invalid","Valid"),"Check Format"))</f>
        <v>Valid</v>
      </c>
      <c r="W913" t="str">
        <f>IF(OR(E913="",F913=""),"Missing Date/Time",IFERROR(IF(F913&gt;E913,"Arrival After Appointment","OK"),"Check Format"))</f>
        <v>OK</v>
      </c>
      <c r="X913" t="str">
        <f>IF(OR(F913="",G913=""),"Missing Date/Time",IFERROR(IF(G913&lt;F913,"Discharge Before Arrival","OK"),"Check Format"))</f>
        <v>OK</v>
      </c>
    </row>
    <row r="914" spans="1:24" x14ac:dyDescent="0.25">
      <c r="A914" s="2" t="s">
        <v>1508</v>
      </c>
      <c r="B914" s="2" t="s">
        <v>855</v>
      </c>
      <c r="C914" s="3" t="s">
        <v>46</v>
      </c>
      <c r="D914" s="3" t="s">
        <v>99</v>
      </c>
      <c r="E914" s="4">
        <v>45510.534722222219</v>
      </c>
      <c r="F914" s="4">
        <v>45451.520833333336</v>
      </c>
      <c r="G914" s="4">
        <v>45451.62222222222</v>
      </c>
      <c r="I914" s="3" t="s">
        <v>95</v>
      </c>
      <c r="J914" s="3" t="s">
        <v>67</v>
      </c>
      <c r="K914" s="5">
        <v>69</v>
      </c>
      <c r="L914" s="5">
        <v>57</v>
      </c>
      <c r="M914" s="3" t="s">
        <v>23</v>
      </c>
      <c r="N914" t="s">
        <v>100</v>
      </c>
      <c r="P914" s="3" t="s">
        <v>80</v>
      </c>
      <c r="Q914" s="2">
        <v>231.54</v>
      </c>
      <c r="R914" s="3" t="s">
        <v>43</v>
      </c>
      <c r="S914">
        <f>COUNTIF(A:A,A914)</f>
        <v>1</v>
      </c>
      <c r="T914" t="str">
        <f>IF(OR(H914="",LOWER(TRIM(H914&amp;""))="missing",LOWER(TRIM(H914&amp;""))=""),"Missing/",IFERROR(IF(OR(VALUE(H914)&lt;0,VALUE(H914)&gt;110),"Invalid","Valid"),"Check Format"))</f>
        <v>Missing/</v>
      </c>
      <c r="U914" t="str">
        <f>IF(Raw_Data[[#This Row],[Age_Check]]="Valid",H914,"")</f>
        <v/>
      </c>
      <c r="V914" t="str">
        <f>IF(OR(K914="",UPPER(TRIM(K914&amp;""))="",LOWER(TRIM(K914&amp;""))="",LOWER(TRIM(K914&amp;""))="",LOWER(TRIM(K914&amp;""))="missing"),"Missing/",IFERROR(IF(VALUE(K914)&lt;0,"Invalid","Valid"),"Check Format"))</f>
        <v>Valid</v>
      </c>
      <c r="W914" t="str">
        <f>IF(OR(E914="",F914=""),"Missing Date/Time",IFERROR(IF(F914&gt;E914,"Arrival After Appointment","OK"),"Check Format"))</f>
        <v>OK</v>
      </c>
      <c r="X914" t="str">
        <f>IF(OR(F914="",G914=""),"Missing Date/Time",IFERROR(IF(G914&lt;F914,"Discharge Before Arrival","OK"),"Check Format"))</f>
        <v>OK</v>
      </c>
    </row>
    <row r="915" spans="1:24" x14ac:dyDescent="0.25">
      <c r="A915" s="2" t="s">
        <v>1509</v>
      </c>
      <c r="B915" s="2" t="s">
        <v>1325</v>
      </c>
      <c r="D915" s="3" t="s">
        <v>115</v>
      </c>
      <c r="E915" s="4">
        <v>45863.659722222219</v>
      </c>
      <c r="F915" s="4">
        <v>45863.65902777778</v>
      </c>
      <c r="G915" s="4">
        <v>45863.697916666664</v>
      </c>
      <c r="I915" s="3" t="s">
        <v>73</v>
      </c>
      <c r="J915" s="3" t="s">
        <v>62</v>
      </c>
      <c r="K915" s="5">
        <v>12</v>
      </c>
      <c r="L915" s="5">
        <v>43</v>
      </c>
      <c r="N915" t="s">
        <v>74</v>
      </c>
      <c r="O915" s="5">
        <v>5</v>
      </c>
      <c r="Q915" s="2">
        <v>251.31</v>
      </c>
      <c r="R915" s="3" t="s">
        <v>43</v>
      </c>
      <c r="S915">
        <f>COUNTIF(A:A,A915)</f>
        <v>1</v>
      </c>
      <c r="T915" t="str">
        <f>IF(OR(H915="",LOWER(TRIM(H915&amp;""))="missing",LOWER(TRIM(H915&amp;""))=""),"Missing/",IFERROR(IF(OR(VALUE(H915)&lt;0,VALUE(H915)&gt;110),"Invalid","Valid"),"Check Format"))</f>
        <v>Missing/</v>
      </c>
      <c r="U915" t="str">
        <f>IF(Raw_Data[[#This Row],[Age_Check]]="Valid",H915,"")</f>
        <v/>
      </c>
      <c r="V915" t="str">
        <f>IF(OR(K915="",UPPER(TRIM(K915&amp;""))="",LOWER(TRIM(K915&amp;""))="",LOWER(TRIM(K915&amp;""))="",LOWER(TRIM(K915&amp;""))="missing"),"Missing/",IFERROR(IF(VALUE(K915)&lt;0,"Invalid","Valid"),"Check Format"))</f>
        <v>Valid</v>
      </c>
      <c r="W915" t="str">
        <f>IF(OR(E915="",F915=""),"Missing Date/Time",IFERROR(IF(F915&gt;E915,"Arrival After Appointment","OK"),"Check Format"))</f>
        <v>OK</v>
      </c>
      <c r="X915" t="str">
        <f>IF(OR(F915="",G915=""),"Missing Date/Time",IFERROR(IF(G915&lt;F915,"Discharge Before Arrival","OK"),"Check Format"))</f>
        <v>OK</v>
      </c>
    </row>
    <row r="916" spans="1:24" x14ac:dyDescent="0.25">
      <c r="A916" s="2" t="s">
        <v>1510</v>
      </c>
      <c r="B916" s="2" t="s">
        <v>333</v>
      </c>
      <c r="C916" s="3" t="s">
        <v>37</v>
      </c>
      <c r="D916" s="3" t="s">
        <v>174</v>
      </c>
      <c r="E916" s="4">
        <v>45894.729166666664</v>
      </c>
      <c r="F916" s="4">
        <v>45894.711111111108</v>
      </c>
      <c r="G916" s="4">
        <v>45894.813888888886</v>
      </c>
      <c r="H916" s="5">
        <v>145</v>
      </c>
      <c r="I916" s="3" t="s">
        <v>73</v>
      </c>
      <c r="J916" s="3" t="s">
        <v>22</v>
      </c>
      <c r="K916" s="5">
        <v>71</v>
      </c>
      <c r="L916" s="5">
        <v>51</v>
      </c>
      <c r="M916" s="3" t="s">
        <v>87</v>
      </c>
      <c r="N916" t="s">
        <v>69</v>
      </c>
      <c r="O916" s="5">
        <v>3</v>
      </c>
      <c r="P916" s="3" t="s">
        <v>42</v>
      </c>
      <c r="Q916" s="2">
        <v>305.98</v>
      </c>
      <c r="R916" s="3" t="s">
        <v>26</v>
      </c>
      <c r="S916">
        <f>COUNTIF(A:A,A916)</f>
        <v>1</v>
      </c>
      <c r="T916" t="str">
        <f>IF(OR(H916="",LOWER(TRIM(H916&amp;""))="missing",LOWER(TRIM(H916&amp;""))=""),"Missing/",IFERROR(IF(OR(VALUE(H916)&lt;0,VALUE(H916)&gt;110),"Invalid","Valid"),"Check Format"))</f>
        <v>Invalid</v>
      </c>
      <c r="U916" t="str">
        <f>IF(Raw_Data[[#This Row],[Age_Check]]="Valid",H916,"")</f>
        <v/>
      </c>
      <c r="V916" t="str">
        <f>IF(OR(K916="",UPPER(TRIM(K916&amp;""))="",LOWER(TRIM(K916&amp;""))="",LOWER(TRIM(K916&amp;""))="",LOWER(TRIM(K916&amp;""))="missing"),"Missing/",IFERROR(IF(VALUE(K916)&lt;0,"Invalid","Valid"),"Check Format"))</f>
        <v>Valid</v>
      </c>
      <c r="W916" t="str">
        <f>IF(OR(E916="",F916=""),"Missing Date/Time",IFERROR(IF(F916&gt;E916,"Arrival After Appointment","OK"),"Check Format"))</f>
        <v>OK</v>
      </c>
      <c r="X916" t="str">
        <f>IF(OR(F916="",G916=""),"Missing Date/Time",IFERROR(IF(G916&lt;F916,"Discharge Before Arrival","OK"),"Check Format"))</f>
        <v>OK</v>
      </c>
    </row>
    <row r="917" spans="1:24" x14ac:dyDescent="0.25">
      <c r="A917" s="2" t="s">
        <v>1511</v>
      </c>
      <c r="B917" s="2" t="s">
        <v>1175</v>
      </c>
      <c r="C917" s="3" t="s">
        <v>46</v>
      </c>
      <c r="D917" s="3" t="s">
        <v>47</v>
      </c>
      <c r="E917" s="4" t="s">
        <v>1512</v>
      </c>
      <c r="F917" s="4">
        <v>45804.275000000001</v>
      </c>
      <c r="G917" s="4">
        <v>45804.381249999999</v>
      </c>
      <c r="H917" s="5">
        <v>23</v>
      </c>
      <c r="I917" s="3" t="s">
        <v>73</v>
      </c>
      <c r="J917" s="3" t="s">
        <v>171</v>
      </c>
      <c r="K917" s="5">
        <v>93</v>
      </c>
      <c r="L917" s="5">
        <v>36</v>
      </c>
      <c r="O917" s="5">
        <v>6</v>
      </c>
      <c r="P917" s="3" t="s">
        <v>42</v>
      </c>
      <c r="Q917" s="2">
        <v>228.61</v>
      </c>
      <c r="R917" s="3" t="s">
        <v>26</v>
      </c>
      <c r="S917">
        <f>COUNTIF(A:A,A917)</f>
        <v>1</v>
      </c>
      <c r="T917" t="str">
        <f>IF(OR(H917="",LOWER(TRIM(H917&amp;""))="missing",LOWER(TRIM(H917&amp;""))=""),"Missing/",IFERROR(IF(OR(VALUE(H917)&lt;0,VALUE(H917)&gt;110),"Invalid","Valid"),"Check Format"))</f>
        <v>Valid</v>
      </c>
      <c r="U917">
        <f>IF(Raw_Data[[#This Row],[Age_Check]]="Valid",H917,"")</f>
        <v>23</v>
      </c>
      <c r="V917" t="str">
        <f>IF(OR(K917="",UPPER(TRIM(K917&amp;""))="",LOWER(TRIM(K917&amp;""))="",LOWER(TRIM(K917&amp;""))="",LOWER(TRIM(K917&amp;""))="missing"),"Missing/",IFERROR(IF(VALUE(K917)&lt;0,"Invalid","Valid"),"Check Format"))</f>
        <v>Valid</v>
      </c>
      <c r="W917" t="str">
        <f>IF(OR(E917="",F917=""),"Missing Date/Time",IFERROR(IF(F917&gt;E917,"Arrival After Appointment","OK"),"Check Format"))</f>
        <v>OK</v>
      </c>
      <c r="X917" t="str">
        <f>IF(OR(F917="",G917=""),"Missing Date/Time",IFERROR(IF(G917&lt;F917,"Discharge Before Arrival","OK"),"Check Format"))</f>
        <v>OK</v>
      </c>
    </row>
    <row r="918" spans="1:24" x14ac:dyDescent="0.25">
      <c r="A918" s="2" t="s">
        <v>1513</v>
      </c>
      <c r="B918" s="2" t="s">
        <v>616</v>
      </c>
      <c r="C918" s="3" t="s">
        <v>19</v>
      </c>
      <c r="D918" s="3" t="s">
        <v>47</v>
      </c>
      <c r="F918" s="4">
        <v>45775.293749999997</v>
      </c>
      <c r="G918" s="4">
        <v>45775.378472222219</v>
      </c>
      <c r="I918" s="3" t="s">
        <v>95</v>
      </c>
      <c r="J918" s="3" t="s">
        <v>62</v>
      </c>
      <c r="K918" s="5">
        <v>63</v>
      </c>
      <c r="L918" s="5">
        <v>32</v>
      </c>
      <c r="M918" s="3" t="s">
        <v>23</v>
      </c>
      <c r="N918" t="s">
        <v>91</v>
      </c>
      <c r="O918" s="5">
        <v>0</v>
      </c>
      <c r="P918" s="3" t="s">
        <v>25</v>
      </c>
      <c r="Q918" s="2">
        <v>116.89</v>
      </c>
      <c r="R918" s="3" t="s">
        <v>58</v>
      </c>
      <c r="S918">
        <f>COUNTIF(A:A,A918)</f>
        <v>1</v>
      </c>
      <c r="T918" t="str">
        <f>IF(OR(H918="",LOWER(TRIM(H918&amp;""))="missing",LOWER(TRIM(H918&amp;""))=""),"Missing/",IFERROR(IF(OR(VALUE(H918)&lt;0,VALUE(H918)&gt;110),"Invalid","Valid"),"Check Format"))</f>
        <v>Missing/</v>
      </c>
      <c r="U918" t="str">
        <f>IF(Raw_Data[[#This Row],[Age_Check]]="Valid",H918,"")</f>
        <v/>
      </c>
      <c r="V918" t="str">
        <f>IF(OR(K918="",UPPER(TRIM(K918&amp;""))="",LOWER(TRIM(K918&amp;""))="",LOWER(TRIM(K918&amp;""))="",LOWER(TRIM(K918&amp;""))="missing"),"Missing/",IFERROR(IF(VALUE(K918)&lt;0,"Invalid","Valid"),"Check Format"))</f>
        <v>Valid</v>
      </c>
      <c r="W918" t="str">
        <f>IF(OR(E918="",F918=""),"Missing Date/Time",IFERROR(IF(F918&gt;E918,"Arrival After Appointment","OK"),"Check Format"))</f>
        <v>Missing Date/Time</v>
      </c>
      <c r="X918" t="str">
        <f>IF(OR(F918="",G918=""),"Missing Date/Time",IFERROR(IF(G918&lt;F918,"Discharge Before Arrival","OK"),"Check Format"))</f>
        <v>OK</v>
      </c>
    </row>
    <row r="919" spans="1:24" x14ac:dyDescent="0.25">
      <c r="A919" s="2" t="s">
        <v>1514</v>
      </c>
      <c r="B919" s="2" t="s">
        <v>98</v>
      </c>
      <c r="C919" s="3" t="s">
        <v>37</v>
      </c>
      <c r="D919" s="3" t="s">
        <v>38</v>
      </c>
      <c r="E919" s="4" t="s">
        <v>1515</v>
      </c>
      <c r="F919" s="4">
        <v>45494.484722222223</v>
      </c>
      <c r="H919" s="5">
        <v>145</v>
      </c>
      <c r="I919" s="3" t="s">
        <v>95</v>
      </c>
      <c r="K919" s="5">
        <v>112</v>
      </c>
      <c r="L919" s="5">
        <v>17</v>
      </c>
      <c r="M919" s="3" t="s">
        <v>63</v>
      </c>
      <c r="O919" s="5">
        <v>3</v>
      </c>
      <c r="P919" s="3" t="s">
        <v>80</v>
      </c>
      <c r="R919" s="3" t="s">
        <v>75</v>
      </c>
      <c r="S919">
        <f>COUNTIF(A:A,A919)</f>
        <v>1</v>
      </c>
      <c r="T919" t="str">
        <f>IF(OR(H919="",LOWER(TRIM(H919&amp;""))="missing",LOWER(TRIM(H919&amp;""))=""),"Missing/",IFERROR(IF(OR(VALUE(H919)&lt;0,VALUE(H919)&gt;110),"Invalid","Valid"),"Check Format"))</f>
        <v>Invalid</v>
      </c>
      <c r="U919" t="str">
        <f>IF(Raw_Data[[#This Row],[Age_Check]]="Valid",H919,"")</f>
        <v/>
      </c>
      <c r="V919" t="str">
        <f>IF(OR(K919="",UPPER(TRIM(K919&amp;""))="",LOWER(TRIM(K919&amp;""))="",LOWER(TRIM(K919&amp;""))="",LOWER(TRIM(K919&amp;""))="missing"),"Missing/",IFERROR(IF(VALUE(K919)&lt;0,"Invalid","Valid"),"Check Format"))</f>
        <v>Valid</v>
      </c>
      <c r="W919" t="str">
        <f>IF(OR(E919="",F919=""),"Missing Date/Time",IFERROR(IF(F919&gt;E919,"Arrival After Appointment","OK"),"Check Format"))</f>
        <v>OK</v>
      </c>
      <c r="X919" t="str">
        <f>IF(OR(F919="",G919=""),"Missing Date/Time",IFERROR(IF(G919&lt;F919,"Discharge Before Arrival","OK"),"Check Format"))</f>
        <v>Missing Date/Time</v>
      </c>
    </row>
    <row r="920" spans="1:24" x14ac:dyDescent="0.25">
      <c r="A920" s="2" t="s">
        <v>1516</v>
      </c>
      <c r="B920" s="2" t="s">
        <v>976</v>
      </c>
      <c r="C920" s="3" t="s">
        <v>19</v>
      </c>
      <c r="D920" s="3" t="s">
        <v>23</v>
      </c>
      <c r="E920" s="4">
        <v>45368.309027777781</v>
      </c>
      <c r="F920" s="4">
        <v>45368.293055555558</v>
      </c>
      <c r="G920" s="4">
        <v>45368.413888888892</v>
      </c>
      <c r="I920" s="3" t="s">
        <v>90</v>
      </c>
      <c r="J920" s="3" t="s">
        <v>2639</v>
      </c>
      <c r="K920" s="5">
        <v>111</v>
      </c>
      <c r="L920" s="5">
        <v>40</v>
      </c>
      <c r="N920" t="s">
        <v>24</v>
      </c>
      <c r="P920" s="3" t="s">
        <v>80</v>
      </c>
      <c r="Q920" s="2">
        <v>33.06</v>
      </c>
      <c r="R920" s="3" t="s">
        <v>58</v>
      </c>
      <c r="S920">
        <f>COUNTIF(A:A,A920)</f>
        <v>1</v>
      </c>
      <c r="T920" t="str">
        <f>IF(OR(H920="",LOWER(TRIM(H920&amp;""))="missing",LOWER(TRIM(H920&amp;""))=""),"Missing/",IFERROR(IF(OR(VALUE(H920)&lt;0,VALUE(H920)&gt;110),"Invalid","Valid"),"Check Format"))</f>
        <v>Missing/</v>
      </c>
      <c r="U920" t="str">
        <f>IF(Raw_Data[[#This Row],[Age_Check]]="Valid",H920,"")</f>
        <v/>
      </c>
      <c r="V920" t="str">
        <f>IF(OR(K920="",UPPER(TRIM(K920&amp;""))="",LOWER(TRIM(K920&amp;""))="",LOWER(TRIM(K920&amp;""))="",LOWER(TRIM(K920&amp;""))="missing"),"Missing/",IFERROR(IF(VALUE(K920)&lt;0,"Invalid","Valid"),"Check Format"))</f>
        <v>Valid</v>
      </c>
      <c r="W920" t="str">
        <f>IF(OR(E920="",F920=""),"Missing Date/Time",IFERROR(IF(F920&gt;E920,"Arrival After Appointment","OK"),"Check Format"))</f>
        <v>OK</v>
      </c>
      <c r="X920" t="str">
        <f>IF(OR(F920="",G920=""),"Missing Date/Time",IFERROR(IF(G920&lt;F920,"Discharge Before Arrival","OK"),"Check Format"))</f>
        <v>OK</v>
      </c>
    </row>
    <row r="921" spans="1:24" x14ac:dyDescent="0.25">
      <c r="A921" s="2" t="s">
        <v>1517</v>
      </c>
      <c r="B921" s="2" t="s">
        <v>756</v>
      </c>
      <c r="C921" s="3" t="s">
        <v>94</v>
      </c>
      <c r="D921" s="3" t="s">
        <v>38</v>
      </c>
      <c r="E921" s="4">
        <v>45574.604166666664</v>
      </c>
      <c r="F921" s="4">
        <v>45574.602083333331</v>
      </c>
      <c r="G921" s="4">
        <v>45574.65625</v>
      </c>
      <c r="I921" s="3" t="s">
        <v>39</v>
      </c>
      <c r="J921" s="3" t="s">
        <v>22</v>
      </c>
      <c r="K921" s="5">
        <v>70</v>
      </c>
      <c r="L921" s="5">
        <v>5</v>
      </c>
      <c r="M921" s="3" t="s">
        <v>23</v>
      </c>
      <c r="N921" t="s">
        <v>69</v>
      </c>
      <c r="O921" s="5">
        <v>0</v>
      </c>
      <c r="P921" s="3" t="s">
        <v>80</v>
      </c>
      <c r="Q921" s="2">
        <v>195.04</v>
      </c>
      <c r="R921" s="3" t="s">
        <v>58</v>
      </c>
      <c r="S921">
        <f>COUNTIF(A:A,A921)</f>
        <v>1</v>
      </c>
      <c r="T921" t="str">
        <f>IF(OR(H921="",LOWER(TRIM(H921&amp;""))="missing",LOWER(TRIM(H921&amp;""))=""),"Missing/",IFERROR(IF(OR(VALUE(H921)&lt;0,VALUE(H921)&gt;110),"Invalid","Valid"),"Check Format"))</f>
        <v>Missing/</v>
      </c>
      <c r="U921" t="str">
        <f>IF(Raw_Data[[#This Row],[Age_Check]]="Valid",H921,"")</f>
        <v/>
      </c>
      <c r="V921" t="str">
        <f>IF(OR(K921="",UPPER(TRIM(K921&amp;""))="",LOWER(TRIM(K921&amp;""))="",LOWER(TRIM(K921&amp;""))="",LOWER(TRIM(K921&amp;""))="missing"),"Missing/",IFERROR(IF(VALUE(K921)&lt;0,"Invalid","Valid"),"Check Format"))</f>
        <v>Valid</v>
      </c>
      <c r="W921" t="str">
        <f>IF(OR(E921="",F921=""),"Missing Date/Time",IFERROR(IF(F921&gt;E921,"Arrival After Appointment","OK"),"Check Format"))</f>
        <v>OK</v>
      </c>
      <c r="X921" t="str">
        <f>IF(OR(F921="",G921=""),"Missing Date/Time",IFERROR(IF(G921&lt;F921,"Discharge Before Arrival","OK"),"Check Format"))</f>
        <v>OK</v>
      </c>
    </row>
    <row r="922" spans="1:24" x14ac:dyDescent="0.25">
      <c r="A922" s="2" t="s">
        <v>1518</v>
      </c>
      <c r="B922" s="2" t="s">
        <v>208</v>
      </c>
      <c r="C922" s="3" t="s">
        <v>46</v>
      </c>
      <c r="D922" s="3" t="s">
        <v>30</v>
      </c>
      <c r="E922" s="4" t="s">
        <v>1519</v>
      </c>
      <c r="F922" s="4">
        <v>45801.611111111109</v>
      </c>
      <c r="G922" s="4">
        <v>45801.70416666667</v>
      </c>
      <c r="I922" s="3" t="s">
        <v>95</v>
      </c>
      <c r="J922" s="3" t="s">
        <v>150</v>
      </c>
      <c r="K922" s="5">
        <v>88</v>
      </c>
      <c r="L922" s="5">
        <v>21</v>
      </c>
      <c r="M922" s="3" t="s">
        <v>87</v>
      </c>
      <c r="N922" t="s">
        <v>69</v>
      </c>
      <c r="O922" s="5">
        <v>0</v>
      </c>
      <c r="Q922" s="2">
        <v>154.88</v>
      </c>
      <c r="R922" s="3" t="s">
        <v>75</v>
      </c>
      <c r="S922">
        <f>COUNTIF(A:A,A922)</f>
        <v>1</v>
      </c>
      <c r="T922" t="str">
        <f>IF(OR(H922="",LOWER(TRIM(H922&amp;""))="missing",LOWER(TRIM(H922&amp;""))=""),"Missing/",IFERROR(IF(OR(VALUE(H922)&lt;0,VALUE(H922)&gt;110),"Invalid","Valid"),"Check Format"))</f>
        <v>Missing/</v>
      </c>
      <c r="U922" t="str">
        <f>IF(Raw_Data[[#This Row],[Age_Check]]="Valid",H922,"")</f>
        <v/>
      </c>
      <c r="V922" t="str">
        <f>IF(OR(K922="",UPPER(TRIM(K922&amp;""))="",LOWER(TRIM(K922&amp;""))="",LOWER(TRIM(K922&amp;""))="",LOWER(TRIM(K922&amp;""))="missing"),"Missing/",IFERROR(IF(VALUE(K922)&lt;0,"Invalid","Valid"),"Check Format"))</f>
        <v>Valid</v>
      </c>
      <c r="W922" t="str">
        <f>IF(OR(E922="",F922=""),"Missing Date/Time",IFERROR(IF(F922&gt;E922,"Arrival After Appointment","OK"),"Check Format"))</f>
        <v>OK</v>
      </c>
      <c r="X922" t="str">
        <f>IF(OR(F922="",G922=""),"Missing Date/Time",IFERROR(IF(G922&lt;F922,"Discharge Before Arrival","OK"),"Check Format"))</f>
        <v>OK</v>
      </c>
    </row>
    <row r="923" spans="1:24" x14ac:dyDescent="0.25">
      <c r="A923" s="2" t="s">
        <v>1520</v>
      </c>
      <c r="B923" s="2" t="s">
        <v>381</v>
      </c>
      <c r="C923" s="3" t="s">
        <v>37</v>
      </c>
      <c r="D923" s="3" t="s">
        <v>174</v>
      </c>
      <c r="E923" s="4">
        <v>45436.309027777781</v>
      </c>
      <c r="F923" s="4">
        <v>45436.29791666667</v>
      </c>
      <c r="G923" s="4">
        <v>45436.411805555559</v>
      </c>
      <c r="I923" s="3" t="s">
        <v>73</v>
      </c>
      <c r="J923" s="3" t="s">
        <v>62</v>
      </c>
      <c r="K923" s="5">
        <v>126</v>
      </c>
      <c r="L923" s="5">
        <v>22</v>
      </c>
      <c r="M923" s="3" t="s">
        <v>50</v>
      </c>
      <c r="N923" t="s">
        <v>24</v>
      </c>
      <c r="O923" s="5">
        <v>1</v>
      </c>
      <c r="P923" s="3" t="s">
        <v>80</v>
      </c>
      <c r="Q923" s="2">
        <v>60.29</v>
      </c>
      <c r="R923" s="3" t="s">
        <v>43</v>
      </c>
      <c r="S923">
        <f>COUNTIF(A:A,A923)</f>
        <v>1</v>
      </c>
      <c r="T923" t="str">
        <f>IF(OR(H923="",LOWER(TRIM(H923&amp;""))="missing",LOWER(TRIM(H923&amp;""))=""),"Missing/",IFERROR(IF(OR(VALUE(H923)&lt;0,VALUE(H923)&gt;110),"Invalid","Valid"),"Check Format"))</f>
        <v>Missing/</v>
      </c>
      <c r="U923" t="str">
        <f>IF(Raw_Data[[#This Row],[Age_Check]]="Valid",H923,"")</f>
        <v/>
      </c>
      <c r="V923" t="str">
        <f>IF(OR(K923="",UPPER(TRIM(K923&amp;""))="",LOWER(TRIM(K923&amp;""))="",LOWER(TRIM(K923&amp;""))="",LOWER(TRIM(K923&amp;""))="missing"),"Missing/",IFERROR(IF(VALUE(K923)&lt;0,"Invalid","Valid"),"Check Format"))</f>
        <v>Valid</v>
      </c>
      <c r="W923" t="str">
        <f>IF(OR(E923="",F923=""),"Missing Date/Time",IFERROR(IF(F923&gt;E923,"Arrival After Appointment","OK"),"Check Format"))</f>
        <v>OK</v>
      </c>
      <c r="X923" t="str">
        <f>IF(OR(F923="",G923=""),"Missing Date/Time",IFERROR(IF(G923&lt;F923,"Discharge Before Arrival","OK"),"Check Format"))</f>
        <v>OK</v>
      </c>
    </row>
    <row r="924" spans="1:24" x14ac:dyDescent="0.25">
      <c r="A924" s="2" t="s">
        <v>1521</v>
      </c>
      <c r="B924" s="2" t="s">
        <v>381</v>
      </c>
      <c r="C924" s="3" t="s">
        <v>94</v>
      </c>
      <c r="D924" s="3" t="s">
        <v>106</v>
      </c>
      <c r="E924" s="4" t="s">
        <v>1522</v>
      </c>
      <c r="F924" s="4">
        <v>45595.34375</v>
      </c>
      <c r="G924" s="4">
        <v>45595.469444444447</v>
      </c>
      <c r="K924" s="5">
        <v>109</v>
      </c>
      <c r="L924" s="5">
        <v>67</v>
      </c>
      <c r="N924" t="s">
        <v>69</v>
      </c>
      <c r="O924" s="5">
        <v>6</v>
      </c>
      <c r="P924" s="3" t="s">
        <v>25</v>
      </c>
      <c r="Q924" s="2">
        <v>145.30000000000001</v>
      </c>
      <c r="R924" s="3" t="s">
        <v>58</v>
      </c>
      <c r="S924">
        <f>COUNTIF(A:A,A924)</f>
        <v>1</v>
      </c>
      <c r="T924" t="str">
        <f>IF(OR(H924="",LOWER(TRIM(H924&amp;""))="missing",LOWER(TRIM(H924&amp;""))=""),"Missing/",IFERROR(IF(OR(VALUE(H924)&lt;0,VALUE(H924)&gt;110),"Invalid","Valid"),"Check Format"))</f>
        <v>Missing/</v>
      </c>
      <c r="U924" t="str">
        <f>IF(Raw_Data[[#This Row],[Age_Check]]="Valid",H924,"")</f>
        <v/>
      </c>
      <c r="V924" t="str">
        <f>IF(OR(K924="",UPPER(TRIM(K924&amp;""))="",LOWER(TRIM(K924&amp;""))="",LOWER(TRIM(K924&amp;""))="",LOWER(TRIM(K924&amp;""))="missing"),"Missing/",IFERROR(IF(VALUE(K924)&lt;0,"Invalid","Valid"),"Check Format"))</f>
        <v>Valid</v>
      </c>
      <c r="W924" t="str">
        <f>IF(OR(E924="",F924=""),"Missing Date/Time",IFERROR(IF(F924&gt;E924,"Arrival After Appointment","OK"),"Check Format"))</f>
        <v>OK</v>
      </c>
      <c r="X924" t="str">
        <f>IF(OR(F924="",G924=""),"Missing Date/Time",IFERROR(IF(G924&lt;F924,"Discharge Before Arrival","OK"),"Check Format"))</f>
        <v>OK</v>
      </c>
    </row>
    <row r="925" spans="1:24" x14ac:dyDescent="0.25">
      <c r="A925" s="2" t="s">
        <v>1523</v>
      </c>
      <c r="B925" s="2" t="s">
        <v>324</v>
      </c>
      <c r="C925" s="3" t="s">
        <v>37</v>
      </c>
      <c r="D925" s="3" t="s">
        <v>55</v>
      </c>
      <c r="E925" s="4">
        <v>45748.729166666664</v>
      </c>
      <c r="F925" s="4">
        <v>45748.724999999999</v>
      </c>
      <c r="G925" s="4">
        <v>45748.832638888889</v>
      </c>
      <c r="I925" s="3" t="s">
        <v>95</v>
      </c>
      <c r="J925" s="3" t="s">
        <v>2639</v>
      </c>
      <c r="K925" s="5">
        <v>93</v>
      </c>
      <c r="L925" s="5">
        <v>56</v>
      </c>
      <c r="M925" s="3" t="s">
        <v>41</v>
      </c>
      <c r="O925" s="5">
        <v>6</v>
      </c>
      <c r="P925" s="3" t="s">
        <v>80</v>
      </c>
      <c r="Q925" s="2">
        <v>85.6</v>
      </c>
      <c r="R925" s="3" t="s">
        <v>58</v>
      </c>
      <c r="S925">
        <f>COUNTIF(A:A,A925)</f>
        <v>1</v>
      </c>
      <c r="T925" t="str">
        <f>IF(OR(H925="",LOWER(TRIM(H925&amp;""))="missing",LOWER(TRIM(H925&amp;""))=""),"Missing/",IFERROR(IF(OR(VALUE(H925)&lt;0,VALUE(H925)&gt;110),"Invalid","Valid"),"Check Format"))</f>
        <v>Missing/</v>
      </c>
      <c r="U925" t="str">
        <f>IF(Raw_Data[[#This Row],[Age_Check]]="Valid",H925,"")</f>
        <v/>
      </c>
      <c r="V925" t="str">
        <f>IF(OR(K925="",UPPER(TRIM(K925&amp;""))="",LOWER(TRIM(K925&amp;""))="",LOWER(TRIM(K925&amp;""))="",LOWER(TRIM(K925&amp;""))="missing"),"Missing/",IFERROR(IF(VALUE(K925)&lt;0,"Invalid","Valid"),"Check Format"))</f>
        <v>Valid</v>
      </c>
      <c r="W925" t="str">
        <f>IF(OR(E925="",F925=""),"Missing Date/Time",IFERROR(IF(F925&gt;E925,"Arrival After Appointment","OK"),"Check Format"))</f>
        <v>OK</v>
      </c>
      <c r="X925" t="str">
        <f>IF(OR(F925="",G925=""),"Missing Date/Time",IFERROR(IF(G925&lt;F925,"Discharge Before Arrival","OK"),"Check Format"))</f>
        <v>OK</v>
      </c>
    </row>
    <row r="926" spans="1:24" x14ac:dyDescent="0.25">
      <c r="A926" s="2" t="s">
        <v>1524</v>
      </c>
      <c r="B926" s="2" t="s">
        <v>267</v>
      </c>
      <c r="C926" s="3" t="s">
        <v>29</v>
      </c>
      <c r="D926" s="3" t="s">
        <v>72</v>
      </c>
      <c r="E926" s="4">
        <v>45322.486111111109</v>
      </c>
      <c r="F926" s="4">
        <v>45322.469444444447</v>
      </c>
      <c r="G926" s="4">
        <v>45322.552083333336</v>
      </c>
      <c r="H926" s="5">
        <v>0</v>
      </c>
      <c r="K926" s="5">
        <v>41</v>
      </c>
      <c r="L926" s="5">
        <v>54</v>
      </c>
      <c r="M926" s="3" t="s">
        <v>68</v>
      </c>
      <c r="N926" t="s">
        <v>24</v>
      </c>
      <c r="O926" s="5">
        <v>0</v>
      </c>
      <c r="P926" s="3" t="s">
        <v>42</v>
      </c>
      <c r="Q926" s="2">
        <v>279.8</v>
      </c>
      <c r="R926" s="3" t="s">
        <v>75</v>
      </c>
      <c r="S926">
        <f>COUNTIF(A:A,A926)</f>
        <v>1</v>
      </c>
      <c r="T926" t="str">
        <f>IF(OR(H926="",LOWER(TRIM(H926&amp;""))="missing",LOWER(TRIM(H926&amp;""))=""),"Missing/",IFERROR(IF(OR(VALUE(H926)&lt;0,VALUE(H926)&gt;110),"Invalid","Valid"),"Check Format"))</f>
        <v>Valid</v>
      </c>
      <c r="U926">
        <f>IF(Raw_Data[[#This Row],[Age_Check]]="Valid",H926,"")</f>
        <v>0</v>
      </c>
      <c r="V926" t="str">
        <f>IF(OR(K926="",UPPER(TRIM(K926&amp;""))="",LOWER(TRIM(K926&amp;""))="",LOWER(TRIM(K926&amp;""))="",LOWER(TRIM(K926&amp;""))="missing"),"Missing/",IFERROR(IF(VALUE(K926)&lt;0,"Invalid","Valid"),"Check Format"))</f>
        <v>Valid</v>
      </c>
      <c r="W926" t="str">
        <f>IF(OR(E926="",F926=""),"Missing Date/Time",IFERROR(IF(F926&gt;E926,"Arrival After Appointment","OK"),"Check Format"))</f>
        <v>OK</v>
      </c>
      <c r="X926" t="str">
        <f>IF(OR(F926="",G926=""),"Missing Date/Time",IFERROR(IF(G926&lt;F926,"Discharge Before Arrival","OK"),"Check Format"))</f>
        <v>OK</v>
      </c>
    </row>
    <row r="927" spans="1:24" x14ac:dyDescent="0.25">
      <c r="A927" s="2" t="s">
        <v>1525</v>
      </c>
      <c r="B927" s="2" t="s">
        <v>18</v>
      </c>
      <c r="D927" s="3" t="s">
        <v>72</v>
      </c>
      <c r="E927" s="4">
        <v>45301.510416666664</v>
      </c>
      <c r="F927" s="4">
        <v>45301.490972222222</v>
      </c>
      <c r="G927" s="4">
        <v>45301.574999999997</v>
      </c>
      <c r="I927" s="3" t="s">
        <v>90</v>
      </c>
      <c r="J927" s="3" t="s">
        <v>150</v>
      </c>
      <c r="K927" s="5">
        <v>77</v>
      </c>
      <c r="L927" s="5">
        <v>16</v>
      </c>
      <c r="M927" s="3" t="s">
        <v>68</v>
      </c>
      <c r="N927" t="s">
        <v>69</v>
      </c>
      <c r="R927" s="3" t="s">
        <v>26</v>
      </c>
      <c r="S927">
        <f>COUNTIF(A:A,A927)</f>
        <v>1</v>
      </c>
      <c r="T927" t="str">
        <f>IF(OR(H927="",LOWER(TRIM(H927&amp;""))="missing",LOWER(TRIM(H927&amp;""))=""),"Missing/",IFERROR(IF(OR(VALUE(H927)&lt;0,VALUE(H927)&gt;110),"Invalid","Valid"),"Check Format"))</f>
        <v>Missing/</v>
      </c>
      <c r="U927" t="str">
        <f>IF(Raw_Data[[#This Row],[Age_Check]]="Valid",H927,"")</f>
        <v/>
      </c>
      <c r="V927" t="str">
        <f>IF(OR(K927="",UPPER(TRIM(K927&amp;""))="",LOWER(TRIM(K927&amp;""))="",LOWER(TRIM(K927&amp;""))="",LOWER(TRIM(K927&amp;""))="missing"),"Missing/",IFERROR(IF(VALUE(K927)&lt;0,"Invalid","Valid"),"Check Format"))</f>
        <v>Valid</v>
      </c>
      <c r="W927" t="str">
        <f>IF(OR(E927="",F927=""),"Missing Date/Time",IFERROR(IF(F927&gt;E927,"Arrival After Appointment","OK"),"Check Format"))</f>
        <v>OK</v>
      </c>
      <c r="X927" t="str">
        <f>IF(OR(F927="",G927=""),"Missing Date/Time",IFERROR(IF(G927&lt;F927,"Discharge Before Arrival","OK"),"Check Format"))</f>
        <v>OK</v>
      </c>
    </row>
    <row r="928" spans="1:24" x14ac:dyDescent="0.25">
      <c r="A928" s="2" t="s">
        <v>1526</v>
      </c>
      <c r="B928" s="2" t="s">
        <v>343</v>
      </c>
      <c r="C928" s="3" t="s">
        <v>94</v>
      </c>
      <c r="D928" s="3" t="s">
        <v>99</v>
      </c>
      <c r="E928" s="4">
        <v>45704.756944444445</v>
      </c>
      <c r="F928" s="4">
        <v>45704.743055555555</v>
      </c>
      <c r="G928" s="4">
        <v>45704.86041666667</v>
      </c>
      <c r="H928" s="5">
        <v>13</v>
      </c>
      <c r="I928" s="3" t="s">
        <v>73</v>
      </c>
      <c r="J928" s="3" t="s">
        <v>62</v>
      </c>
      <c r="K928" s="5">
        <v>127</v>
      </c>
      <c r="L928" s="5">
        <v>22</v>
      </c>
      <c r="M928" s="3" t="s">
        <v>41</v>
      </c>
      <c r="N928" t="s">
        <v>24</v>
      </c>
      <c r="O928" s="5">
        <v>4</v>
      </c>
      <c r="P928" s="3" t="s">
        <v>80</v>
      </c>
      <c r="Q928" s="2">
        <v>118.19</v>
      </c>
      <c r="R928" s="3" t="s">
        <v>43</v>
      </c>
      <c r="S928">
        <f>COUNTIF(A:A,A928)</f>
        <v>1</v>
      </c>
      <c r="T928" t="str">
        <f>IF(OR(H928="",LOWER(TRIM(H928&amp;""))="missing",LOWER(TRIM(H928&amp;""))=""),"Missing/",IFERROR(IF(OR(VALUE(H928)&lt;0,VALUE(H928)&gt;110),"Invalid","Valid"),"Check Format"))</f>
        <v>Valid</v>
      </c>
      <c r="U928">
        <f>IF(Raw_Data[[#This Row],[Age_Check]]="Valid",H928,"")</f>
        <v>13</v>
      </c>
      <c r="V928" t="str">
        <f>IF(OR(K928="",UPPER(TRIM(K928&amp;""))="",LOWER(TRIM(K928&amp;""))="",LOWER(TRIM(K928&amp;""))="",LOWER(TRIM(K928&amp;""))="missing"),"Missing/",IFERROR(IF(VALUE(K928)&lt;0,"Invalid","Valid"),"Check Format"))</f>
        <v>Valid</v>
      </c>
      <c r="W928" t="str">
        <f>IF(OR(E928="",F928=""),"Missing Date/Time",IFERROR(IF(F928&gt;E928,"Arrival After Appointment","OK"),"Check Format"))</f>
        <v>OK</v>
      </c>
      <c r="X928" t="str">
        <f>IF(OR(F928="",G928=""),"Missing Date/Time",IFERROR(IF(G928&lt;F928,"Discharge Before Arrival","OK"),"Check Format"))</f>
        <v>OK</v>
      </c>
    </row>
    <row r="929" spans="1:24" x14ac:dyDescent="0.25">
      <c r="A929" s="2" t="s">
        <v>1527</v>
      </c>
      <c r="B929" s="2" t="s">
        <v>1528</v>
      </c>
      <c r="C929" s="3" t="s">
        <v>37</v>
      </c>
      <c r="D929" s="3" t="s">
        <v>61</v>
      </c>
      <c r="E929" s="4">
        <v>45848.503472222219</v>
      </c>
      <c r="G929" s="4">
        <v>45848.592361111114</v>
      </c>
      <c r="H929" s="5">
        <v>145</v>
      </c>
      <c r="I929" s="3" t="s">
        <v>95</v>
      </c>
      <c r="J929" s="3" t="s">
        <v>22</v>
      </c>
      <c r="K929" s="5">
        <v>69</v>
      </c>
      <c r="L929" s="5">
        <v>59</v>
      </c>
      <c r="M929" s="3" t="s">
        <v>50</v>
      </c>
      <c r="O929" s="5">
        <v>2</v>
      </c>
      <c r="P929" s="3" t="s">
        <v>80</v>
      </c>
      <c r="Q929" s="2">
        <v>213.32</v>
      </c>
      <c r="R929" s="3" t="s">
        <v>26</v>
      </c>
      <c r="S929">
        <f>COUNTIF(A:A,A929)</f>
        <v>1</v>
      </c>
      <c r="T929" t="str">
        <f>IF(OR(H929="",LOWER(TRIM(H929&amp;""))="missing",LOWER(TRIM(H929&amp;""))=""),"Missing/",IFERROR(IF(OR(VALUE(H929)&lt;0,VALUE(H929)&gt;110),"Invalid","Valid"),"Check Format"))</f>
        <v>Invalid</v>
      </c>
      <c r="U929" t="str">
        <f>IF(Raw_Data[[#This Row],[Age_Check]]="Valid",H929,"")</f>
        <v/>
      </c>
      <c r="V929" t="str">
        <f>IF(OR(K929="",UPPER(TRIM(K929&amp;""))="",LOWER(TRIM(K929&amp;""))="",LOWER(TRIM(K929&amp;""))="",LOWER(TRIM(K929&amp;""))="missing"),"Missing/",IFERROR(IF(VALUE(K929)&lt;0,"Invalid","Valid"),"Check Format"))</f>
        <v>Valid</v>
      </c>
      <c r="W929" t="str">
        <f>IF(OR(E929="",F929=""),"Missing Date/Time",IFERROR(IF(F929&gt;E929,"Arrival After Appointment","OK"),"Check Format"))</f>
        <v>Missing Date/Time</v>
      </c>
      <c r="X929" t="str">
        <f>IF(OR(F929="",G929=""),"Missing Date/Time",IFERROR(IF(G929&lt;F929,"Discharge Before Arrival","OK"),"Check Format"))</f>
        <v>Missing Date/Time</v>
      </c>
    </row>
    <row r="930" spans="1:24" x14ac:dyDescent="0.25">
      <c r="A930" s="2" t="s">
        <v>1529</v>
      </c>
      <c r="B930" s="2" t="s">
        <v>1488</v>
      </c>
      <c r="C930" s="3" t="s">
        <v>94</v>
      </c>
      <c r="D930" s="3" t="s">
        <v>61</v>
      </c>
      <c r="E930" s="4">
        <v>45564.409722222219</v>
      </c>
      <c r="F930" s="4">
        <v>45564.390972222223</v>
      </c>
      <c r="H930" s="5">
        <v>2</v>
      </c>
      <c r="I930" s="3" t="s">
        <v>73</v>
      </c>
      <c r="J930" s="3" t="s">
        <v>67</v>
      </c>
      <c r="K930" s="5">
        <v>72</v>
      </c>
      <c r="L930" s="5">
        <v>40</v>
      </c>
      <c r="N930" t="s">
        <v>24</v>
      </c>
      <c r="P930" s="3" t="s">
        <v>42</v>
      </c>
      <c r="R930" s="3" t="s">
        <v>58</v>
      </c>
      <c r="S930">
        <f>COUNTIF(A:A,A930)</f>
        <v>1</v>
      </c>
      <c r="T930" t="str">
        <f>IF(OR(H930="",LOWER(TRIM(H930&amp;""))="missing",LOWER(TRIM(H930&amp;""))=""),"Missing/",IFERROR(IF(OR(VALUE(H930)&lt;0,VALUE(H930)&gt;110),"Invalid","Valid"),"Check Format"))</f>
        <v>Valid</v>
      </c>
      <c r="U930">
        <f>IF(Raw_Data[[#This Row],[Age_Check]]="Valid",H930,"")</f>
        <v>2</v>
      </c>
      <c r="V930" t="str">
        <f>IF(OR(K930="",UPPER(TRIM(K930&amp;""))="",LOWER(TRIM(K930&amp;""))="",LOWER(TRIM(K930&amp;""))="",LOWER(TRIM(K930&amp;""))="missing"),"Missing/",IFERROR(IF(VALUE(K930)&lt;0,"Invalid","Valid"),"Check Format"))</f>
        <v>Valid</v>
      </c>
      <c r="W930" t="str">
        <f>IF(OR(E930="",F930=""),"Missing Date/Time",IFERROR(IF(F930&gt;E930,"Arrival After Appointment","OK"),"Check Format"))</f>
        <v>OK</v>
      </c>
      <c r="X930" t="str">
        <f>IF(OR(F930="",G930=""),"Missing Date/Time",IFERROR(IF(G930&lt;F930,"Discharge Before Arrival","OK"),"Check Format"))</f>
        <v>Missing Date/Time</v>
      </c>
    </row>
    <row r="931" spans="1:24" x14ac:dyDescent="0.25">
      <c r="A931" s="2" t="s">
        <v>1530</v>
      </c>
      <c r="B931" s="2" t="s">
        <v>564</v>
      </c>
      <c r="D931" s="3" t="s">
        <v>72</v>
      </c>
      <c r="E931" s="4">
        <v>45761.388888888891</v>
      </c>
      <c r="F931" s="4">
        <v>45761.383333333331</v>
      </c>
      <c r="G931" s="4">
        <v>45761.459027777775</v>
      </c>
      <c r="H931" s="5">
        <v>145</v>
      </c>
      <c r="I931" s="3" t="s">
        <v>95</v>
      </c>
      <c r="J931" s="3" t="s">
        <v>22</v>
      </c>
      <c r="K931" s="5">
        <v>59</v>
      </c>
      <c r="L931" s="5">
        <v>42</v>
      </c>
      <c r="M931" s="3" t="s">
        <v>50</v>
      </c>
      <c r="P931" s="3" t="s">
        <v>25</v>
      </c>
      <c r="R931" s="3" t="s">
        <v>75</v>
      </c>
      <c r="S931">
        <f>COUNTIF(A:A,A931)</f>
        <v>1</v>
      </c>
      <c r="T931" t="str">
        <f>IF(OR(H931="",LOWER(TRIM(H931&amp;""))="missing",LOWER(TRIM(H931&amp;""))=""),"Missing/",IFERROR(IF(OR(VALUE(H931)&lt;0,VALUE(H931)&gt;110),"Invalid","Valid"),"Check Format"))</f>
        <v>Invalid</v>
      </c>
      <c r="U931" t="str">
        <f>IF(Raw_Data[[#This Row],[Age_Check]]="Valid",H931,"")</f>
        <v/>
      </c>
      <c r="V931" t="str">
        <f>IF(OR(K931="",UPPER(TRIM(K931&amp;""))="",LOWER(TRIM(K931&amp;""))="",LOWER(TRIM(K931&amp;""))="",LOWER(TRIM(K931&amp;""))="missing"),"Missing/",IFERROR(IF(VALUE(K931)&lt;0,"Invalid","Valid"),"Check Format"))</f>
        <v>Valid</v>
      </c>
      <c r="W931" t="str">
        <f>IF(OR(E931="",F931=""),"Missing Date/Time",IFERROR(IF(F931&gt;E931,"Arrival After Appointment","OK"),"Check Format"))</f>
        <v>OK</v>
      </c>
      <c r="X931" t="str">
        <f>IF(OR(F931="",G931=""),"Missing Date/Time",IFERROR(IF(G931&lt;F931,"Discharge Before Arrival","OK"),"Check Format"))</f>
        <v>OK</v>
      </c>
    </row>
    <row r="932" spans="1:24" x14ac:dyDescent="0.25">
      <c r="A932" s="2" t="s">
        <v>1531</v>
      </c>
      <c r="B932" s="2" t="s">
        <v>641</v>
      </c>
      <c r="C932" s="3" t="s">
        <v>94</v>
      </c>
      <c r="D932" s="3" t="s">
        <v>99</v>
      </c>
      <c r="E932" s="4">
        <v>45624.371527777781</v>
      </c>
      <c r="F932" s="4">
        <v>45624.361111111109</v>
      </c>
      <c r="G932" s="4">
        <v>45624.38958333333</v>
      </c>
      <c r="H932" s="5">
        <v>145</v>
      </c>
      <c r="I932" s="3" t="s">
        <v>73</v>
      </c>
      <c r="J932" s="3" t="s">
        <v>2639</v>
      </c>
      <c r="K932" s="5">
        <v>0</v>
      </c>
      <c r="L932" s="5">
        <v>26</v>
      </c>
      <c r="N932" t="s">
        <v>24</v>
      </c>
      <c r="Q932" s="2">
        <v>164.31</v>
      </c>
      <c r="R932" s="3" t="s">
        <v>58</v>
      </c>
      <c r="S932">
        <f>COUNTIF(A:A,A932)</f>
        <v>1</v>
      </c>
      <c r="T932" t="str">
        <f>IF(OR(H932="",LOWER(TRIM(H932&amp;""))="missing",LOWER(TRIM(H932&amp;""))=""),"Missing/",IFERROR(IF(OR(VALUE(H932)&lt;0,VALUE(H932)&gt;110),"Invalid","Valid"),"Check Format"))</f>
        <v>Invalid</v>
      </c>
      <c r="U932" t="str">
        <f>IF(Raw_Data[[#This Row],[Age_Check]]="Valid",H932,"")</f>
        <v/>
      </c>
      <c r="V932" t="str">
        <f>IF(OR(K932="",UPPER(TRIM(K932&amp;""))="",LOWER(TRIM(K932&amp;""))="",LOWER(TRIM(K932&amp;""))="",LOWER(TRIM(K932&amp;""))="missing"),"Missing/",IFERROR(IF(VALUE(K932)&lt;0,"Invalid","Valid"),"Check Format"))</f>
        <v>Valid</v>
      </c>
      <c r="W932" t="str">
        <f>IF(OR(E932="",F932=""),"Missing Date/Time",IFERROR(IF(F932&gt;E932,"Arrival After Appointment","OK"),"Check Format"))</f>
        <v>OK</v>
      </c>
      <c r="X932" t="str">
        <f>IF(OR(F932="",G932=""),"Missing Date/Time",IFERROR(IF(G932&lt;F932,"Discharge Before Arrival","OK"),"Check Format"))</f>
        <v>OK</v>
      </c>
    </row>
    <row r="933" spans="1:24" x14ac:dyDescent="0.25">
      <c r="A933" s="2" t="s">
        <v>1532</v>
      </c>
      <c r="B933" s="2" t="s">
        <v>564</v>
      </c>
      <c r="C933" s="3" t="s">
        <v>94</v>
      </c>
      <c r="D933" s="3" t="s">
        <v>106</v>
      </c>
      <c r="E933" s="4">
        <v>45755.576388888891</v>
      </c>
      <c r="F933" s="4">
        <v>45755.570138888892</v>
      </c>
      <c r="G933" s="4">
        <v>45755.614583333336</v>
      </c>
      <c r="I933" s="3" t="s">
        <v>90</v>
      </c>
      <c r="J933" s="3" t="s">
        <v>150</v>
      </c>
      <c r="K933" s="5">
        <v>17</v>
      </c>
      <c r="L933" s="5">
        <v>38</v>
      </c>
      <c r="M933" s="3" t="s">
        <v>41</v>
      </c>
      <c r="N933" t="s">
        <v>74</v>
      </c>
      <c r="O933" s="5">
        <v>6</v>
      </c>
      <c r="Q933" s="2">
        <v>128.63999999999999</v>
      </c>
      <c r="R933" s="3" t="s">
        <v>75</v>
      </c>
      <c r="S933">
        <f>COUNTIF(A:A,A933)</f>
        <v>1</v>
      </c>
      <c r="T933" t="str">
        <f>IF(OR(H933="",LOWER(TRIM(H933&amp;""))="missing",LOWER(TRIM(H933&amp;""))=""),"Missing/",IFERROR(IF(OR(VALUE(H933)&lt;0,VALUE(H933)&gt;110),"Invalid","Valid"),"Check Format"))</f>
        <v>Missing/</v>
      </c>
      <c r="U933" t="str">
        <f>IF(Raw_Data[[#This Row],[Age_Check]]="Valid",H933,"")</f>
        <v/>
      </c>
      <c r="V933" t="str">
        <f>IF(OR(K933="",UPPER(TRIM(K933&amp;""))="",LOWER(TRIM(K933&amp;""))="",LOWER(TRIM(K933&amp;""))="",LOWER(TRIM(K933&amp;""))="missing"),"Missing/",IFERROR(IF(VALUE(K933)&lt;0,"Invalid","Valid"),"Check Format"))</f>
        <v>Valid</v>
      </c>
      <c r="W933" t="str">
        <f>IF(OR(E933="",F933=""),"Missing Date/Time",IFERROR(IF(F933&gt;E933,"Arrival After Appointment","OK"),"Check Format"))</f>
        <v>OK</v>
      </c>
      <c r="X933" t="str">
        <f>IF(OR(F933="",G933=""),"Missing Date/Time",IFERROR(IF(G933&lt;F933,"Discharge Before Arrival","OK"),"Check Format"))</f>
        <v>OK</v>
      </c>
    </row>
    <row r="934" spans="1:24" x14ac:dyDescent="0.25">
      <c r="A934" s="2" t="s">
        <v>1533</v>
      </c>
      <c r="B934" s="2" t="s">
        <v>156</v>
      </c>
      <c r="C934" s="3" t="s">
        <v>19</v>
      </c>
      <c r="D934" s="3" t="s">
        <v>23</v>
      </c>
      <c r="E934" s="4">
        <v>45664.541666666664</v>
      </c>
      <c r="F934" s="4">
        <v>45664.523611111108</v>
      </c>
      <c r="G934" s="4">
        <v>45664.665972222225</v>
      </c>
      <c r="H934" s="5">
        <v>5</v>
      </c>
      <c r="I934" s="3" t="s">
        <v>95</v>
      </c>
      <c r="J934" s="3" t="s">
        <v>171</v>
      </c>
      <c r="K934" s="5">
        <v>119</v>
      </c>
      <c r="L934" s="5">
        <v>60</v>
      </c>
      <c r="M934" s="3" t="s">
        <v>23</v>
      </c>
      <c r="N934" t="s">
        <v>91</v>
      </c>
      <c r="O934" s="5">
        <v>6</v>
      </c>
      <c r="P934" s="3" t="s">
        <v>25</v>
      </c>
      <c r="Q934" s="2">
        <v>107.74</v>
      </c>
      <c r="R934" s="3" t="s">
        <v>26</v>
      </c>
      <c r="S934">
        <f>COUNTIF(A:A,A934)</f>
        <v>1</v>
      </c>
      <c r="T934" t="str">
        <f>IF(OR(H934="",LOWER(TRIM(H934&amp;""))="missing",LOWER(TRIM(H934&amp;""))=""),"Missing/",IFERROR(IF(OR(VALUE(H934)&lt;0,VALUE(H934)&gt;110),"Invalid","Valid"),"Check Format"))</f>
        <v>Valid</v>
      </c>
      <c r="U934">
        <f>IF(Raw_Data[[#This Row],[Age_Check]]="Valid",H934,"")</f>
        <v>5</v>
      </c>
      <c r="V934" t="str">
        <f>IF(OR(K934="",UPPER(TRIM(K934&amp;""))="",LOWER(TRIM(K934&amp;""))="",LOWER(TRIM(K934&amp;""))="",LOWER(TRIM(K934&amp;""))="missing"),"Missing/",IFERROR(IF(VALUE(K934)&lt;0,"Invalid","Valid"),"Check Format"))</f>
        <v>Valid</v>
      </c>
      <c r="W934" t="str">
        <f>IF(OR(E934="",F934=""),"Missing Date/Time",IFERROR(IF(F934&gt;E934,"Arrival After Appointment","OK"),"Check Format"))</f>
        <v>OK</v>
      </c>
      <c r="X934" t="str">
        <f>IF(OR(F934="",G934=""),"Missing Date/Time",IFERROR(IF(G934&lt;F934,"Discharge Before Arrival","OK"),"Check Format"))</f>
        <v>OK</v>
      </c>
    </row>
    <row r="935" spans="1:24" x14ac:dyDescent="0.25">
      <c r="A935" s="2" t="s">
        <v>1534</v>
      </c>
      <c r="B935" s="2" t="s">
        <v>310</v>
      </c>
      <c r="C935" s="3" t="s">
        <v>37</v>
      </c>
      <c r="D935" s="3" t="s">
        <v>20</v>
      </c>
      <c r="E935" s="4">
        <v>45452.510416666664</v>
      </c>
      <c r="F935" s="4">
        <v>45452.509722222225</v>
      </c>
      <c r="G935" s="4">
        <v>45452.567361111112</v>
      </c>
      <c r="I935" s="3" t="s">
        <v>39</v>
      </c>
      <c r="J935" s="3" t="s">
        <v>2639</v>
      </c>
      <c r="K935" s="5">
        <v>52</v>
      </c>
      <c r="L935" s="5">
        <v>30</v>
      </c>
      <c r="M935" s="3" t="s">
        <v>87</v>
      </c>
      <c r="N935" t="s">
        <v>100</v>
      </c>
      <c r="P935" s="3" t="s">
        <v>25</v>
      </c>
      <c r="Q935" s="2">
        <v>108.87</v>
      </c>
      <c r="R935" s="3" t="s">
        <v>58</v>
      </c>
      <c r="S935">
        <f>COUNTIF(A:A,A935)</f>
        <v>1</v>
      </c>
      <c r="T935" t="str">
        <f>IF(OR(H935="",LOWER(TRIM(H935&amp;""))="missing",LOWER(TRIM(H935&amp;""))=""),"Missing/",IFERROR(IF(OR(VALUE(H935)&lt;0,VALUE(H935)&gt;110),"Invalid","Valid"),"Check Format"))</f>
        <v>Missing/</v>
      </c>
      <c r="U935" t="str">
        <f>IF(Raw_Data[[#This Row],[Age_Check]]="Valid",H935,"")</f>
        <v/>
      </c>
      <c r="V935" t="str">
        <f>IF(OR(K935="",UPPER(TRIM(K935&amp;""))="",LOWER(TRIM(K935&amp;""))="",LOWER(TRIM(K935&amp;""))="",LOWER(TRIM(K935&amp;""))="missing"),"Missing/",IFERROR(IF(VALUE(K935)&lt;0,"Invalid","Valid"),"Check Format"))</f>
        <v>Valid</v>
      </c>
      <c r="W935" t="str">
        <f>IF(OR(E935="",F935=""),"Missing Date/Time",IFERROR(IF(F935&gt;E935,"Arrival After Appointment","OK"),"Check Format"))</f>
        <v>OK</v>
      </c>
      <c r="X935" t="str">
        <f>IF(OR(F935="",G935=""),"Missing Date/Time",IFERROR(IF(G935&lt;F935,"Discharge Before Arrival","OK"),"Check Format"))</f>
        <v>OK</v>
      </c>
    </row>
    <row r="936" spans="1:24" x14ac:dyDescent="0.25">
      <c r="A936" s="2" t="s">
        <v>1535</v>
      </c>
      <c r="B936" s="2" t="s">
        <v>480</v>
      </c>
      <c r="C936" s="3" t="s">
        <v>94</v>
      </c>
      <c r="D936" s="3" t="s">
        <v>149</v>
      </c>
      <c r="E936" s="4">
        <v>45859.638888888891</v>
      </c>
      <c r="F936" s="4">
        <v>45859.634027777778</v>
      </c>
      <c r="G936" s="4">
        <v>45859.695833333331</v>
      </c>
      <c r="I936" s="3" t="s">
        <v>95</v>
      </c>
      <c r="J936" s="3" t="s">
        <v>2639</v>
      </c>
      <c r="K936" s="5">
        <v>64</v>
      </c>
      <c r="L936" s="5">
        <v>18</v>
      </c>
      <c r="M936" s="3" t="s">
        <v>87</v>
      </c>
      <c r="O936" s="5">
        <v>6</v>
      </c>
      <c r="P936" s="3" t="s">
        <v>42</v>
      </c>
      <c r="Q936" s="2">
        <v>54.55</v>
      </c>
      <c r="R936" s="3" t="s">
        <v>43</v>
      </c>
      <c r="S936">
        <f>COUNTIF(A:A,A936)</f>
        <v>1</v>
      </c>
      <c r="T936" t="str">
        <f>IF(OR(H936="",LOWER(TRIM(H936&amp;""))="missing",LOWER(TRIM(H936&amp;""))=""),"Missing/",IFERROR(IF(OR(VALUE(H936)&lt;0,VALUE(H936)&gt;110),"Invalid","Valid"),"Check Format"))</f>
        <v>Missing/</v>
      </c>
      <c r="U936" t="str">
        <f>IF(Raw_Data[[#This Row],[Age_Check]]="Valid",H936,"")</f>
        <v/>
      </c>
      <c r="V936" t="str">
        <f>IF(OR(K936="",UPPER(TRIM(K936&amp;""))="",LOWER(TRIM(K936&amp;""))="",LOWER(TRIM(K936&amp;""))="",LOWER(TRIM(K936&amp;""))="missing"),"Missing/",IFERROR(IF(VALUE(K936)&lt;0,"Invalid","Valid"),"Check Format"))</f>
        <v>Valid</v>
      </c>
      <c r="W936" t="str">
        <f>IF(OR(E936="",F936=""),"Missing Date/Time",IFERROR(IF(F936&gt;E936,"Arrival After Appointment","OK"),"Check Format"))</f>
        <v>OK</v>
      </c>
      <c r="X936" t="str">
        <f>IF(OR(F936="",G936=""),"Missing Date/Time",IFERROR(IF(G936&lt;F936,"Discharge Before Arrival","OK"),"Check Format"))</f>
        <v>OK</v>
      </c>
    </row>
    <row r="937" spans="1:24" x14ac:dyDescent="0.25">
      <c r="A937" s="2" t="s">
        <v>1536</v>
      </c>
      <c r="B937" s="2" t="s">
        <v>508</v>
      </c>
      <c r="C937" s="3" t="s">
        <v>29</v>
      </c>
      <c r="D937" s="3" t="s">
        <v>174</v>
      </c>
      <c r="E937" s="4">
        <v>45361.340277777781</v>
      </c>
      <c r="F937" s="4">
        <v>45568.32708333333</v>
      </c>
      <c r="G937" s="4">
        <v>45568.425000000003</v>
      </c>
      <c r="H937" s="5">
        <v>17</v>
      </c>
      <c r="I937" s="3" t="s">
        <v>95</v>
      </c>
      <c r="J937" s="3" t="s">
        <v>67</v>
      </c>
      <c r="K937" s="5">
        <v>79</v>
      </c>
      <c r="L937" s="5">
        <v>43</v>
      </c>
      <c r="M937" s="3" t="s">
        <v>50</v>
      </c>
      <c r="N937" t="s">
        <v>24</v>
      </c>
      <c r="O937" s="5">
        <v>4</v>
      </c>
      <c r="P937" s="3" t="s">
        <v>80</v>
      </c>
      <c r="Q937" s="2">
        <v>80.650000000000006</v>
      </c>
      <c r="R937" s="3" t="s">
        <v>26</v>
      </c>
      <c r="S937">
        <f>COUNTIF(A:A,A937)</f>
        <v>1</v>
      </c>
      <c r="T937" t="str">
        <f>IF(OR(H937="",LOWER(TRIM(H937&amp;""))="missing",LOWER(TRIM(H937&amp;""))=""),"Missing/",IFERROR(IF(OR(VALUE(H937)&lt;0,VALUE(H937)&gt;110),"Invalid","Valid"),"Check Format"))</f>
        <v>Valid</v>
      </c>
      <c r="U937">
        <f>IF(Raw_Data[[#This Row],[Age_Check]]="Valid",H937,"")</f>
        <v>17</v>
      </c>
      <c r="V937" t="str">
        <f>IF(OR(K937="",UPPER(TRIM(K937&amp;""))="",LOWER(TRIM(K937&amp;""))="",LOWER(TRIM(K937&amp;""))="",LOWER(TRIM(K937&amp;""))="missing"),"Missing/",IFERROR(IF(VALUE(K937)&lt;0,"Invalid","Valid"),"Check Format"))</f>
        <v>Valid</v>
      </c>
      <c r="W937" t="str">
        <f>IF(OR(E937="",F937=""),"Missing Date/Time",IFERROR(IF(F937&gt;E937,"Arrival After Appointment","OK"),"Check Format"))</f>
        <v>Arrival After Appointment</v>
      </c>
      <c r="X937" t="str">
        <f>IF(OR(F937="",G937=""),"Missing Date/Time",IFERROR(IF(G937&lt;F937,"Discharge Before Arrival","OK"),"Check Format"))</f>
        <v>OK</v>
      </c>
    </row>
    <row r="938" spans="1:24" x14ac:dyDescent="0.25">
      <c r="A938" s="2" t="s">
        <v>1537</v>
      </c>
      <c r="B938" s="2" t="s">
        <v>275</v>
      </c>
      <c r="D938" s="3" t="s">
        <v>47</v>
      </c>
      <c r="E938" s="4">
        <v>45685.40625</v>
      </c>
      <c r="F938" s="4">
        <v>45685.388888888891</v>
      </c>
      <c r="I938" s="3" t="s">
        <v>73</v>
      </c>
      <c r="J938" s="3" t="s">
        <v>22</v>
      </c>
      <c r="K938" s="5">
        <v>89</v>
      </c>
      <c r="L938" s="5">
        <v>20</v>
      </c>
      <c r="M938" s="3" t="s">
        <v>23</v>
      </c>
      <c r="N938" t="s">
        <v>24</v>
      </c>
      <c r="P938" s="3" t="s">
        <v>80</v>
      </c>
      <c r="Q938" s="2">
        <v>165.25</v>
      </c>
      <c r="R938" s="3" t="s">
        <v>43</v>
      </c>
      <c r="S938">
        <f>COUNTIF(A:A,A938)</f>
        <v>1</v>
      </c>
      <c r="T938" t="str">
        <f>IF(OR(H938="",LOWER(TRIM(H938&amp;""))="missing",LOWER(TRIM(H938&amp;""))=""),"Missing/",IFERROR(IF(OR(VALUE(H938)&lt;0,VALUE(H938)&gt;110),"Invalid","Valid"),"Check Format"))</f>
        <v>Missing/</v>
      </c>
      <c r="U938" t="str">
        <f>IF(Raw_Data[[#This Row],[Age_Check]]="Valid",H938,"")</f>
        <v/>
      </c>
      <c r="V938" t="str">
        <f>IF(OR(K938="",UPPER(TRIM(K938&amp;""))="",LOWER(TRIM(K938&amp;""))="",LOWER(TRIM(K938&amp;""))="",LOWER(TRIM(K938&amp;""))="missing"),"Missing/",IFERROR(IF(VALUE(K938)&lt;0,"Invalid","Valid"),"Check Format"))</f>
        <v>Valid</v>
      </c>
      <c r="W938" t="str">
        <f>IF(OR(E938="",F938=""),"Missing Date/Time",IFERROR(IF(F938&gt;E938,"Arrival After Appointment","OK"),"Check Format"))</f>
        <v>OK</v>
      </c>
      <c r="X938" t="str">
        <f>IF(OR(F938="",G938=""),"Missing Date/Time",IFERROR(IF(G938&lt;F938,"Discharge Before Arrival","OK"),"Check Format"))</f>
        <v>Missing Date/Time</v>
      </c>
    </row>
    <row r="939" spans="1:24" x14ac:dyDescent="0.25">
      <c r="A939" s="2" t="s">
        <v>1538</v>
      </c>
      <c r="B939" s="2" t="s">
        <v>716</v>
      </c>
      <c r="C939" s="3" t="s">
        <v>19</v>
      </c>
      <c r="D939" s="3" t="s">
        <v>47</v>
      </c>
      <c r="E939" s="4">
        <v>45618.409722222219</v>
      </c>
      <c r="F939" s="4">
        <v>45618.406944444447</v>
      </c>
      <c r="G939" s="4">
        <v>45618.490972222222</v>
      </c>
      <c r="H939" s="5">
        <v>79</v>
      </c>
      <c r="I939" s="3" t="s">
        <v>73</v>
      </c>
      <c r="K939" s="5">
        <v>86</v>
      </c>
      <c r="L939" s="5">
        <v>31</v>
      </c>
      <c r="M939" s="3" t="s">
        <v>50</v>
      </c>
      <c r="N939" t="s">
        <v>74</v>
      </c>
      <c r="O939" s="5">
        <v>6</v>
      </c>
      <c r="P939" s="3" t="s">
        <v>80</v>
      </c>
      <c r="Q939" s="2">
        <v>181.38</v>
      </c>
      <c r="R939" s="3" t="s">
        <v>26</v>
      </c>
      <c r="S939">
        <f>COUNTIF(A:A,A939)</f>
        <v>1</v>
      </c>
      <c r="T939" t="str">
        <f>IF(OR(H939="",LOWER(TRIM(H939&amp;""))="missing",LOWER(TRIM(H939&amp;""))=""),"Missing/",IFERROR(IF(OR(VALUE(H939)&lt;0,VALUE(H939)&gt;110),"Invalid","Valid"),"Check Format"))</f>
        <v>Valid</v>
      </c>
      <c r="U939">
        <f>IF(Raw_Data[[#This Row],[Age_Check]]="Valid",H939,"")</f>
        <v>79</v>
      </c>
      <c r="V939" t="str">
        <f>IF(OR(K939="",UPPER(TRIM(K939&amp;""))="",LOWER(TRIM(K939&amp;""))="",LOWER(TRIM(K939&amp;""))="",LOWER(TRIM(K939&amp;""))="missing"),"Missing/",IFERROR(IF(VALUE(K939)&lt;0,"Invalid","Valid"),"Check Format"))</f>
        <v>Valid</v>
      </c>
      <c r="W939" t="str">
        <f>IF(OR(E939="",F939=""),"Missing Date/Time",IFERROR(IF(F939&gt;E939,"Arrival After Appointment","OK"),"Check Format"))</f>
        <v>OK</v>
      </c>
      <c r="X939" t="str">
        <f>IF(OR(F939="",G939=""),"Missing Date/Time",IFERROR(IF(G939&lt;F939,"Discharge Before Arrival","OK"),"Check Format"))</f>
        <v>OK</v>
      </c>
    </row>
    <row r="940" spans="1:24" x14ac:dyDescent="0.25">
      <c r="A940" s="2" t="s">
        <v>1539</v>
      </c>
      <c r="B940" s="2" t="s">
        <v>45</v>
      </c>
      <c r="C940" s="3" t="s">
        <v>29</v>
      </c>
      <c r="D940" s="3" t="s">
        <v>66</v>
      </c>
      <c r="E940" s="4">
        <v>45354.423611111109</v>
      </c>
      <c r="F940" s="4">
        <v>45354.416666666664</v>
      </c>
      <c r="H940" s="5">
        <v>92</v>
      </c>
      <c r="I940" s="3" t="s">
        <v>73</v>
      </c>
      <c r="J940" s="3" t="s">
        <v>62</v>
      </c>
      <c r="K940" s="5">
        <v>39</v>
      </c>
      <c r="L940" s="5">
        <v>28</v>
      </c>
      <c r="M940" s="3" t="s">
        <v>23</v>
      </c>
      <c r="N940" t="s">
        <v>103</v>
      </c>
      <c r="O940" s="5">
        <v>6</v>
      </c>
      <c r="Q940" s="2">
        <v>128.53</v>
      </c>
      <c r="R940" s="3" t="s">
        <v>26</v>
      </c>
      <c r="S940">
        <f>COUNTIF(A:A,A940)</f>
        <v>1</v>
      </c>
      <c r="T940" t="str">
        <f>IF(OR(H940="",LOWER(TRIM(H940&amp;""))="missing",LOWER(TRIM(H940&amp;""))=""),"Missing/",IFERROR(IF(OR(VALUE(H940)&lt;0,VALUE(H940)&gt;110),"Invalid","Valid"),"Check Format"))</f>
        <v>Valid</v>
      </c>
      <c r="U940">
        <f>IF(Raw_Data[[#This Row],[Age_Check]]="Valid",H940,"")</f>
        <v>92</v>
      </c>
      <c r="V940" t="str">
        <f>IF(OR(K940="",UPPER(TRIM(K940&amp;""))="",LOWER(TRIM(K940&amp;""))="",LOWER(TRIM(K940&amp;""))="",LOWER(TRIM(K940&amp;""))="missing"),"Missing/",IFERROR(IF(VALUE(K940)&lt;0,"Invalid","Valid"),"Check Format"))</f>
        <v>Valid</v>
      </c>
      <c r="W940" t="str">
        <f>IF(OR(E940="",F940=""),"Missing Date/Time",IFERROR(IF(F940&gt;E940,"Arrival After Appointment","OK"),"Check Format"))</f>
        <v>OK</v>
      </c>
      <c r="X940" t="str">
        <f>IF(OR(F940="",G940=""),"Missing Date/Time",IFERROR(IF(G940&lt;F940,"Discharge Before Arrival","OK"),"Check Format"))</f>
        <v>Missing Date/Time</v>
      </c>
    </row>
    <row r="941" spans="1:24" x14ac:dyDescent="0.25">
      <c r="A941" s="2" t="s">
        <v>1540</v>
      </c>
      <c r="B941" s="2" t="s">
        <v>186</v>
      </c>
      <c r="C941" s="3" t="s">
        <v>37</v>
      </c>
      <c r="D941" s="3" t="s">
        <v>106</v>
      </c>
      <c r="E941" s="4">
        <v>45421.538194444445</v>
      </c>
      <c r="F941" s="4">
        <v>45421.532638888886</v>
      </c>
      <c r="G941" s="4">
        <v>45421.57916666667</v>
      </c>
      <c r="J941" s="3" t="s">
        <v>22</v>
      </c>
      <c r="K941" s="5">
        <v>31</v>
      </c>
      <c r="L941" s="5">
        <v>28</v>
      </c>
      <c r="M941" s="3" t="s">
        <v>23</v>
      </c>
      <c r="Q941" s="2">
        <v>21.11</v>
      </c>
      <c r="R941" s="3" t="s">
        <v>58</v>
      </c>
      <c r="S941">
        <f>COUNTIF(A:A,A941)</f>
        <v>1</v>
      </c>
      <c r="T941" t="str">
        <f>IF(OR(H941="",LOWER(TRIM(H941&amp;""))="missing",LOWER(TRIM(H941&amp;""))=""),"Missing/",IFERROR(IF(OR(VALUE(H941)&lt;0,VALUE(H941)&gt;110),"Invalid","Valid"),"Check Format"))</f>
        <v>Missing/</v>
      </c>
      <c r="U941" t="str">
        <f>IF(Raw_Data[[#This Row],[Age_Check]]="Valid",H941,"")</f>
        <v/>
      </c>
      <c r="V941" t="str">
        <f>IF(OR(K941="",UPPER(TRIM(K941&amp;""))="",LOWER(TRIM(K941&amp;""))="",LOWER(TRIM(K941&amp;""))="",LOWER(TRIM(K941&amp;""))="missing"),"Missing/",IFERROR(IF(VALUE(K941)&lt;0,"Invalid","Valid"),"Check Format"))</f>
        <v>Valid</v>
      </c>
      <c r="W941" t="str">
        <f>IF(OR(E941="",F941=""),"Missing Date/Time",IFERROR(IF(F941&gt;E941,"Arrival After Appointment","OK"),"Check Format"))</f>
        <v>OK</v>
      </c>
      <c r="X941" t="str">
        <f>IF(OR(F941="",G941=""),"Missing Date/Time",IFERROR(IF(G941&lt;F941,"Discharge Before Arrival","OK"),"Check Format"))</f>
        <v>OK</v>
      </c>
    </row>
    <row r="942" spans="1:24" x14ac:dyDescent="0.25">
      <c r="A942" s="2" t="s">
        <v>1541</v>
      </c>
      <c r="B942" s="2" t="s">
        <v>1542</v>
      </c>
      <c r="C942" s="3" t="s">
        <v>94</v>
      </c>
      <c r="D942" s="3" t="s">
        <v>38</v>
      </c>
      <c r="E942" s="4">
        <v>45880.427083333336</v>
      </c>
      <c r="F942" s="4">
        <v>45880.419444444444</v>
      </c>
      <c r="G942" s="4">
        <v>45880.472916666666</v>
      </c>
      <c r="I942" s="3" t="s">
        <v>73</v>
      </c>
      <c r="J942" s="3" t="s">
        <v>2639</v>
      </c>
      <c r="K942" s="5">
        <v>40</v>
      </c>
      <c r="L942" s="5">
        <v>26</v>
      </c>
      <c r="M942" s="3" t="s">
        <v>63</v>
      </c>
      <c r="N942" t="s">
        <v>69</v>
      </c>
      <c r="O942" s="5">
        <v>6</v>
      </c>
      <c r="P942" s="3" t="s">
        <v>25</v>
      </c>
      <c r="Q942" s="2">
        <v>124.51</v>
      </c>
      <c r="R942" s="3" t="s">
        <v>75</v>
      </c>
      <c r="S942">
        <f>COUNTIF(A:A,A942)</f>
        <v>1</v>
      </c>
      <c r="T942" t="str">
        <f>IF(OR(H942="",LOWER(TRIM(H942&amp;""))="missing",LOWER(TRIM(H942&amp;""))=""),"Missing/",IFERROR(IF(OR(VALUE(H942)&lt;0,VALUE(H942)&gt;110),"Invalid","Valid"),"Check Format"))</f>
        <v>Missing/</v>
      </c>
      <c r="U942" t="str">
        <f>IF(Raw_Data[[#This Row],[Age_Check]]="Valid",H942,"")</f>
        <v/>
      </c>
      <c r="V942" t="str">
        <f>IF(OR(K942="",UPPER(TRIM(K942&amp;""))="",LOWER(TRIM(K942&amp;""))="",LOWER(TRIM(K942&amp;""))="",LOWER(TRIM(K942&amp;""))="missing"),"Missing/",IFERROR(IF(VALUE(K942)&lt;0,"Invalid","Valid"),"Check Format"))</f>
        <v>Valid</v>
      </c>
      <c r="W942" t="str">
        <f>IF(OR(E942="",F942=""),"Missing Date/Time",IFERROR(IF(F942&gt;E942,"Arrival After Appointment","OK"),"Check Format"))</f>
        <v>OK</v>
      </c>
      <c r="X942" t="str">
        <f>IF(OR(F942="",G942=""),"Missing Date/Time",IFERROR(IF(G942&lt;F942,"Discharge Before Arrival","OK"),"Check Format"))</f>
        <v>OK</v>
      </c>
    </row>
    <row r="943" spans="1:24" x14ac:dyDescent="0.25">
      <c r="A943" s="2" t="s">
        <v>1543</v>
      </c>
      <c r="B943" s="2" t="s">
        <v>1209</v>
      </c>
      <c r="C943" s="3" t="s">
        <v>94</v>
      </c>
      <c r="D943" s="3" t="s">
        <v>99</v>
      </c>
      <c r="E943" s="4">
        <v>45846.392361111109</v>
      </c>
      <c r="G943" s="4">
        <v>45846.447222222225</v>
      </c>
      <c r="H943" s="5">
        <v>61</v>
      </c>
      <c r="J943" s="3" t="s">
        <v>67</v>
      </c>
      <c r="K943" s="5">
        <v>49</v>
      </c>
      <c r="L943" s="5">
        <v>30</v>
      </c>
      <c r="M943" s="3" t="s">
        <v>68</v>
      </c>
      <c r="N943" t="s">
        <v>91</v>
      </c>
      <c r="Q943" s="2">
        <v>183.36</v>
      </c>
      <c r="R943" s="3" t="s">
        <v>75</v>
      </c>
      <c r="S943">
        <f>COUNTIF(A:A,A943)</f>
        <v>1</v>
      </c>
      <c r="T943" t="str">
        <f>IF(OR(H943="",LOWER(TRIM(H943&amp;""))="missing",LOWER(TRIM(H943&amp;""))=""),"Missing/",IFERROR(IF(OR(VALUE(H943)&lt;0,VALUE(H943)&gt;110),"Invalid","Valid"),"Check Format"))</f>
        <v>Valid</v>
      </c>
      <c r="U943">
        <f>IF(Raw_Data[[#This Row],[Age_Check]]="Valid",H943,"")</f>
        <v>61</v>
      </c>
      <c r="V943" t="str">
        <f>IF(OR(K943="",UPPER(TRIM(K943&amp;""))="",LOWER(TRIM(K943&amp;""))="",LOWER(TRIM(K943&amp;""))="",LOWER(TRIM(K943&amp;""))="missing"),"Missing/",IFERROR(IF(VALUE(K943)&lt;0,"Invalid","Valid"),"Check Format"))</f>
        <v>Valid</v>
      </c>
      <c r="W943" t="str">
        <f>IF(OR(E943="",F943=""),"Missing Date/Time",IFERROR(IF(F943&gt;E943,"Arrival After Appointment","OK"),"Check Format"))</f>
        <v>Missing Date/Time</v>
      </c>
      <c r="X943" t="str">
        <f>IF(OR(F943="",G943=""),"Missing Date/Time",IFERROR(IF(G943&lt;F943,"Discharge Before Arrival","OK"),"Check Format"))</f>
        <v>Missing Date/Time</v>
      </c>
    </row>
    <row r="944" spans="1:24" x14ac:dyDescent="0.25">
      <c r="A944" s="2" t="s">
        <v>1544</v>
      </c>
      <c r="B944" s="2" t="s">
        <v>457</v>
      </c>
      <c r="C944" s="3" t="s">
        <v>29</v>
      </c>
      <c r="D944" s="3" t="s">
        <v>23</v>
      </c>
      <c r="E944" s="4">
        <v>45454.381944444445</v>
      </c>
      <c r="F944" s="4">
        <v>45454.367361111108</v>
      </c>
      <c r="G944" s="4">
        <v>45454.456944444442</v>
      </c>
      <c r="I944" s="3" t="s">
        <v>73</v>
      </c>
      <c r="J944" s="3" t="s">
        <v>150</v>
      </c>
      <c r="K944" s="5">
        <v>88</v>
      </c>
      <c r="L944" s="5">
        <v>20</v>
      </c>
      <c r="M944" s="3" t="s">
        <v>68</v>
      </c>
      <c r="O944" s="5">
        <v>6</v>
      </c>
      <c r="Q944" s="2">
        <v>48.74</v>
      </c>
      <c r="R944" s="3" t="s">
        <v>43</v>
      </c>
      <c r="S944">
        <f>COUNTIF(A:A,A944)</f>
        <v>1</v>
      </c>
      <c r="T944" t="str">
        <f>IF(OR(H944="",LOWER(TRIM(H944&amp;""))="missing",LOWER(TRIM(H944&amp;""))=""),"Missing/",IFERROR(IF(OR(VALUE(H944)&lt;0,VALUE(H944)&gt;110),"Invalid","Valid"),"Check Format"))</f>
        <v>Missing/</v>
      </c>
      <c r="U944" t="str">
        <f>IF(Raw_Data[[#This Row],[Age_Check]]="Valid",H944,"")</f>
        <v/>
      </c>
      <c r="V944" t="str">
        <f>IF(OR(K944="",UPPER(TRIM(K944&amp;""))="",LOWER(TRIM(K944&amp;""))="",LOWER(TRIM(K944&amp;""))="",LOWER(TRIM(K944&amp;""))="missing"),"Missing/",IFERROR(IF(VALUE(K944)&lt;0,"Invalid","Valid"),"Check Format"))</f>
        <v>Valid</v>
      </c>
      <c r="W944" t="str">
        <f>IF(OR(E944="",F944=""),"Missing Date/Time",IFERROR(IF(F944&gt;E944,"Arrival After Appointment","OK"),"Check Format"))</f>
        <v>OK</v>
      </c>
      <c r="X944" t="str">
        <f>IF(OR(F944="",G944=""),"Missing Date/Time",IFERROR(IF(G944&lt;F944,"Discharge Before Arrival","OK"),"Check Format"))</f>
        <v>OK</v>
      </c>
    </row>
    <row r="945" spans="1:24" x14ac:dyDescent="0.25">
      <c r="A945" s="2" t="s">
        <v>1545</v>
      </c>
      <c r="B945" s="2" t="s">
        <v>335</v>
      </c>
      <c r="C945" s="3" t="s">
        <v>46</v>
      </c>
      <c r="D945" s="3" t="s">
        <v>61</v>
      </c>
      <c r="E945" s="4">
        <v>45458.430555555555</v>
      </c>
      <c r="F945" s="4">
        <v>45458.416666666664</v>
      </c>
      <c r="G945" s="4">
        <v>45458.461111111108</v>
      </c>
      <c r="I945" s="3" t="s">
        <v>95</v>
      </c>
      <c r="J945" s="3" t="s">
        <v>62</v>
      </c>
      <c r="K945" s="5">
        <v>21</v>
      </c>
      <c r="L945" s="5">
        <v>23</v>
      </c>
      <c r="M945" s="3" t="s">
        <v>68</v>
      </c>
      <c r="N945" t="s">
        <v>69</v>
      </c>
      <c r="Q945" s="2">
        <v>116.85</v>
      </c>
      <c r="R945" s="3" t="s">
        <v>58</v>
      </c>
      <c r="S945">
        <f>COUNTIF(A:A,A945)</f>
        <v>1</v>
      </c>
      <c r="T945" t="str">
        <f>IF(OR(H945="",LOWER(TRIM(H945&amp;""))="missing",LOWER(TRIM(H945&amp;""))=""),"Missing/",IFERROR(IF(OR(VALUE(H945)&lt;0,VALUE(H945)&gt;110),"Invalid","Valid"),"Check Format"))</f>
        <v>Missing/</v>
      </c>
      <c r="U945" t="str">
        <f>IF(Raw_Data[[#This Row],[Age_Check]]="Valid",H945,"")</f>
        <v/>
      </c>
      <c r="V945" t="str">
        <f>IF(OR(K945="",UPPER(TRIM(K945&amp;""))="",LOWER(TRIM(K945&amp;""))="",LOWER(TRIM(K945&amp;""))="",LOWER(TRIM(K945&amp;""))="missing"),"Missing/",IFERROR(IF(VALUE(K945)&lt;0,"Invalid","Valid"),"Check Format"))</f>
        <v>Valid</v>
      </c>
      <c r="W945" t="str">
        <f>IF(OR(E945="",F945=""),"Missing Date/Time",IFERROR(IF(F945&gt;E945,"Arrival After Appointment","OK"),"Check Format"))</f>
        <v>OK</v>
      </c>
      <c r="X945" t="str">
        <f>IF(OR(F945="",G945=""),"Missing Date/Time",IFERROR(IF(G945&lt;F945,"Discharge Before Arrival","OK"),"Check Format"))</f>
        <v>OK</v>
      </c>
    </row>
    <row r="946" spans="1:24" x14ac:dyDescent="0.25">
      <c r="A946" s="2" t="s">
        <v>1546</v>
      </c>
      <c r="B946" s="2" t="s">
        <v>811</v>
      </c>
      <c r="C946" s="3" t="s">
        <v>46</v>
      </c>
      <c r="D946" s="3" t="s">
        <v>23</v>
      </c>
      <c r="E946" s="4">
        <v>45360.597222222219</v>
      </c>
      <c r="F946" s="4">
        <v>45360.595833333333</v>
      </c>
      <c r="G946" s="4">
        <v>45360.624305555553</v>
      </c>
      <c r="H946" s="5">
        <v>47</v>
      </c>
      <c r="J946" s="3" t="s">
        <v>67</v>
      </c>
      <c r="K946" s="5">
        <v>31</v>
      </c>
      <c r="L946" s="5">
        <v>8</v>
      </c>
      <c r="M946" s="3" t="s">
        <v>68</v>
      </c>
      <c r="N946" t="s">
        <v>69</v>
      </c>
      <c r="O946" s="5">
        <v>0</v>
      </c>
      <c r="P946" s="3" t="s">
        <v>25</v>
      </c>
      <c r="Q946" s="2">
        <v>108.51</v>
      </c>
      <c r="R946" s="3" t="s">
        <v>26</v>
      </c>
      <c r="S946">
        <f>COUNTIF(A:A,A946)</f>
        <v>1</v>
      </c>
      <c r="T946" t="str">
        <f>IF(OR(H946="",LOWER(TRIM(H946&amp;""))="missing",LOWER(TRIM(H946&amp;""))=""),"Missing/",IFERROR(IF(OR(VALUE(H946)&lt;0,VALUE(H946)&gt;110),"Invalid","Valid"),"Check Format"))</f>
        <v>Valid</v>
      </c>
      <c r="U946">
        <f>IF(Raw_Data[[#This Row],[Age_Check]]="Valid",H946,"")</f>
        <v>47</v>
      </c>
      <c r="V946" t="str">
        <f>IF(OR(K946="",UPPER(TRIM(K946&amp;""))="",LOWER(TRIM(K946&amp;""))="",LOWER(TRIM(K946&amp;""))="",LOWER(TRIM(K946&amp;""))="missing"),"Missing/",IFERROR(IF(VALUE(K946)&lt;0,"Invalid","Valid"),"Check Format"))</f>
        <v>Valid</v>
      </c>
      <c r="W946" t="str">
        <f>IF(OR(E946="",F946=""),"Missing Date/Time",IFERROR(IF(F946&gt;E946,"Arrival After Appointment","OK"),"Check Format"))</f>
        <v>OK</v>
      </c>
      <c r="X946" t="str">
        <f>IF(OR(F946="",G946=""),"Missing Date/Time",IFERROR(IF(G946&lt;F946,"Discharge Before Arrival","OK"),"Check Format"))</f>
        <v>OK</v>
      </c>
    </row>
    <row r="947" spans="1:24" x14ac:dyDescent="0.25">
      <c r="A947" s="2" t="s">
        <v>1547</v>
      </c>
      <c r="B947" s="2" t="s">
        <v>556</v>
      </c>
      <c r="C947" s="3" t="s">
        <v>29</v>
      </c>
      <c r="D947" s="3" t="s">
        <v>174</v>
      </c>
      <c r="E947" s="4">
        <v>45721.319444444445</v>
      </c>
      <c r="F947" s="4">
        <v>45721.311111111114</v>
      </c>
      <c r="I947" s="3" t="s">
        <v>95</v>
      </c>
      <c r="J947" s="3" t="s">
        <v>171</v>
      </c>
      <c r="K947" s="5">
        <v>1440</v>
      </c>
      <c r="L947" s="5">
        <v>42</v>
      </c>
      <c r="M947" s="3" t="s">
        <v>32</v>
      </c>
      <c r="N947" t="s">
        <v>69</v>
      </c>
      <c r="P947" s="3" t="s">
        <v>80</v>
      </c>
      <c r="Q947" s="2">
        <v>100.41</v>
      </c>
      <c r="R947" s="3" t="s">
        <v>75</v>
      </c>
      <c r="S947">
        <f>COUNTIF(A:A,A947)</f>
        <v>1</v>
      </c>
      <c r="T947" t="str">
        <f>IF(OR(H947="",LOWER(TRIM(H947&amp;""))="missing",LOWER(TRIM(H947&amp;""))=""),"Missing/",IFERROR(IF(OR(VALUE(H947)&lt;0,VALUE(H947)&gt;110),"Invalid","Valid"),"Check Format"))</f>
        <v>Missing/</v>
      </c>
      <c r="U947" t="str">
        <f>IF(Raw_Data[[#This Row],[Age_Check]]="Valid",H947,"")</f>
        <v/>
      </c>
      <c r="V947" t="str">
        <f>IF(OR(K947="",UPPER(TRIM(K947&amp;""))="",LOWER(TRIM(K947&amp;""))="",LOWER(TRIM(K947&amp;""))="",LOWER(TRIM(K947&amp;""))="missing"),"Missing/",IFERROR(IF(VALUE(K947)&lt;0,"Invalid","Valid"),"Check Format"))</f>
        <v>Valid</v>
      </c>
      <c r="W947" t="str">
        <f>IF(OR(E947="",F947=""),"Missing Date/Time",IFERROR(IF(F947&gt;E947,"Arrival After Appointment","OK"),"Check Format"))</f>
        <v>OK</v>
      </c>
      <c r="X947" t="str">
        <f>IF(OR(F947="",G947=""),"Missing Date/Time",IFERROR(IF(G947&lt;F947,"Discharge Before Arrival","OK"),"Check Format"))</f>
        <v>Missing Date/Time</v>
      </c>
    </row>
    <row r="948" spans="1:24" x14ac:dyDescent="0.25">
      <c r="A948" s="2" t="s">
        <v>1548</v>
      </c>
      <c r="B948" s="2" t="s">
        <v>1549</v>
      </c>
      <c r="C948" s="3" t="s">
        <v>37</v>
      </c>
      <c r="D948" s="3" t="s">
        <v>106</v>
      </c>
      <c r="E948" s="4">
        <v>45569.545138888891</v>
      </c>
      <c r="F948" s="4">
        <v>45569.540972222225</v>
      </c>
      <c r="G948" s="4">
        <v>45569.585416666669</v>
      </c>
      <c r="H948" s="5">
        <v>25</v>
      </c>
      <c r="I948" s="3" t="s">
        <v>95</v>
      </c>
      <c r="J948" s="3" t="s">
        <v>62</v>
      </c>
      <c r="K948" s="5">
        <v>43</v>
      </c>
      <c r="L948" s="5">
        <v>15</v>
      </c>
      <c r="M948" s="3" t="s">
        <v>63</v>
      </c>
      <c r="N948" t="s">
        <v>103</v>
      </c>
      <c r="P948" s="3" t="s">
        <v>80</v>
      </c>
      <c r="Q948" s="2">
        <v>142.47999999999999</v>
      </c>
      <c r="R948" s="3" t="s">
        <v>58</v>
      </c>
      <c r="S948">
        <f>COUNTIF(A:A,A948)</f>
        <v>1</v>
      </c>
      <c r="T948" t="str">
        <f>IF(OR(H948="",LOWER(TRIM(H948&amp;""))="missing",LOWER(TRIM(H948&amp;""))=""),"Missing/",IFERROR(IF(OR(VALUE(H948)&lt;0,VALUE(H948)&gt;110),"Invalid","Valid"),"Check Format"))</f>
        <v>Valid</v>
      </c>
      <c r="U948">
        <f>IF(Raw_Data[[#This Row],[Age_Check]]="Valid",H948,"")</f>
        <v>25</v>
      </c>
      <c r="V948" t="str">
        <f>IF(OR(K948="",UPPER(TRIM(K948&amp;""))="",LOWER(TRIM(K948&amp;""))="",LOWER(TRIM(K948&amp;""))="",LOWER(TRIM(K948&amp;""))="missing"),"Missing/",IFERROR(IF(VALUE(K948)&lt;0,"Invalid","Valid"),"Check Format"))</f>
        <v>Valid</v>
      </c>
      <c r="W948" t="str">
        <f>IF(OR(E948="",F948=""),"Missing Date/Time",IFERROR(IF(F948&gt;E948,"Arrival After Appointment","OK"),"Check Format"))</f>
        <v>OK</v>
      </c>
      <c r="X948" t="str">
        <f>IF(OR(F948="",G948=""),"Missing Date/Time",IFERROR(IF(G948&lt;F948,"Discharge Before Arrival","OK"),"Check Format"))</f>
        <v>OK</v>
      </c>
    </row>
    <row r="949" spans="1:24" x14ac:dyDescent="0.25">
      <c r="A949" s="2" t="s">
        <v>1550</v>
      </c>
      <c r="B949" s="2" t="s">
        <v>1249</v>
      </c>
      <c r="C949" s="3" t="s">
        <v>94</v>
      </c>
      <c r="D949" s="3" t="s">
        <v>55</v>
      </c>
      <c r="E949" s="4">
        <v>45411.760416666664</v>
      </c>
      <c r="F949" s="4">
        <v>45411.75</v>
      </c>
      <c r="G949" s="4">
        <v>45411.809027777781</v>
      </c>
      <c r="I949" s="3" t="s">
        <v>73</v>
      </c>
      <c r="J949" s="3" t="s">
        <v>62</v>
      </c>
      <c r="K949" s="5">
        <v>28</v>
      </c>
      <c r="L949" s="5">
        <v>42</v>
      </c>
      <c r="M949" s="3" t="s">
        <v>63</v>
      </c>
      <c r="O949" s="5">
        <v>6</v>
      </c>
      <c r="P949" s="3" t="s">
        <v>25</v>
      </c>
      <c r="Q949" s="2">
        <v>2.13</v>
      </c>
      <c r="R949" s="3" t="s">
        <v>58</v>
      </c>
      <c r="S949">
        <f>COUNTIF(A:A,A949)</f>
        <v>1</v>
      </c>
      <c r="T949" t="str">
        <f>IF(OR(H949="",LOWER(TRIM(H949&amp;""))="missing",LOWER(TRIM(H949&amp;""))=""),"Missing/",IFERROR(IF(OR(VALUE(H949)&lt;0,VALUE(H949)&gt;110),"Invalid","Valid"),"Check Format"))</f>
        <v>Missing/</v>
      </c>
      <c r="U949" t="str">
        <f>IF(Raw_Data[[#This Row],[Age_Check]]="Valid",H949,"")</f>
        <v/>
      </c>
      <c r="V949" t="str">
        <f>IF(OR(K949="",UPPER(TRIM(K949&amp;""))="",LOWER(TRIM(K949&amp;""))="",LOWER(TRIM(K949&amp;""))="",LOWER(TRIM(K949&amp;""))="missing"),"Missing/",IFERROR(IF(VALUE(K949)&lt;0,"Invalid","Valid"),"Check Format"))</f>
        <v>Valid</v>
      </c>
      <c r="W949" t="str">
        <f>IF(OR(E949="",F949=""),"Missing Date/Time",IFERROR(IF(F949&gt;E949,"Arrival After Appointment","OK"),"Check Format"))</f>
        <v>OK</v>
      </c>
      <c r="X949" t="str">
        <f>IF(OR(F949="",G949=""),"Missing Date/Time",IFERROR(IF(G949&lt;F949,"Discharge Before Arrival","OK"),"Check Format"))</f>
        <v>OK</v>
      </c>
    </row>
    <row r="950" spans="1:24" x14ac:dyDescent="0.25">
      <c r="A950" s="2" t="s">
        <v>1551</v>
      </c>
      <c r="B950" s="2" t="s">
        <v>657</v>
      </c>
      <c r="C950" s="3" t="s">
        <v>37</v>
      </c>
      <c r="D950" s="3" t="s">
        <v>23</v>
      </c>
      <c r="E950" s="4">
        <v>45394.652777777781</v>
      </c>
      <c r="F950" s="4">
        <v>45394.637499999997</v>
      </c>
      <c r="G950" s="4">
        <v>45394.709722222222</v>
      </c>
      <c r="H950" s="5">
        <v>145</v>
      </c>
      <c r="I950" s="3" t="s">
        <v>73</v>
      </c>
      <c r="J950" s="3" t="s">
        <v>62</v>
      </c>
      <c r="K950" s="5">
        <v>45</v>
      </c>
      <c r="L950" s="5">
        <v>37</v>
      </c>
      <c r="M950" s="3" t="s">
        <v>32</v>
      </c>
      <c r="N950" t="s">
        <v>103</v>
      </c>
      <c r="O950" s="5">
        <v>3</v>
      </c>
      <c r="Q950" s="2">
        <v>159.71</v>
      </c>
      <c r="R950" s="3" t="s">
        <v>43</v>
      </c>
      <c r="S950">
        <f>COUNTIF(A:A,A950)</f>
        <v>1</v>
      </c>
      <c r="T950" t="str">
        <f>IF(OR(H950="",LOWER(TRIM(H950&amp;""))="missing",LOWER(TRIM(H950&amp;""))=""),"Missing/",IFERROR(IF(OR(VALUE(H950)&lt;0,VALUE(H950)&gt;110),"Invalid","Valid"),"Check Format"))</f>
        <v>Invalid</v>
      </c>
      <c r="U950" t="str">
        <f>IF(Raw_Data[[#This Row],[Age_Check]]="Valid",H950,"")</f>
        <v/>
      </c>
      <c r="V950" t="str">
        <f>IF(OR(K950="",UPPER(TRIM(K950&amp;""))="",LOWER(TRIM(K950&amp;""))="",LOWER(TRIM(K950&amp;""))="",LOWER(TRIM(K950&amp;""))="missing"),"Missing/",IFERROR(IF(VALUE(K950)&lt;0,"Invalid","Valid"),"Check Format"))</f>
        <v>Valid</v>
      </c>
      <c r="W950" t="str">
        <f>IF(OR(E950="",F950=""),"Missing Date/Time",IFERROR(IF(F950&gt;E950,"Arrival After Appointment","OK"),"Check Format"))</f>
        <v>OK</v>
      </c>
      <c r="X950" t="str">
        <f>IF(OR(F950="",G950=""),"Missing Date/Time",IFERROR(IF(G950&lt;F950,"Discharge Before Arrival","OK"),"Check Format"))</f>
        <v>OK</v>
      </c>
    </row>
    <row r="951" spans="1:24" x14ac:dyDescent="0.25">
      <c r="A951" s="2" t="s">
        <v>1552</v>
      </c>
      <c r="B951" s="2" t="s">
        <v>385</v>
      </c>
      <c r="C951" s="3" t="s">
        <v>46</v>
      </c>
      <c r="D951" s="3" t="s">
        <v>174</v>
      </c>
      <c r="E951" s="4">
        <v>45493.645833333336</v>
      </c>
      <c r="F951" s="4">
        <v>45493.638194444444</v>
      </c>
      <c r="G951" s="4">
        <v>45493.777777777781</v>
      </c>
      <c r="J951" s="3" t="s">
        <v>22</v>
      </c>
      <c r="K951" s="5">
        <v>152</v>
      </c>
      <c r="L951" s="5">
        <v>38</v>
      </c>
      <c r="M951" s="3" t="s">
        <v>87</v>
      </c>
      <c r="N951" t="s">
        <v>103</v>
      </c>
      <c r="O951" s="5">
        <v>2</v>
      </c>
      <c r="P951" s="3" t="s">
        <v>25</v>
      </c>
      <c r="Q951" s="2">
        <v>64.680000000000007</v>
      </c>
      <c r="R951" s="3" t="s">
        <v>75</v>
      </c>
      <c r="S951">
        <f>COUNTIF(A:A,A951)</f>
        <v>1</v>
      </c>
      <c r="T951" t="str">
        <f>IF(OR(H951="",LOWER(TRIM(H951&amp;""))="missing",LOWER(TRIM(H951&amp;""))=""),"Missing/",IFERROR(IF(OR(VALUE(H951)&lt;0,VALUE(H951)&gt;110),"Invalid","Valid"),"Check Format"))</f>
        <v>Missing/</v>
      </c>
      <c r="U951" t="str">
        <f>IF(Raw_Data[[#This Row],[Age_Check]]="Valid",H951,"")</f>
        <v/>
      </c>
      <c r="V951" t="str">
        <f>IF(OR(K951="",UPPER(TRIM(K951&amp;""))="",LOWER(TRIM(K951&amp;""))="",LOWER(TRIM(K951&amp;""))="",LOWER(TRIM(K951&amp;""))="missing"),"Missing/",IFERROR(IF(VALUE(K951)&lt;0,"Invalid","Valid"),"Check Format"))</f>
        <v>Valid</v>
      </c>
      <c r="W951" t="str">
        <f>IF(OR(E951="",F951=""),"Missing Date/Time",IFERROR(IF(F951&gt;E951,"Arrival After Appointment","OK"),"Check Format"))</f>
        <v>OK</v>
      </c>
      <c r="X951" t="str">
        <f>IF(OR(F951="",G951=""),"Missing Date/Time",IFERROR(IF(G951&lt;F951,"Discharge Before Arrival","OK"),"Check Format"))</f>
        <v>OK</v>
      </c>
    </row>
    <row r="952" spans="1:24" x14ac:dyDescent="0.25">
      <c r="A952" s="2" t="s">
        <v>1553</v>
      </c>
      <c r="B952" s="2" t="s">
        <v>889</v>
      </c>
      <c r="D952" s="3" t="s">
        <v>106</v>
      </c>
      <c r="E952" s="4">
        <v>45666.510416666664</v>
      </c>
      <c r="F952" s="4">
        <v>45901.504861111112</v>
      </c>
      <c r="G952" s="4">
        <v>45901.551388888889</v>
      </c>
      <c r="I952" s="3" t="s">
        <v>73</v>
      </c>
      <c r="K952" s="5">
        <v>54</v>
      </c>
      <c r="L952" s="5">
        <v>5</v>
      </c>
      <c r="M952" s="3" t="s">
        <v>41</v>
      </c>
      <c r="O952" s="5">
        <v>5</v>
      </c>
      <c r="P952" s="3" t="s">
        <v>25</v>
      </c>
      <c r="Q952" s="2">
        <v>138.55000000000001</v>
      </c>
      <c r="R952" s="3" t="s">
        <v>58</v>
      </c>
      <c r="S952">
        <f>COUNTIF(A:A,A952)</f>
        <v>1</v>
      </c>
      <c r="T952" t="str">
        <f>IF(OR(H952="",LOWER(TRIM(H952&amp;""))="missing",LOWER(TRIM(H952&amp;""))=""),"Missing/",IFERROR(IF(OR(VALUE(H952)&lt;0,VALUE(H952)&gt;110),"Invalid","Valid"),"Check Format"))</f>
        <v>Missing/</v>
      </c>
      <c r="U952" t="str">
        <f>IF(Raw_Data[[#This Row],[Age_Check]]="Valid",H952,"")</f>
        <v/>
      </c>
      <c r="V952" t="str">
        <f>IF(OR(K952="",UPPER(TRIM(K952&amp;""))="",LOWER(TRIM(K952&amp;""))="",LOWER(TRIM(K952&amp;""))="",LOWER(TRIM(K952&amp;""))="missing"),"Missing/",IFERROR(IF(VALUE(K952)&lt;0,"Invalid","Valid"),"Check Format"))</f>
        <v>Valid</v>
      </c>
      <c r="W952" t="str">
        <f>IF(OR(E952="",F952=""),"Missing Date/Time",IFERROR(IF(F952&gt;E952,"Arrival After Appointment","OK"),"Check Format"))</f>
        <v>Arrival After Appointment</v>
      </c>
      <c r="X952" t="str">
        <f>IF(OR(F952="",G952=""),"Missing Date/Time",IFERROR(IF(G952&lt;F952,"Discharge Before Arrival","OK"),"Check Format"))</f>
        <v>OK</v>
      </c>
    </row>
    <row r="953" spans="1:24" x14ac:dyDescent="0.25">
      <c r="A953" s="2" t="s">
        <v>1554</v>
      </c>
      <c r="B953" s="2" t="s">
        <v>407</v>
      </c>
      <c r="D953" s="3" t="s">
        <v>99</v>
      </c>
      <c r="E953" s="4">
        <v>45604.618055555555</v>
      </c>
      <c r="F953" s="4">
        <v>45604.597916666666</v>
      </c>
      <c r="G953" s="4">
        <v>45604.67083333333</v>
      </c>
      <c r="I953" s="3" t="s">
        <v>95</v>
      </c>
      <c r="J953" s="3" t="s">
        <v>67</v>
      </c>
      <c r="K953" s="5">
        <v>28</v>
      </c>
      <c r="L953" s="5">
        <v>48</v>
      </c>
      <c r="N953" t="s">
        <v>69</v>
      </c>
      <c r="O953" s="5">
        <v>0</v>
      </c>
      <c r="Q953" s="2">
        <v>101.04</v>
      </c>
      <c r="R953" s="3" t="s">
        <v>75</v>
      </c>
      <c r="S953">
        <f>COUNTIF(A:A,A953)</f>
        <v>1</v>
      </c>
      <c r="T953" t="str">
        <f>IF(OR(H953="",LOWER(TRIM(H953&amp;""))="missing",LOWER(TRIM(H953&amp;""))=""),"Missing/",IFERROR(IF(OR(VALUE(H953)&lt;0,VALUE(H953)&gt;110),"Invalid","Valid"),"Check Format"))</f>
        <v>Missing/</v>
      </c>
      <c r="U953" t="str">
        <f>IF(Raw_Data[[#This Row],[Age_Check]]="Valid",H953,"")</f>
        <v/>
      </c>
      <c r="V953" t="str">
        <f>IF(OR(K953="",UPPER(TRIM(K953&amp;""))="",LOWER(TRIM(K953&amp;""))="",LOWER(TRIM(K953&amp;""))="",LOWER(TRIM(K953&amp;""))="missing"),"Missing/",IFERROR(IF(VALUE(K953)&lt;0,"Invalid","Valid"),"Check Format"))</f>
        <v>Valid</v>
      </c>
      <c r="W953" t="str">
        <f>IF(OR(E953="",F953=""),"Missing Date/Time",IFERROR(IF(F953&gt;E953,"Arrival After Appointment","OK"),"Check Format"))</f>
        <v>OK</v>
      </c>
      <c r="X953" t="str">
        <f>IF(OR(F953="",G953=""),"Missing Date/Time",IFERROR(IF(G953&lt;F953,"Discharge Before Arrival","OK"),"Check Format"))</f>
        <v>OK</v>
      </c>
    </row>
    <row r="954" spans="1:24" x14ac:dyDescent="0.25">
      <c r="A954" s="2" t="s">
        <v>1555</v>
      </c>
      <c r="B954" s="2" t="s">
        <v>1528</v>
      </c>
      <c r="C954" s="3" t="s">
        <v>19</v>
      </c>
      <c r="D954" s="3" t="s">
        <v>38</v>
      </c>
      <c r="E954" s="4">
        <v>45770.409722222219</v>
      </c>
      <c r="F954" s="4">
        <v>45770.40347222222</v>
      </c>
      <c r="G954" s="4">
        <v>45770.460416666669</v>
      </c>
      <c r="J954" s="3" t="s">
        <v>67</v>
      </c>
      <c r="K954" s="5">
        <v>1440</v>
      </c>
      <c r="L954" s="5">
        <v>20</v>
      </c>
      <c r="M954" s="3" t="s">
        <v>87</v>
      </c>
      <c r="N954" t="s">
        <v>74</v>
      </c>
      <c r="O954" s="5">
        <v>0</v>
      </c>
      <c r="P954" s="3" t="s">
        <v>42</v>
      </c>
      <c r="Q954" s="2">
        <v>284.11</v>
      </c>
      <c r="R954" s="3" t="s">
        <v>58</v>
      </c>
      <c r="S954">
        <f>COUNTIF(A:A,A954)</f>
        <v>1</v>
      </c>
      <c r="T954" t="str">
        <f>IF(OR(H954="",LOWER(TRIM(H954&amp;""))="missing",LOWER(TRIM(H954&amp;""))=""),"Missing/",IFERROR(IF(OR(VALUE(H954)&lt;0,VALUE(H954)&gt;110),"Invalid","Valid"),"Check Format"))</f>
        <v>Missing/</v>
      </c>
      <c r="U954" t="str">
        <f>IF(Raw_Data[[#This Row],[Age_Check]]="Valid",H954,"")</f>
        <v/>
      </c>
      <c r="V954" t="str">
        <f>IF(OR(K954="",UPPER(TRIM(K954&amp;""))="",LOWER(TRIM(K954&amp;""))="",LOWER(TRIM(K954&amp;""))="",LOWER(TRIM(K954&amp;""))="missing"),"Missing/",IFERROR(IF(VALUE(K954)&lt;0,"Invalid","Valid"),"Check Format"))</f>
        <v>Valid</v>
      </c>
      <c r="W954" t="str">
        <f>IF(OR(E954="",F954=""),"Missing Date/Time",IFERROR(IF(F954&gt;E954,"Arrival After Appointment","OK"),"Check Format"))</f>
        <v>OK</v>
      </c>
      <c r="X954" t="str">
        <f>IF(OR(F954="",G954=""),"Missing Date/Time",IFERROR(IF(G954&lt;F954,"Discharge Before Arrival","OK"),"Check Format"))</f>
        <v>OK</v>
      </c>
    </row>
    <row r="955" spans="1:24" x14ac:dyDescent="0.25">
      <c r="A955" s="2" t="s">
        <v>1556</v>
      </c>
      <c r="B955" s="2" t="s">
        <v>949</v>
      </c>
      <c r="C955" s="3" t="s">
        <v>94</v>
      </c>
      <c r="D955" s="3" t="s">
        <v>61</v>
      </c>
      <c r="E955" s="4">
        <v>45957.645833333336</v>
      </c>
      <c r="G955" s="4">
        <v>45957.722222222219</v>
      </c>
      <c r="H955" s="5">
        <v>90</v>
      </c>
      <c r="I955" s="3" t="s">
        <v>73</v>
      </c>
      <c r="J955" s="3" t="s">
        <v>67</v>
      </c>
      <c r="K955" s="5">
        <v>46</v>
      </c>
      <c r="L955" s="5">
        <v>64</v>
      </c>
      <c r="M955" s="3" t="s">
        <v>63</v>
      </c>
      <c r="N955" t="s">
        <v>69</v>
      </c>
      <c r="O955" s="5">
        <v>5</v>
      </c>
      <c r="P955" s="3" t="s">
        <v>80</v>
      </c>
      <c r="R955" s="3" t="s">
        <v>58</v>
      </c>
      <c r="S955">
        <f>COUNTIF(A:A,A955)</f>
        <v>1</v>
      </c>
      <c r="T955" t="str">
        <f>IF(OR(H955="",LOWER(TRIM(H955&amp;""))="missing",LOWER(TRIM(H955&amp;""))=""),"Missing/",IFERROR(IF(OR(VALUE(H955)&lt;0,VALUE(H955)&gt;110),"Invalid","Valid"),"Check Format"))</f>
        <v>Valid</v>
      </c>
      <c r="U955">
        <f>IF(Raw_Data[[#This Row],[Age_Check]]="Valid",H955,"")</f>
        <v>90</v>
      </c>
      <c r="V955" t="str">
        <f>IF(OR(K955="",UPPER(TRIM(K955&amp;""))="",LOWER(TRIM(K955&amp;""))="",LOWER(TRIM(K955&amp;""))="",LOWER(TRIM(K955&amp;""))="missing"),"Missing/",IFERROR(IF(VALUE(K955)&lt;0,"Invalid","Valid"),"Check Format"))</f>
        <v>Valid</v>
      </c>
      <c r="W955" t="str">
        <f>IF(OR(E955="",F955=""),"Missing Date/Time",IFERROR(IF(F955&gt;E955,"Arrival After Appointment","OK"),"Check Format"))</f>
        <v>Missing Date/Time</v>
      </c>
      <c r="X955" t="str">
        <f>IF(OR(F955="",G955=""),"Missing Date/Time",IFERROR(IF(G955&lt;F955,"Discharge Before Arrival","OK"),"Check Format"))</f>
        <v>Missing Date/Time</v>
      </c>
    </row>
    <row r="956" spans="1:24" x14ac:dyDescent="0.25">
      <c r="A956" s="2" t="s">
        <v>1557</v>
      </c>
      <c r="B956" s="2" t="s">
        <v>581</v>
      </c>
      <c r="C956" s="3" t="s">
        <v>94</v>
      </c>
      <c r="D956" s="3" t="s">
        <v>115</v>
      </c>
      <c r="E956" s="4">
        <v>45706.621527777781</v>
      </c>
      <c r="F956" s="4">
        <v>45706.602083333331</v>
      </c>
      <c r="G956" s="4">
        <v>45706.709027777775</v>
      </c>
      <c r="I956" s="3" t="s">
        <v>73</v>
      </c>
      <c r="J956" s="3" t="s">
        <v>62</v>
      </c>
      <c r="K956" s="5">
        <v>86</v>
      </c>
      <c r="L956" s="5">
        <v>40</v>
      </c>
      <c r="M956" s="3" t="s">
        <v>87</v>
      </c>
      <c r="P956" s="3" t="s">
        <v>25</v>
      </c>
      <c r="Q956" s="2">
        <v>174.5</v>
      </c>
      <c r="R956" s="3" t="s">
        <v>43</v>
      </c>
      <c r="S956">
        <f>COUNTIF(A:A,A956)</f>
        <v>1</v>
      </c>
      <c r="T956" t="str">
        <f>IF(OR(H956="",LOWER(TRIM(H956&amp;""))="missing",LOWER(TRIM(H956&amp;""))=""),"Missing/",IFERROR(IF(OR(VALUE(H956)&lt;0,VALUE(H956)&gt;110),"Invalid","Valid"),"Check Format"))</f>
        <v>Missing/</v>
      </c>
      <c r="U956" t="str">
        <f>IF(Raw_Data[[#This Row],[Age_Check]]="Valid",H956,"")</f>
        <v/>
      </c>
      <c r="V956" t="str">
        <f>IF(OR(K956="",UPPER(TRIM(K956&amp;""))="",LOWER(TRIM(K956&amp;""))="",LOWER(TRIM(K956&amp;""))="",LOWER(TRIM(K956&amp;""))="missing"),"Missing/",IFERROR(IF(VALUE(K956)&lt;0,"Invalid","Valid"),"Check Format"))</f>
        <v>Valid</v>
      </c>
      <c r="W956" t="str">
        <f>IF(OR(E956="",F956=""),"Missing Date/Time",IFERROR(IF(F956&gt;E956,"Arrival After Appointment","OK"),"Check Format"))</f>
        <v>OK</v>
      </c>
      <c r="X956" t="str">
        <f>IF(OR(F956="",G956=""),"Missing Date/Time",IFERROR(IF(G956&lt;F956,"Discharge Before Arrival","OK"),"Check Format"))</f>
        <v>OK</v>
      </c>
    </row>
    <row r="957" spans="1:24" x14ac:dyDescent="0.25">
      <c r="A957" s="2" t="s">
        <v>1558</v>
      </c>
      <c r="B957" s="2" t="s">
        <v>143</v>
      </c>
      <c r="C957" s="3" t="s">
        <v>94</v>
      </c>
      <c r="D957" s="3" t="s">
        <v>149</v>
      </c>
      <c r="E957" s="4">
        <v>45339.565972222219</v>
      </c>
      <c r="F957" s="4">
        <v>45339.550694444442</v>
      </c>
      <c r="G957" s="4">
        <v>45339.618750000001</v>
      </c>
      <c r="I957" s="3" t="s">
        <v>95</v>
      </c>
      <c r="J957" s="3" t="s">
        <v>2639</v>
      </c>
      <c r="K957" s="5">
        <v>71</v>
      </c>
      <c r="L957" s="5">
        <v>5</v>
      </c>
      <c r="M957" s="3" t="s">
        <v>41</v>
      </c>
      <c r="N957" t="s">
        <v>91</v>
      </c>
      <c r="O957" s="5">
        <v>6</v>
      </c>
      <c r="P957" s="3" t="s">
        <v>80</v>
      </c>
      <c r="Q957" s="2">
        <v>122.69</v>
      </c>
      <c r="R957" s="3" t="s">
        <v>58</v>
      </c>
      <c r="S957">
        <f>COUNTIF(A:A,A957)</f>
        <v>1</v>
      </c>
      <c r="T957" t="str">
        <f>IF(OR(H957="",LOWER(TRIM(H957&amp;""))="missing",LOWER(TRIM(H957&amp;""))=""),"Missing/",IFERROR(IF(OR(VALUE(H957)&lt;0,VALUE(H957)&gt;110),"Invalid","Valid"),"Check Format"))</f>
        <v>Missing/</v>
      </c>
      <c r="U957" t="str">
        <f>IF(Raw_Data[[#This Row],[Age_Check]]="Valid",H957,"")</f>
        <v/>
      </c>
      <c r="V957" t="str">
        <f>IF(OR(K957="",UPPER(TRIM(K957&amp;""))="",LOWER(TRIM(K957&amp;""))="",LOWER(TRIM(K957&amp;""))="",LOWER(TRIM(K957&amp;""))="missing"),"Missing/",IFERROR(IF(VALUE(K957)&lt;0,"Invalid","Valid"),"Check Format"))</f>
        <v>Valid</v>
      </c>
      <c r="W957" t="str">
        <f>IF(OR(E957="",F957=""),"Missing Date/Time",IFERROR(IF(F957&gt;E957,"Arrival After Appointment","OK"),"Check Format"))</f>
        <v>OK</v>
      </c>
      <c r="X957" t="str">
        <f>IF(OR(F957="",G957=""),"Missing Date/Time",IFERROR(IF(G957&lt;F957,"Discharge Before Arrival","OK"),"Check Format"))</f>
        <v>OK</v>
      </c>
    </row>
    <row r="958" spans="1:24" x14ac:dyDescent="0.25">
      <c r="A958" s="2" t="s">
        <v>1559</v>
      </c>
      <c r="B958" s="2" t="s">
        <v>485</v>
      </c>
      <c r="D958" s="3" t="s">
        <v>115</v>
      </c>
      <c r="E958" s="4">
        <v>45866.579861111109</v>
      </c>
      <c r="G958" s="4">
        <v>45866.661805555559</v>
      </c>
      <c r="H958" s="5">
        <v>23</v>
      </c>
      <c r="I958" s="3" t="s">
        <v>95</v>
      </c>
      <c r="J958" s="3" t="s">
        <v>62</v>
      </c>
      <c r="K958" s="5">
        <v>87</v>
      </c>
      <c r="L958" s="5">
        <v>31</v>
      </c>
      <c r="M958" s="3" t="s">
        <v>68</v>
      </c>
      <c r="O958" s="5">
        <v>4</v>
      </c>
      <c r="Q958" s="2">
        <v>32.58</v>
      </c>
      <c r="R958" s="3" t="s">
        <v>43</v>
      </c>
      <c r="S958">
        <f>COUNTIF(A:A,A958)</f>
        <v>1</v>
      </c>
      <c r="T958" t="str">
        <f>IF(OR(H958="",LOWER(TRIM(H958&amp;""))="missing",LOWER(TRIM(H958&amp;""))=""),"Missing/",IFERROR(IF(OR(VALUE(H958)&lt;0,VALUE(H958)&gt;110),"Invalid","Valid"),"Check Format"))</f>
        <v>Valid</v>
      </c>
      <c r="U958">
        <f>IF(Raw_Data[[#This Row],[Age_Check]]="Valid",H958,"")</f>
        <v>23</v>
      </c>
      <c r="V958" t="str">
        <f>IF(OR(K958="",UPPER(TRIM(K958&amp;""))="",LOWER(TRIM(K958&amp;""))="",LOWER(TRIM(K958&amp;""))="",LOWER(TRIM(K958&amp;""))="missing"),"Missing/",IFERROR(IF(VALUE(K958)&lt;0,"Invalid","Valid"),"Check Format"))</f>
        <v>Valid</v>
      </c>
      <c r="W958" t="str">
        <f>IF(OR(E958="",F958=""),"Missing Date/Time",IFERROR(IF(F958&gt;E958,"Arrival After Appointment","OK"),"Check Format"))</f>
        <v>Missing Date/Time</v>
      </c>
      <c r="X958" t="str">
        <f>IF(OR(F958="",G958=""),"Missing Date/Time",IFERROR(IF(G958&lt;F958,"Discharge Before Arrival","OK"),"Check Format"))</f>
        <v>Missing Date/Time</v>
      </c>
    </row>
    <row r="959" spans="1:24" x14ac:dyDescent="0.25">
      <c r="A959" s="2" t="s">
        <v>1560</v>
      </c>
      <c r="B959" s="2" t="s">
        <v>1561</v>
      </c>
      <c r="C959" s="3" t="s">
        <v>94</v>
      </c>
      <c r="D959" s="3" t="s">
        <v>174</v>
      </c>
      <c r="E959" s="4">
        <v>45981.694444444445</v>
      </c>
      <c r="F959" s="4">
        <v>45981.673611111109</v>
      </c>
      <c r="G959" s="4">
        <v>45981.776388888888</v>
      </c>
      <c r="I959" s="3" t="s">
        <v>73</v>
      </c>
      <c r="J959" s="3" t="s">
        <v>171</v>
      </c>
      <c r="K959" s="5">
        <v>56</v>
      </c>
      <c r="L959" s="5">
        <v>62</v>
      </c>
      <c r="M959" s="3" t="s">
        <v>32</v>
      </c>
      <c r="N959" t="s">
        <v>74</v>
      </c>
      <c r="P959" s="3" t="s">
        <v>25</v>
      </c>
      <c r="Q959" s="2">
        <v>244.75</v>
      </c>
      <c r="R959" s="3" t="s">
        <v>58</v>
      </c>
      <c r="S959">
        <f>COUNTIF(A:A,A959)</f>
        <v>1</v>
      </c>
      <c r="T959" t="str">
        <f>IF(OR(H959="",LOWER(TRIM(H959&amp;""))="missing",LOWER(TRIM(H959&amp;""))=""),"Missing/",IFERROR(IF(OR(VALUE(H959)&lt;0,VALUE(H959)&gt;110),"Invalid","Valid"),"Check Format"))</f>
        <v>Missing/</v>
      </c>
      <c r="U959" t="str">
        <f>IF(Raw_Data[[#This Row],[Age_Check]]="Valid",H959,"")</f>
        <v/>
      </c>
      <c r="V959" t="str">
        <f>IF(OR(K959="",UPPER(TRIM(K959&amp;""))="",LOWER(TRIM(K959&amp;""))="",LOWER(TRIM(K959&amp;""))="",LOWER(TRIM(K959&amp;""))="missing"),"Missing/",IFERROR(IF(VALUE(K959)&lt;0,"Invalid","Valid"),"Check Format"))</f>
        <v>Valid</v>
      </c>
      <c r="W959" t="str">
        <f>IF(OR(E959="",F959=""),"Missing Date/Time",IFERROR(IF(F959&gt;E959,"Arrival After Appointment","OK"),"Check Format"))</f>
        <v>OK</v>
      </c>
      <c r="X959" t="str">
        <f>IF(OR(F959="",G959=""),"Missing Date/Time",IFERROR(IF(G959&lt;F959,"Discharge Before Arrival","OK"),"Check Format"))</f>
        <v>OK</v>
      </c>
    </row>
    <row r="960" spans="1:24" x14ac:dyDescent="0.25">
      <c r="A960" s="2" t="s">
        <v>1562</v>
      </c>
      <c r="B960" s="2" t="s">
        <v>331</v>
      </c>
      <c r="C960" s="3" t="s">
        <v>37</v>
      </c>
      <c r="D960" s="3" t="s">
        <v>209</v>
      </c>
      <c r="E960" s="4">
        <v>46004.694444444445</v>
      </c>
      <c r="F960" s="4">
        <v>46004.688194444447</v>
      </c>
      <c r="G960" s="4">
        <v>46004.76666666667</v>
      </c>
      <c r="I960" s="3" t="s">
        <v>95</v>
      </c>
      <c r="J960" s="3" t="s">
        <v>2639</v>
      </c>
      <c r="K960" s="5">
        <v>55</v>
      </c>
      <c r="L960" s="5">
        <v>49</v>
      </c>
      <c r="M960" s="3" t="s">
        <v>23</v>
      </c>
      <c r="N960" t="s">
        <v>103</v>
      </c>
      <c r="O960" s="5">
        <v>6</v>
      </c>
      <c r="P960" s="3" t="s">
        <v>80</v>
      </c>
      <c r="Q960" s="2">
        <v>115.68</v>
      </c>
      <c r="R960" s="3" t="s">
        <v>58</v>
      </c>
      <c r="S960">
        <f>COUNTIF(A:A,A960)</f>
        <v>1</v>
      </c>
      <c r="T960" t="str">
        <f>IF(OR(H960="",LOWER(TRIM(H960&amp;""))="missing",LOWER(TRIM(H960&amp;""))=""),"Missing/",IFERROR(IF(OR(VALUE(H960)&lt;0,VALUE(H960)&gt;110),"Invalid","Valid"),"Check Format"))</f>
        <v>Missing/</v>
      </c>
      <c r="U960" t="str">
        <f>IF(Raw_Data[[#This Row],[Age_Check]]="Valid",H960,"")</f>
        <v/>
      </c>
      <c r="V960" t="str">
        <f>IF(OR(K960="",UPPER(TRIM(K960&amp;""))="",LOWER(TRIM(K960&amp;""))="",LOWER(TRIM(K960&amp;""))="",LOWER(TRIM(K960&amp;""))="missing"),"Missing/",IFERROR(IF(VALUE(K960)&lt;0,"Invalid","Valid"),"Check Format"))</f>
        <v>Valid</v>
      </c>
      <c r="W960" t="str">
        <f>IF(OR(E960="",F960=""),"Missing Date/Time",IFERROR(IF(F960&gt;E960,"Arrival After Appointment","OK"),"Check Format"))</f>
        <v>OK</v>
      </c>
      <c r="X960" t="str">
        <f>IF(OR(F960="",G960=""),"Missing Date/Time",IFERROR(IF(G960&lt;F960,"Discharge Before Arrival","OK"),"Check Format"))</f>
        <v>OK</v>
      </c>
    </row>
    <row r="961" spans="1:24" x14ac:dyDescent="0.25">
      <c r="A961" s="2" t="s">
        <v>1563</v>
      </c>
      <c r="B961" s="2" t="s">
        <v>256</v>
      </c>
      <c r="C961" s="3" t="s">
        <v>94</v>
      </c>
      <c r="D961" s="3" t="s">
        <v>30</v>
      </c>
      <c r="E961" s="4">
        <v>45784.59375</v>
      </c>
      <c r="F961" s="4">
        <v>45843.588194444441</v>
      </c>
      <c r="G961" s="4">
        <v>45843.604166666664</v>
      </c>
      <c r="I961" s="3" t="s">
        <v>73</v>
      </c>
      <c r="J961" s="3" t="s">
        <v>67</v>
      </c>
      <c r="K961" s="5">
        <v>0</v>
      </c>
      <c r="L961" s="5">
        <v>15</v>
      </c>
      <c r="M961" s="3" t="s">
        <v>87</v>
      </c>
      <c r="N961" t="s">
        <v>69</v>
      </c>
      <c r="P961" s="3" t="s">
        <v>25</v>
      </c>
      <c r="Q961" s="2">
        <v>270.02999999999997</v>
      </c>
      <c r="R961" s="3" t="s">
        <v>58</v>
      </c>
      <c r="S961">
        <f>COUNTIF(A:A,A961)</f>
        <v>1</v>
      </c>
      <c r="T961" t="str">
        <f>IF(OR(H961="",LOWER(TRIM(H961&amp;""))="missing",LOWER(TRIM(H961&amp;""))=""),"Missing/",IFERROR(IF(OR(VALUE(H961)&lt;0,VALUE(H961)&gt;110),"Invalid","Valid"),"Check Format"))</f>
        <v>Missing/</v>
      </c>
      <c r="U961" t="str">
        <f>IF(Raw_Data[[#This Row],[Age_Check]]="Valid",H961,"")</f>
        <v/>
      </c>
      <c r="V961" t="str">
        <f>IF(OR(K961="",UPPER(TRIM(K961&amp;""))="",LOWER(TRIM(K961&amp;""))="",LOWER(TRIM(K961&amp;""))="",LOWER(TRIM(K961&amp;""))="missing"),"Missing/",IFERROR(IF(VALUE(K961)&lt;0,"Invalid","Valid"),"Check Format"))</f>
        <v>Valid</v>
      </c>
      <c r="W961" t="str">
        <f>IF(OR(E961="",F961=""),"Missing Date/Time",IFERROR(IF(F961&gt;E961,"Arrival After Appointment","OK"),"Check Format"))</f>
        <v>Arrival After Appointment</v>
      </c>
      <c r="X961" t="str">
        <f>IF(OR(F961="",G961=""),"Missing Date/Time",IFERROR(IF(G961&lt;F961,"Discharge Before Arrival","OK"),"Check Format"))</f>
        <v>OK</v>
      </c>
    </row>
    <row r="962" spans="1:24" x14ac:dyDescent="0.25">
      <c r="A962" s="2" t="s">
        <v>1564</v>
      </c>
      <c r="B962" s="2" t="s">
        <v>588</v>
      </c>
      <c r="C962" s="3" t="s">
        <v>46</v>
      </c>
      <c r="D962" s="3" t="s">
        <v>47</v>
      </c>
      <c r="E962" s="4">
        <v>45677.722222222219</v>
      </c>
      <c r="F962" s="4">
        <v>45677.708333333336</v>
      </c>
      <c r="G962" s="4">
        <v>45677.774305555555</v>
      </c>
      <c r="I962" s="3" t="s">
        <v>95</v>
      </c>
      <c r="J962" s="3" t="s">
        <v>2639</v>
      </c>
      <c r="K962" s="5">
        <v>48</v>
      </c>
      <c r="L962" s="5">
        <v>27</v>
      </c>
      <c r="M962" s="3" t="s">
        <v>23</v>
      </c>
      <c r="N962" t="s">
        <v>91</v>
      </c>
      <c r="O962" s="5">
        <v>0</v>
      </c>
      <c r="R962" s="3" t="s">
        <v>58</v>
      </c>
      <c r="S962">
        <f>COUNTIF(A:A,A962)</f>
        <v>1</v>
      </c>
      <c r="T962" t="str">
        <f>IF(OR(H962="",LOWER(TRIM(H962&amp;""))="missing",LOWER(TRIM(H962&amp;""))=""),"Missing/",IFERROR(IF(OR(VALUE(H962)&lt;0,VALUE(H962)&gt;110),"Invalid","Valid"),"Check Format"))</f>
        <v>Missing/</v>
      </c>
      <c r="U962" t="str">
        <f>IF(Raw_Data[[#This Row],[Age_Check]]="Valid",H962,"")</f>
        <v/>
      </c>
      <c r="V962" t="str">
        <f>IF(OR(K962="",UPPER(TRIM(K962&amp;""))="",LOWER(TRIM(K962&amp;""))="",LOWER(TRIM(K962&amp;""))="",LOWER(TRIM(K962&amp;""))="missing"),"Missing/",IFERROR(IF(VALUE(K962)&lt;0,"Invalid","Valid"),"Check Format"))</f>
        <v>Valid</v>
      </c>
      <c r="W962" t="str">
        <f>IF(OR(E962="",F962=""),"Missing Date/Time",IFERROR(IF(F962&gt;E962,"Arrival After Appointment","OK"),"Check Format"))</f>
        <v>OK</v>
      </c>
      <c r="X962" t="str">
        <f>IF(OR(F962="",G962=""),"Missing Date/Time",IFERROR(IF(G962&lt;F962,"Discharge Before Arrival","OK"),"Check Format"))</f>
        <v>OK</v>
      </c>
    </row>
    <row r="963" spans="1:24" x14ac:dyDescent="0.25">
      <c r="A963" s="2" t="s">
        <v>1565</v>
      </c>
      <c r="B963" s="2" t="s">
        <v>1166</v>
      </c>
      <c r="C963" s="3" t="s">
        <v>46</v>
      </c>
      <c r="D963" s="3" t="s">
        <v>209</v>
      </c>
      <c r="E963" s="4">
        <v>45937.458333333336</v>
      </c>
      <c r="F963" s="4">
        <v>45937.438888888886</v>
      </c>
      <c r="G963" s="4">
        <v>45937.536805555559</v>
      </c>
      <c r="H963" s="5">
        <v>58</v>
      </c>
      <c r="I963" s="3" t="s">
        <v>95</v>
      </c>
      <c r="J963" s="3" t="s">
        <v>62</v>
      </c>
      <c r="K963" s="5">
        <v>47</v>
      </c>
      <c r="L963" s="5">
        <v>66</v>
      </c>
      <c r="M963" s="3" t="s">
        <v>68</v>
      </c>
      <c r="O963" s="5">
        <v>0</v>
      </c>
      <c r="P963" s="3" t="s">
        <v>25</v>
      </c>
      <c r="Q963" s="2">
        <v>275.08</v>
      </c>
      <c r="R963" s="3" t="s">
        <v>75</v>
      </c>
      <c r="S963">
        <f>COUNTIF(A:A,A963)</f>
        <v>1</v>
      </c>
      <c r="T963" t="str">
        <f>IF(OR(H963="",LOWER(TRIM(H963&amp;""))="missing",LOWER(TRIM(H963&amp;""))=""),"Missing/",IFERROR(IF(OR(VALUE(H963)&lt;0,VALUE(H963)&gt;110),"Invalid","Valid"),"Check Format"))</f>
        <v>Valid</v>
      </c>
      <c r="U963">
        <f>IF(Raw_Data[[#This Row],[Age_Check]]="Valid",H963,"")</f>
        <v>58</v>
      </c>
      <c r="V963" t="str">
        <f>IF(OR(K963="",UPPER(TRIM(K963&amp;""))="",LOWER(TRIM(K963&amp;""))="",LOWER(TRIM(K963&amp;""))="",LOWER(TRIM(K963&amp;""))="missing"),"Missing/",IFERROR(IF(VALUE(K963)&lt;0,"Invalid","Valid"),"Check Format"))</f>
        <v>Valid</v>
      </c>
      <c r="W963" t="str">
        <f>IF(OR(E963="",F963=""),"Missing Date/Time",IFERROR(IF(F963&gt;E963,"Arrival After Appointment","OK"),"Check Format"))</f>
        <v>OK</v>
      </c>
      <c r="X963" t="str">
        <f>IF(OR(F963="",G963=""),"Missing Date/Time",IFERROR(IF(G963&lt;F963,"Discharge Before Arrival","OK"),"Check Format"))</f>
        <v>OK</v>
      </c>
    </row>
    <row r="964" spans="1:24" x14ac:dyDescent="0.25">
      <c r="A964" s="2" t="s">
        <v>1566</v>
      </c>
      <c r="B964" s="2" t="s">
        <v>818</v>
      </c>
      <c r="D964" s="3" t="s">
        <v>55</v>
      </c>
      <c r="E964" s="4" t="s">
        <v>1567</v>
      </c>
      <c r="F964" s="4">
        <v>45322.706944444442</v>
      </c>
      <c r="J964" s="3" t="s">
        <v>62</v>
      </c>
      <c r="K964" s="5">
        <v>135</v>
      </c>
      <c r="L964" s="5">
        <v>29</v>
      </c>
      <c r="M964" s="3" t="s">
        <v>23</v>
      </c>
      <c r="O964" s="5">
        <v>1</v>
      </c>
      <c r="Q964" s="2">
        <v>168.65</v>
      </c>
      <c r="R964" s="3" t="s">
        <v>58</v>
      </c>
      <c r="S964">
        <f>COUNTIF(A:A,A964)</f>
        <v>1</v>
      </c>
      <c r="T964" t="str">
        <f>IF(OR(H964="",LOWER(TRIM(H964&amp;""))="missing",LOWER(TRIM(H964&amp;""))=""),"Missing/",IFERROR(IF(OR(VALUE(H964)&lt;0,VALUE(H964)&gt;110),"Invalid","Valid"),"Check Format"))</f>
        <v>Missing/</v>
      </c>
      <c r="U964" t="str">
        <f>IF(Raw_Data[[#This Row],[Age_Check]]="Valid",H964,"")</f>
        <v/>
      </c>
      <c r="V964" t="str">
        <f>IF(OR(K964="",UPPER(TRIM(K964&amp;""))="",LOWER(TRIM(K964&amp;""))="",LOWER(TRIM(K964&amp;""))="",LOWER(TRIM(K964&amp;""))="missing"),"Missing/",IFERROR(IF(VALUE(K964)&lt;0,"Invalid","Valid"),"Check Format"))</f>
        <v>Valid</v>
      </c>
      <c r="W964" t="str">
        <f>IF(OR(E964="",F964=""),"Missing Date/Time",IFERROR(IF(F964&gt;E964,"Arrival After Appointment","OK"),"Check Format"))</f>
        <v>OK</v>
      </c>
      <c r="X964" t="str">
        <f>IF(OR(F964="",G964=""),"Missing Date/Time",IFERROR(IF(G964&lt;F964,"Discharge Before Arrival","OK"),"Check Format"))</f>
        <v>Missing Date/Time</v>
      </c>
    </row>
    <row r="965" spans="1:24" x14ac:dyDescent="0.25">
      <c r="A965" s="2" t="s">
        <v>1568</v>
      </c>
      <c r="B965" s="2" t="s">
        <v>154</v>
      </c>
      <c r="C965" s="3" t="s">
        <v>94</v>
      </c>
      <c r="D965" s="3" t="s">
        <v>174</v>
      </c>
      <c r="E965" s="4">
        <v>45309.447916666664</v>
      </c>
      <c r="F965" s="4">
        <v>45309.438888888886</v>
      </c>
      <c r="G965" s="4">
        <v>45309.490972222222</v>
      </c>
      <c r="I965" s="3" t="s">
        <v>73</v>
      </c>
      <c r="J965" s="3" t="s">
        <v>62</v>
      </c>
      <c r="K965" s="5">
        <v>4</v>
      </c>
      <c r="L965" s="5">
        <v>58</v>
      </c>
      <c r="M965" s="3" t="s">
        <v>41</v>
      </c>
      <c r="P965" s="3" t="s">
        <v>25</v>
      </c>
      <c r="Q965" s="2">
        <v>51.58</v>
      </c>
      <c r="R965" s="3" t="s">
        <v>26</v>
      </c>
      <c r="S965">
        <f>COUNTIF(A:A,A965)</f>
        <v>1</v>
      </c>
      <c r="T965" t="str">
        <f>IF(OR(H965="",LOWER(TRIM(H965&amp;""))="missing",LOWER(TRIM(H965&amp;""))=""),"Missing/",IFERROR(IF(OR(VALUE(H965)&lt;0,VALUE(H965)&gt;110),"Invalid","Valid"),"Check Format"))</f>
        <v>Missing/</v>
      </c>
      <c r="U965" t="str">
        <f>IF(Raw_Data[[#This Row],[Age_Check]]="Valid",H965,"")</f>
        <v/>
      </c>
      <c r="V965" t="str">
        <f>IF(OR(K965="",UPPER(TRIM(K965&amp;""))="",LOWER(TRIM(K965&amp;""))="",LOWER(TRIM(K965&amp;""))="",LOWER(TRIM(K965&amp;""))="missing"),"Missing/",IFERROR(IF(VALUE(K965)&lt;0,"Invalid","Valid"),"Check Format"))</f>
        <v>Valid</v>
      </c>
      <c r="W965" t="str">
        <f>IF(OR(E965="",F965=""),"Missing Date/Time",IFERROR(IF(F965&gt;E965,"Arrival After Appointment","OK"),"Check Format"))</f>
        <v>OK</v>
      </c>
      <c r="X965" t="str">
        <f>IF(OR(F965="",G965=""),"Missing Date/Time",IFERROR(IF(G965&lt;F965,"Discharge Before Arrival","OK"),"Check Format"))</f>
        <v>OK</v>
      </c>
    </row>
    <row r="966" spans="1:24" x14ac:dyDescent="0.25">
      <c r="A966" s="2" t="s">
        <v>1569</v>
      </c>
      <c r="B966" s="2" t="s">
        <v>515</v>
      </c>
      <c r="C966" s="3" t="s">
        <v>29</v>
      </c>
      <c r="D966" s="3" t="s">
        <v>38</v>
      </c>
      <c r="E966" s="4">
        <v>45375.375</v>
      </c>
      <c r="F966" s="4">
        <v>45375.361805555556</v>
      </c>
      <c r="H966" s="5">
        <v>19</v>
      </c>
      <c r="I966" s="3" t="s">
        <v>73</v>
      </c>
      <c r="J966" s="3" t="s">
        <v>22</v>
      </c>
      <c r="K966" s="5">
        <v>65</v>
      </c>
      <c r="L966" s="5">
        <v>12</v>
      </c>
      <c r="M966" s="3" t="s">
        <v>41</v>
      </c>
      <c r="N966" t="s">
        <v>24</v>
      </c>
      <c r="O966" s="5">
        <v>6</v>
      </c>
      <c r="P966" s="3" t="s">
        <v>25</v>
      </c>
      <c r="Q966" s="2">
        <v>97.89</v>
      </c>
      <c r="R966" s="3" t="s">
        <v>58</v>
      </c>
      <c r="S966">
        <f>COUNTIF(A:A,A966)</f>
        <v>1</v>
      </c>
      <c r="T966" t="str">
        <f>IF(OR(H966="",LOWER(TRIM(H966&amp;""))="missing",LOWER(TRIM(H966&amp;""))=""),"Missing/",IFERROR(IF(OR(VALUE(H966)&lt;0,VALUE(H966)&gt;110),"Invalid","Valid"),"Check Format"))</f>
        <v>Valid</v>
      </c>
      <c r="U966">
        <f>IF(Raw_Data[[#This Row],[Age_Check]]="Valid",H966,"")</f>
        <v>19</v>
      </c>
      <c r="V966" t="str">
        <f>IF(OR(K966="",UPPER(TRIM(K966&amp;""))="",LOWER(TRIM(K966&amp;""))="",LOWER(TRIM(K966&amp;""))="",LOWER(TRIM(K966&amp;""))="missing"),"Missing/",IFERROR(IF(VALUE(K966)&lt;0,"Invalid","Valid"),"Check Format"))</f>
        <v>Valid</v>
      </c>
      <c r="W966" t="str">
        <f>IF(OR(E966="",F966=""),"Missing Date/Time",IFERROR(IF(F966&gt;E966,"Arrival After Appointment","OK"),"Check Format"))</f>
        <v>OK</v>
      </c>
      <c r="X966" t="str">
        <f>IF(OR(F966="",G966=""),"Missing Date/Time",IFERROR(IF(G966&lt;F966,"Discharge Before Arrival","OK"),"Check Format"))</f>
        <v>Missing Date/Time</v>
      </c>
    </row>
    <row r="967" spans="1:24" x14ac:dyDescent="0.25">
      <c r="A967" s="2" t="s">
        <v>1570</v>
      </c>
      <c r="B967" s="2" t="s">
        <v>1088</v>
      </c>
      <c r="C967" s="3" t="s">
        <v>94</v>
      </c>
      <c r="D967" s="3" t="s">
        <v>23</v>
      </c>
      <c r="E967" s="4">
        <v>45916.576388888891</v>
      </c>
      <c r="F967" s="4">
        <v>45916.557638888888</v>
      </c>
      <c r="G967" s="4">
        <v>45916.61041666667</v>
      </c>
      <c r="H967" s="5">
        <v>88</v>
      </c>
      <c r="I967" s="3" t="s">
        <v>39</v>
      </c>
      <c r="J967" s="3" t="s">
        <v>62</v>
      </c>
      <c r="K967" s="5">
        <v>28</v>
      </c>
      <c r="L967" s="5">
        <v>21</v>
      </c>
      <c r="M967" s="3" t="s">
        <v>41</v>
      </c>
      <c r="N967" t="s">
        <v>24</v>
      </c>
      <c r="O967" s="5">
        <v>6</v>
      </c>
      <c r="Q967" s="2">
        <v>101.87</v>
      </c>
      <c r="R967" s="3" t="s">
        <v>26</v>
      </c>
      <c r="S967">
        <f>COUNTIF(A:A,A967)</f>
        <v>1</v>
      </c>
      <c r="T967" t="str">
        <f>IF(OR(H967="",LOWER(TRIM(H967&amp;""))="missing",LOWER(TRIM(H967&amp;""))=""),"Missing/",IFERROR(IF(OR(VALUE(H967)&lt;0,VALUE(H967)&gt;110),"Invalid","Valid"),"Check Format"))</f>
        <v>Valid</v>
      </c>
      <c r="U967">
        <f>IF(Raw_Data[[#This Row],[Age_Check]]="Valid",H967,"")</f>
        <v>88</v>
      </c>
      <c r="V967" t="str">
        <f>IF(OR(K967="",UPPER(TRIM(K967&amp;""))="",LOWER(TRIM(K967&amp;""))="",LOWER(TRIM(K967&amp;""))="",LOWER(TRIM(K967&amp;""))="missing"),"Missing/",IFERROR(IF(VALUE(K967)&lt;0,"Invalid","Valid"),"Check Format"))</f>
        <v>Valid</v>
      </c>
      <c r="W967" t="str">
        <f>IF(OR(E967="",F967=""),"Missing Date/Time",IFERROR(IF(F967&gt;E967,"Arrival After Appointment","OK"),"Check Format"))</f>
        <v>OK</v>
      </c>
      <c r="X967" t="str">
        <f>IF(OR(F967="",G967=""),"Missing Date/Time",IFERROR(IF(G967&lt;F967,"Discharge Before Arrival","OK"),"Check Format"))</f>
        <v>OK</v>
      </c>
    </row>
    <row r="968" spans="1:24" x14ac:dyDescent="0.25">
      <c r="A968" s="2" t="s">
        <v>1571</v>
      </c>
      <c r="B968" s="2" t="s">
        <v>192</v>
      </c>
      <c r="C968" s="3" t="s">
        <v>94</v>
      </c>
      <c r="D968" s="3" t="s">
        <v>106</v>
      </c>
      <c r="E968" s="4">
        <v>45577.708333333336</v>
      </c>
      <c r="F968" s="4">
        <v>45577.689583333333</v>
      </c>
      <c r="G968" s="4">
        <v>45577.767361111109</v>
      </c>
      <c r="H968" s="5">
        <v>63</v>
      </c>
      <c r="J968" s="3" t="s">
        <v>2639</v>
      </c>
      <c r="K968" s="5">
        <v>38</v>
      </c>
      <c r="L968" s="5">
        <v>47</v>
      </c>
      <c r="M968" s="3" t="s">
        <v>41</v>
      </c>
      <c r="N968" t="s">
        <v>103</v>
      </c>
      <c r="O968" s="5">
        <v>4</v>
      </c>
      <c r="P968" s="3" t="s">
        <v>80</v>
      </c>
      <c r="Q968" s="2">
        <v>56.61</v>
      </c>
      <c r="R968" s="3" t="s">
        <v>43</v>
      </c>
      <c r="S968">
        <f>COUNTIF(A:A,A968)</f>
        <v>1</v>
      </c>
      <c r="T968" t="str">
        <f>IF(OR(H968="",LOWER(TRIM(H968&amp;""))="missing",LOWER(TRIM(H968&amp;""))=""),"Missing/",IFERROR(IF(OR(VALUE(H968)&lt;0,VALUE(H968)&gt;110),"Invalid","Valid"),"Check Format"))</f>
        <v>Valid</v>
      </c>
      <c r="U968">
        <f>IF(Raw_Data[[#This Row],[Age_Check]]="Valid",H968,"")</f>
        <v>63</v>
      </c>
      <c r="V968" t="str">
        <f>IF(OR(K968="",UPPER(TRIM(K968&amp;""))="",LOWER(TRIM(K968&amp;""))="",LOWER(TRIM(K968&amp;""))="",LOWER(TRIM(K968&amp;""))="missing"),"Missing/",IFERROR(IF(VALUE(K968)&lt;0,"Invalid","Valid"),"Check Format"))</f>
        <v>Valid</v>
      </c>
      <c r="W968" t="str">
        <f>IF(OR(E968="",F968=""),"Missing Date/Time",IFERROR(IF(F968&gt;E968,"Arrival After Appointment","OK"),"Check Format"))</f>
        <v>OK</v>
      </c>
      <c r="X968" t="str">
        <f>IF(OR(F968="",G968=""),"Missing Date/Time",IFERROR(IF(G968&lt;F968,"Discharge Before Arrival","OK"),"Check Format"))</f>
        <v>OK</v>
      </c>
    </row>
    <row r="969" spans="1:24" x14ac:dyDescent="0.25">
      <c r="A969" s="2" t="s">
        <v>1572</v>
      </c>
      <c r="B969" s="2" t="s">
        <v>980</v>
      </c>
      <c r="C969" s="3" t="s">
        <v>46</v>
      </c>
      <c r="D969" s="3" t="s">
        <v>61</v>
      </c>
      <c r="E969" s="4">
        <v>45910.694444444445</v>
      </c>
      <c r="F969" s="4">
        <v>45910.684027777781</v>
      </c>
      <c r="G969" s="4">
        <v>45910.776388888888</v>
      </c>
      <c r="H969" s="5">
        <v>22</v>
      </c>
      <c r="I969" s="3" t="s">
        <v>95</v>
      </c>
      <c r="J969" s="3" t="s">
        <v>67</v>
      </c>
      <c r="K969" s="5">
        <v>65</v>
      </c>
      <c r="L969" s="5">
        <v>53</v>
      </c>
      <c r="M969" s="3" t="s">
        <v>63</v>
      </c>
      <c r="N969" t="s">
        <v>69</v>
      </c>
      <c r="O969" s="5">
        <v>0</v>
      </c>
      <c r="P969" s="3" t="s">
        <v>80</v>
      </c>
      <c r="Q969" s="2">
        <v>103.94</v>
      </c>
      <c r="R969" s="3" t="s">
        <v>58</v>
      </c>
      <c r="S969">
        <f>COUNTIF(A:A,A969)</f>
        <v>1</v>
      </c>
      <c r="T969" t="str">
        <f>IF(OR(H969="",LOWER(TRIM(H969&amp;""))="missing",LOWER(TRIM(H969&amp;""))=""),"Missing/",IFERROR(IF(OR(VALUE(H969)&lt;0,VALUE(H969)&gt;110),"Invalid","Valid"),"Check Format"))</f>
        <v>Valid</v>
      </c>
      <c r="U969">
        <f>IF(Raw_Data[[#This Row],[Age_Check]]="Valid",H969,"")</f>
        <v>22</v>
      </c>
      <c r="V969" t="str">
        <f>IF(OR(K969="",UPPER(TRIM(K969&amp;""))="",LOWER(TRIM(K969&amp;""))="",LOWER(TRIM(K969&amp;""))="",LOWER(TRIM(K969&amp;""))="missing"),"Missing/",IFERROR(IF(VALUE(K969)&lt;0,"Invalid","Valid"),"Check Format"))</f>
        <v>Valid</v>
      </c>
      <c r="W969" t="str">
        <f>IF(OR(E969="",F969=""),"Missing Date/Time",IFERROR(IF(F969&gt;E969,"Arrival After Appointment","OK"),"Check Format"))</f>
        <v>OK</v>
      </c>
      <c r="X969" t="str">
        <f>IF(OR(F969="",G969=""),"Missing Date/Time",IFERROR(IF(G969&lt;F969,"Discharge Before Arrival","OK"),"Check Format"))</f>
        <v>OK</v>
      </c>
    </row>
    <row r="970" spans="1:24" x14ac:dyDescent="0.25">
      <c r="A970" s="2" t="s">
        <v>1573</v>
      </c>
      <c r="B970" s="2" t="s">
        <v>850</v>
      </c>
      <c r="C970" s="3" t="s">
        <v>94</v>
      </c>
      <c r="D970" s="3" t="s">
        <v>55</v>
      </c>
      <c r="E970" s="4">
        <v>45699.357638888891</v>
      </c>
      <c r="F970" s="4">
        <v>45699.341666666667</v>
      </c>
      <c r="G970" s="4">
        <v>45699.398611111108</v>
      </c>
      <c r="H970" s="5">
        <v>70</v>
      </c>
      <c r="I970" s="3" t="s">
        <v>73</v>
      </c>
      <c r="J970" s="3" t="s">
        <v>67</v>
      </c>
      <c r="K970" s="5">
        <v>32</v>
      </c>
      <c r="L970" s="5">
        <v>27</v>
      </c>
      <c r="M970" s="3" t="s">
        <v>41</v>
      </c>
      <c r="O970" s="5">
        <v>6</v>
      </c>
      <c r="P970" s="3" t="s">
        <v>25</v>
      </c>
      <c r="Q970" s="2">
        <v>239.38</v>
      </c>
      <c r="R970" s="3" t="s">
        <v>58</v>
      </c>
      <c r="S970">
        <f>COUNTIF(A:A,A970)</f>
        <v>1</v>
      </c>
      <c r="T970" t="str">
        <f>IF(OR(H970="",LOWER(TRIM(H970&amp;""))="missing",LOWER(TRIM(H970&amp;""))=""),"Missing/",IFERROR(IF(OR(VALUE(H970)&lt;0,VALUE(H970)&gt;110),"Invalid","Valid"),"Check Format"))</f>
        <v>Valid</v>
      </c>
      <c r="U970">
        <f>IF(Raw_Data[[#This Row],[Age_Check]]="Valid",H970,"")</f>
        <v>70</v>
      </c>
      <c r="V970" t="str">
        <f>IF(OR(K970="",UPPER(TRIM(K970&amp;""))="",LOWER(TRIM(K970&amp;""))="",LOWER(TRIM(K970&amp;""))="",LOWER(TRIM(K970&amp;""))="missing"),"Missing/",IFERROR(IF(VALUE(K970)&lt;0,"Invalid","Valid"),"Check Format"))</f>
        <v>Valid</v>
      </c>
      <c r="W970" t="str">
        <f>IF(OR(E970="",F970=""),"Missing Date/Time",IFERROR(IF(F970&gt;E970,"Arrival After Appointment","OK"),"Check Format"))</f>
        <v>OK</v>
      </c>
      <c r="X970" t="str">
        <f>IF(OR(F970="",G970=""),"Missing Date/Time",IFERROR(IF(G970&lt;F970,"Discharge Before Arrival","OK"),"Check Format"))</f>
        <v>OK</v>
      </c>
    </row>
    <row r="971" spans="1:24" x14ac:dyDescent="0.25">
      <c r="A971" s="2" t="s">
        <v>1574</v>
      </c>
      <c r="B971" s="2" t="s">
        <v>495</v>
      </c>
      <c r="C971" s="3" t="s">
        <v>46</v>
      </c>
      <c r="D971" s="3" t="s">
        <v>20</v>
      </c>
      <c r="E971" s="4" t="s">
        <v>1575</v>
      </c>
      <c r="F971" s="4">
        <v>45736.286805555559</v>
      </c>
      <c r="G971" s="4">
        <v>45736.365277777775</v>
      </c>
      <c r="H971" s="5">
        <v>77</v>
      </c>
      <c r="I971" s="3" t="s">
        <v>39</v>
      </c>
      <c r="J971" s="3" t="s">
        <v>62</v>
      </c>
      <c r="K971" s="5">
        <v>64</v>
      </c>
      <c r="L971" s="5">
        <v>22</v>
      </c>
      <c r="M971" s="3" t="s">
        <v>50</v>
      </c>
      <c r="O971" s="5">
        <v>6</v>
      </c>
      <c r="P971" s="3" t="s">
        <v>25</v>
      </c>
      <c r="Q971" s="2">
        <v>183.71</v>
      </c>
      <c r="R971" s="3" t="s">
        <v>43</v>
      </c>
      <c r="S971">
        <f>COUNTIF(A:A,A971)</f>
        <v>1</v>
      </c>
      <c r="T971" t="str">
        <f>IF(OR(H971="",LOWER(TRIM(H971&amp;""))="missing",LOWER(TRIM(H971&amp;""))=""),"Missing/",IFERROR(IF(OR(VALUE(H971)&lt;0,VALUE(H971)&gt;110),"Invalid","Valid"),"Check Format"))</f>
        <v>Valid</v>
      </c>
      <c r="U971">
        <f>IF(Raw_Data[[#This Row],[Age_Check]]="Valid",H971,"")</f>
        <v>77</v>
      </c>
      <c r="V971" t="str">
        <f>IF(OR(K971="",UPPER(TRIM(K971&amp;""))="",LOWER(TRIM(K971&amp;""))="",LOWER(TRIM(K971&amp;""))="",LOWER(TRIM(K971&amp;""))="missing"),"Missing/",IFERROR(IF(VALUE(K971)&lt;0,"Invalid","Valid"),"Check Format"))</f>
        <v>Valid</v>
      </c>
      <c r="W971" t="str">
        <f>IF(OR(E971="",F971=""),"Missing Date/Time",IFERROR(IF(F971&gt;E971,"Arrival After Appointment","OK"),"Check Format"))</f>
        <v>OK</v>
      </c>
      <c r="X971" t="str">
        <f>IF(OR(F971="",G971=""),"Missing Date/Time",IFERROR(IF(G971&lt;F971,"Discharge Before Arrival","OK"),"Check Format"))</f>
        <v>OK</v>
      </c>
    </row>
    <row r="972" spans="1:24" x14ac:dyDescent="0.25">
      <c r="A972" s="2" t="s">
        <v>1576</v>
      </c>
      <c r="B972" s="2" t="s">
        <v>576</v>
      </c>
      <c r="C972" s="3" t="s">
        <v>19</v>
      </c>
      <c r="D972" s="3" t="s">
        <v>209</v>
      </c>
      <c r="E972" s="4">
        <v>45588.458333333336</v>
      </c>
      <c r="F972" s="4">
        <v>45588.45208333333</v>
      </c>
      <c r="G972" s="4">
        <v>45588.502083333333</v>
      </c>
      <c r="H972" s="5">
        <v>84</v>
      </c>
      <c r="I972" s="3" t="s">
        <v>90</v>
      </c>
      <c r="J972" s="3" t="s">
        <v>62</v>
      </c>
      <c r="K972" s="5">
        <v>19</v>
      </c>
      <c r="L972" s="5">
        <v>44</v>
      </c>
      <c r="M972" s="3" t="s">
        <v>23</v>
      </c>
      <c r="N972" t="s">
        <v>24</v>
      </c>
      <c r="O972" s="5">
        <v>3</v>
      </c>
      <c r="P972" s="3" t="s">
        <v>80</v>
      </c>
      <c r="Q972" s="2">
        <v>177.69</v>
      </c>
      <c r="R972" s="3" t="s">
        <v>26</v>
      </c>
      <c r="S972">
        <f>COUNTIF(A:A,A972)</f>
        <v>1</v>
      </c>
      <c r="T972" t="str">
        <f>IF(OR(H972="",LOWER(TRIM(H972&amp;""))="missing",LOWER(TRIM(H972&amp;""))=""),"Missing/",IFERROR(IF(OR(VALUE(H972)&lt;0,VALUE(H972)&gt;110),"Invalid","Valid"),"Check Format"))</f>
        <v>Valid</v>
      </c>
      <c r="U972">
        <f>IF(Raw_Data[[#This Row],[Age_Check]]="Valid",H972,"")</f>
        <v>84</v>
      </c>
      <c r="V972" t="str">
        <f>IF(OR(K972="",UPPER(TRIM(K972&amp;""))="",LOWER(TRIM(K972&amp;""))="",LOWER(TRIM(K972&amp;""))="",LOWER(TRIM(K972&amp;""))="missing"),"Missing/",IFERROR(IF(VALUE(K972)&lt;0,"Invalid","Valid"),"Check Format"))</f>
        <v>Valid</v>
      </c>
      <c r="W972" t="str">
        <f>IF(OR(E972="",F972=""),"Missing Date/Time",IFERROR(IF(F972&gt;E972,"Arrival After Appointment","OK"),"Check Format"))</f>
        <v>OK</v>
      </c>
      <c r="X972" t="str">
        <f>IF(OR(F972="",G972=""),"Missing Date/Time",IFERROR(IF(G972&lt;F972,"Discharge Before Arrival","OK"),"Check Format"))</f>
        <v>OK</v>
      </c>
    </row>
    <row r="973" spans="1:24" x14ac:dyDescent="0.25">
      <c r="A973" s="2" t="s">
        <v>1577</v>
      </c>
      <c r="B973" s="2" t="s">
        <v>1033</v>
      </c>
      <c r="C973" s="3" t="s">
        <v>94</v>
      </c>
      <c r="D973" s="3" t="s">
        <v>149</v>
      </c>
      <c r="E973" s="4">
        <v>45848.590277777781</v>
      </c>
      <c r="F973" s="4">
        <v>45848.574305555558</v>
      </c>
      <c r="G973" s="4">
        <v>45848.634027777778</v>
      </c>
      <c r="I973" s="3" t="s">
        <v>95</v>
      </c>
      <c r="J973" s="3" t="s">
        <v>67</v>
      </c>
      <c r="K973" s="5">
        <v>47</v>
      </c>
      <c r="L973" s="5">
        <v>16</v>
      </c>
      <c r="M973" s="3" t="s">
        <v>41</v>
      </c>
      <c r="O973" s="5">
        <v>6</v>
      </c>
      <c r="P973" s="3" t="s">
        <v>80</v>
      </c>
      <c r="Q973" s="2">
        <v>74.069999999999993</v>
      </c>
      <c r="R973" s="3" t="s">
        <v>43</v>
      </c>
      <c r="S973">
        <f>COUNTIF(A:A,A973)</f>
        <v>1</v>
      </c>
      <c r="T973" t="str">
        <f>IF(OR(H973="",LOWER(TRIM(H973&amp;""))="missing",LOWER(TRIM(H973&amp;""))=""),"Missing/",IFERROR(IF(OR(VALUE(H973)&lt;0,VALUE(H973)&gt;110),"Invalid","Valid"),"Check Format"))</f>
        <v>Missing/</v>
      </c>
      <c r="U973" t="str">
        <f>IF(Raw_Data[[#This Row],[Age_Check]]="Valid",H973,"")</f>
        <v/>
      </c>
      <c r="V973" t="str">
        <f>IF(OR(K973="",UPPER(TRIM(K973&amp;""))="",LOWER(TRIM(K973&amp;""))="",LOWER(TRIM(K973&amp;""))="",LOWER(TRIM(K973&amp;""))="missing"),"Missing/",IFERROR(IF(VALUE(K973)&lt;0,"Invalid","Valid"),"Check Format"))</f>
        <v>Valid</v>
      </c>
      <c r="W973" t="str">
        <f>IF(OR(E973="",F973=""),"Missing Date/Time",IFERROR(IF(F973&gt;E973,"Arrival After Appointment","OK"),"Check Format"))</f>
        <v>OK</v>
      </c>
      <c r="X973" t="str">
        <f>IF(OR(F973="",G973=""),"Missing Date/Time",IFERROR(IF(G973&lt;F973,"Discharge Before Arrival","OK"),"Check Format"))</f>
        <v>OK</v>
      </c>
    </row>
    <row r="974" spans="1:24" x14ac:dyDescent="0.25">
      <c r="A974" s="2" t="s">
        <v>1578</v>
      </c>
      <c r="B974" s="2" t="s">
        <v>530</v>
      </c>
      <c r="C974" s="3" t="s">
        <v>46</v>
      </c>
      <c r="D974" s="3" t="s">
        <v>115</v>
      </c>
      <c r="E974" s="4">
        <v>45730.670138888891</v>
      </c>
      <c r="F974" s="4">
        <v>45730.651388888888</v>
      </c>
      <c r="G974" s="4">
        <v>45730.760416666664</v>
      </c>
      <c r="H974" s="5">
        <v>68</v>
      </c>
      <c r="I974" s="3" t="s">
        <v>73</v>
      </c>
      <c r="J974" s="3" t="s">
        <v>22</v>
      </c>
      <c r="K974" s="5">
        <v>76</v>
      </c>
      <c r="L974" s="5">
        <v>54</v>
      </c>
      <c r="M974" s="3" t="s">
        <v>32</v>
      </c>
      <c r="N974" t="s">
        <v>91</v>
      </c>
      <c r="O974" s="5">
        <v>0</v>
      </c>
      <c r="P974" s="3" t="s">
        <v>25</v>
      </c>
      <c r="Q974" s="2">
        <v>94.02</v>
      </c>
      <c r="R974" s="3" t="s">
        <v>58</v>
      </c>
      <c r="S974">
        <f>COUNTIF(A:A,A974)</f>
        <v>1</v>
      </c>
      <c r="T974" t="str">
        <f>IF(OR(H974="",LOWER(TRIM(H974&amp;""))="missing",LOWER(TRIM(H974&amp;""))=""),"Missing/",IFERROR(IF(OR(VALUE(H974)&lt;0,VALUE(H974)&gt;110),"Invalid","Valid"),"Check Format"))</f>
        <v>Valid</v>
      </c>
      <c r="U974">
        <f>IF(Raw_Data[[#This Row],[Age_Check]]="Valid",H974,"")</f>
        <v>68</v>
      </c>
      <c r="V974" t="str">
        <f>IF(OR(K974="",UPPER(TRIM(K974&amp;""))="",LOWER(TRIM(K974&amp;""))="",LOWER(TRIM(K974&amp;""))="",LOWER(TRIM(K974&amp;""))="missing"),"Missing/",IFERROR(IF(VALUE(K974)&lt;0,"Invalid","Valid"),"Check Format"))</f>
        <v>Valid</v>
      </c>
      <c r="W974" t="str">
        <f>IF(OR(E974="",F974=""),"Missing Date/Time",IFERROR(IF(F974&gt;E974,"Arrival After Appointment","OK"),"Check Format"))</f>
        <v>OK</v>
      </c>
      <c r="X974" t="str">
        <f>IF(OR(F974="",G974=""),"Missing Date/Time",IFERROR(IF(G974&lt;F974,"Discharge Before Arrival","OK"),"Check Format"))</f>
        <v>OK</v>
      </c>
    </row>
    <row r="975" spans="1:24" x14ac:dyDescent="0.25">
      <c r="A975" s="2" t="s">
        <v>1579</v>
      </c>
      <c r="B975" s="2" t="s">
        <v>89</v>
      </c>
      <c r="C975" s="3" t="s">
        <v>46</v>
      </c>
      <c r="D975" s="3" t="s">
        <v>106</v>
      </c>
      <c r="E975" s="4">
        <v>45783.409722222219</v>
      </c>
      <c r="F975" s="4">
        <v>45783.407638888886</v>
      </c>
      <c r="G975" s="4">
        <v>45783.464583333334</v>
      </c>
      <c r="H975" s="5">
        <v>40</v>
      </c>
      <c r="I975" s="3" t="s">
        <v>73</v>
      </c>
      <c r="J975" s="3" t="s">
        <v>22</v>
      </c>
      <c r="K975" s="5">
        <v>74</v>
      </c>
      <c r="L975" s="5">
        <v>5</v>
      </c>
      <c r="M975" s="3" t="s">
        <v>32</v>
      </c>
      <c r="O975" s="5">
        <v>3</v>
      </c>
      <c r="P975" s="3" t="s">
        <v>25</v>
      </c>
      <c r="R975" s="3" t="s">
        <v>58</v>
      </c>
      <c r="S975">
        <f>COUNTIF(A:A,A975)</f>
        <v>1</v>
      </c>
      <c r="T975" t="str">
        <f>IF(OR(H975="",LOWER(TRIM(H975&amp;""))="missing",LOWER(TRIM(H975&amp;""))=""),"Missing/",IFERROR(IF(OR(VALUE(H975)&lt;0,VALUE(H975)&gt;110),"Invalid","Valid"),"Check Format"))</f>
        <v>Valid</v>
      </c>
      <c r="U975">
        <f>IF(Raw_Data[[#This Row],[Age_Check]]="Valid",H975,"")</f>
        <v>40</v>
      </c>
      <c r="V975" t="str">
        <f>IF(OR(K975="",UPPER(TRIM(K975&amp;""))="",LOWER(TRIM(K975&amp;""))="",LOWER(TRIM(K975&amp;""))="",LOWER(TRIM(K975&amp;""))="missing"),"Missing/",IFERROR(IF(VALUE(K975)&lt;0,"Invalid","Valid"),"Check Format"))</f>
        <v>Valid</v>
      </c>
      <c r="W975" t="str">
        <f>IF(OR(E975="",F975=""),"Missing Date/Time",IFERROR(IF(F975&gt;E975,"Arrival After Appointment","OK"),"Check Format"))</f>
        <v>OK</v>
      </c>
      <c r="X975" t="str">
        <f>IF(OR(F975="",G975=""),"Missing Date/Time",IFERROR(IF(G975&lt;F975,"Discharge Before Arrival","OK"),"Check Format"))</f>
        <v>OK</v>
      </c>
    </row>
    <row r="976" spans="1:24" x14ac:dyDescent="0.25">
      <c r="A976" s="2" t="s">
        <v>1580</v>
      </c>
      <c r="B976" s="2" t="s">
        <v>1549</v>
      </c>
      <c r="C976" s="3" t="s">
        <v>29</v>
      </c>
      <c r="D976" s="3" t="s">
        <v>66</v>
      </c>
      <c r="E976" s="4">
        <v>45650.302083333336</v>
      </c>
      <c r="F976" s="4">
        <v>45650.286111111112</v>
      </c>
      <c r="G976" s="4">
        <v>45650.349305555559</v>
      </c>
      <c r="H976" s="5">
        <v>76</v>
      </c>
      <c r="J976" s="3" t="s">
        <v>67</v>
      </c>
      <c r="K976" s="5">
        <v>37</v>
      </c>
      <c r="L976" s="5">
        <v>31</v>
      </c>
      <c r="M976" s="3" t="s">
        <v>50</v>
      </c>
      <c r="O976" s="5">
        <v>2</v>
      </c>
      <c r="P976" s="3" t="s">
        <v>80</v>
      </c>
      <c r="R976" s="3" t="s">
        <v>75</v>
      </c>
      <c r="S976">
        <f>COUNTIF(A:A,A976)</f>
        <v>1</v>
      </c>
      <c r="T976" t="str">
        <f>IF(OR(H976="",LOWER(TRIM(H976&amp;""))="missing",LOWER(TRIM(H976&amp;""))=""),"Missing/",IFERROR(IF(OR(VALUE(H976)&lt;0,VALUE(H976)&gt;110),"Invalid","Valid"),"Check Format"))</f>
        <v>Valid</v>
      </c>
      <c r="U976">
        <f>IF(Raw_Data[[#This Row],[Age_Check]]="Valid",H976,"")</f>
        <v>76</v>
      </c>
      <c r="V976" t="str">
        <f>IF(OR(K976="",UPPER(TRIM(K976&amp;""))="",LOWER(TRIM(K976&amp;""))="",LOWER(TRIM(K976&amp;""))="",LOWER(TRIM(K976&amp;""))="missing"),"Missing/",IFERROR(IF(VALUE(K976)&lt;0,"Invalid","Valid"),"Check Format"))</f>
        <v>Valid</v>
      </c>
      <c r="W976" t="str">
        <f>IF(OR(E976="",F976=""),"Missing Date/Time",IFERROR(IF(F976&gt;E976,"Arrival After Appointment","OK"),"Check Format"))</f>
        <v>OK</v>
      </c>
      <c r="X976" t="str">
        <f>IF(OR(F976="",G976=""),"Missing Date/Time",IFERROR(IF(G976&lt;F976,"Discharge Before Arrival","OK"),"Check Format"))</f>
        <v>OK</v>
      </c>
    </row>
    <row r="977" spans="1:24" x14ac:dyDescent="0.25">
      <c r="A977" s="2" t="s">
        <v>1581</v>
      </c>
      <c r="B977" s="2" t="s">
        <v>708</v>
      </c>
      <c r="C977" s="3" t="s">
        <v>94</v>
      </c>
      <c r="D977" s="3" t="s">
        <v>115</v>
      </c>
      <c r="E977" s="4">
        <v>45609.482638888891</v>
      </c>
      <c r="G977" s="4">
        <v>45609.511111111111</v>
      </c>
      <c r="H977" s="5">
        <v>53</v>
      </c>
      <c r="I977" s="3" t="s">
        <v>73</v>
      </c>
      <c r="J977" s="3" t="s">
        <v>22</v>
      </c>
      <c r="K977" s="5">
        <v>26</v>
      </c>
      <c r="L977" s="5">
        <v>15</v>
      </c>
      <c r="M977" s="3" t="s">
        <v>41</v>
      </c>
      <c r="N977" t="s">
        <v>100</v>
      </c>
      <c r="O977" s="5">
        <v>0</v>
      </c>
      <c r="P977" s="3" t="s">
        <v>25</v>
      </c>
      <c r="Q977" s="2">
        <v>91.58</v>
      </c>
      <c r="R977" s="3" t="s">
        <v>26</v>
      </c>
      <c r="S977">
        <f>COUNTIF(A:A,A977)</f>
        <v>1</v>
      </c>
      <c r="T977" t="str">
        <f>IF(OR(H977="",LOWER(TRIM(H977&amp;""))="missing",LOWER(TRIM(H977&amp;""))=""),"Missing/",IFERROR(IF(OR(VALUE(H977)&lt;0,VALUE(H977)&gt;110),"Invalid","Valid"),"Check Format"))</f>
        <v>Valid</v>
      </c>
      <c r="U977">
        <f>IF(Raw_Data[[#This Row],[Age_Check]]="Valid",H977,"")</f>
        <v>53</v>
      </c>
      <c r="V977" t="str">
        <f>IF(OR(K977="",UPPER(TRIM(K977&amp;""))="",LOWER(TRIM(K977&amp;""))="",LOWER(TRIM(K977&amp;""))="",LOWER(TRIM(K977&amp;""))="missing"),"Missing/",IFERROR(IF(VALUE(K977)&lt;0,"Invalid","Valid"),"Check Format"))</f>
        <v>Valid</v>
      </c>
      <c r="W977" t="str">
        <f>IF(OR(E977="",F977=""),"Missing Date/Time",IFERROR(IF(F977&gt;E977,"Arrival After Appointment","OK"),"Check Format"))</f>
        <v>Missing Date/Time</v>
      </c>
      <c r="X977" t="str">
        <f>IF(OR(F977="",G977=""),"Missing Date/Time",IFERROR(IF(G977&lt;F977,"Discharge Before Arrival","OK"),"Check Format"))</f>
        <v>Missing Date/Time</v>
      </c>
    </row>
    <row r="978" spans="1:24" x14ac:dyDescent="0.25">
      <c r="A978" s="2" t="s">
        <v>1582</v>
      </c>
      <c r="B978" s="2" t="s">
        <v>310</v>
      </c>
      <c r="C978" s="3" t="s">
        <v>29</v>
      </c>
      <c r="D978" s="3" t="s">
        <v>174</v>
      </c>
      <c r="E978" s="4">
        <v>45996.642361111109</v>
      </c>
      <c r="F978" s="4">
        <v>45996.634722222225</v>
      </c>
      <c r="G978" s="4">
        <v>45996.709027777775</v>
      </c>
      <c r="H978" s="5">
        <v>145</v>
      </c>
      <c r="I978" s="3" t="s">
        <v>73</v>
      </c>
      <c r="J978" s="3" t="s">
        <v>62</v>
      </c>
      <c r="K978" s="5">
        <v>68</v>
      </c>
      <c r="L978" s="5">
        <v>28</v>
      </c>
      <c r="M978" s="3" t="s">
        <v>41</v>
      </c>
      <c r="P978" s="3" t="s">
        <v>25</v>
      </c>
      <c r="Q978" s="2">
        <v>0</v>
      </c>
      <c r="R978" s="3" t="s">
        <v>58</v>
      </c>
      <c r="S978">
        <f>COUNTIF(A:A,A978)</f>
        <v>1</v>
      </c>
      <c r="T978" t="str">
        <f>IF(OR(H978="",LOWER(TRIM(H978&amp;""))="missing",LOWER(TRIM(H978&amp;""))=""),"Missing/",IFERROR(IF(OR(VALUE(H978)&lt;0,VALUE(H978)&gt;110),"Invalid","Valid"),"Check Format"))</f>
        <v>Invalid</v>
      </c>
      <c r="U978" t="str">
        <f>IF(Raw_Data[[#This Row],[Age_Check]]="Valid",H978,"")</f>
        <v/>
      </c>
      <c r="V978" t="str">
        <f>IF(OR(K978="",UPPER(TRIM(K978&amp;""))="",LOWER(TRIM(K978&amp;""))="",LOWER(TRIM(K978&amp;""))="",LOWER(TRIM(K978&amp;""))="missing"),"Missing/",IFERROR(IF(VALUE(K978)&lt;0,"Invalid","Valid"),"Check Format"))</f>
        <v>Valid</v>
      </c>
      <c r="W978" t="str">
        <f>IF(OR(E978="",F978=""),"Missing Date/Time",IFERROR(IF(F978&gt;E978,"Arrival After Appointment","OK"),"Check Format"))</f>
        <v>OK</v>
      </c>
      <c r="X978" t="str">
        <f>IF(OR(F978="",G978=""),"Missing Date/Time",IFERROR(IF(G978&lt;F978,"Discharge Before Arrival","OK"),"Check Format"))</f>
        <v>OK</v>
      </c>
    </row>
    <row r="979" spans="1:24" x14ac:dyDescent="0.25">
      <c r="A979" s="2" t="s">
        <v>1583</v>
      </c>
      <c r="B979" s="2" t="s">
        <v>395</v>
      </c>
      <c r="D979" s="3" t="s">
        <v>20</v>
      </c>
      <c r="E979" s="4">
        <v>45926.576388888891</v>
      </c>
      <c r="F979" s="4">
        <v>45926.576388888891</v>
      </c>
      <c r="H979" s="5">
        <v>75</v>
      </c>
      <c r="I979" s="3" t="s">
        <v>95</v>
      </c>
      <c r="J979" s="3" t="s">
        <v>150</v>
      </c>
      <c r="K979" s="5">
        <v>0</v>
      </c>
      <c r="L979" s="5">
        <v>21</v>
      </c>
      <c r="M979" s="3" t="s">
        <v>63</v>
      </c>
      <c r="N979" t="s">
        <v>91</v>
      </c>
      <c r="O979" s="5">
        <v>6</v>
      </c>
      <c r="P979" s="3" t="s">
        <v>25</v>
      </c>
      <c r="Q979" s="2">
        <v>181.61</v>
      </c>
      <c r="R979" s="3" t="s">
        <v>43</v>
      </c>
      <c r="S979">
        <f>COUNTIF(A:A,A979)</f>
        <v>1</v>
      </c>
      <c r="T979" t="str">
        <f>IF(OR(H979="",LOWER(TRIM(H979&amp;""))="missing",LOWER(TRIM(H979&amp;""))=""),"Missing/",IFERROR(IF(OR(VALUE(H979)&lt;0,VALUE(H979)&gt;110),"Invalid","Valid"),"Check Format"))</f>
        <v>Valid</v>
      </c>
      <c r="U979">
        <f>IF(Raw_Data[[#This Row],[Age_Check]]="Valid",H979,"")</f>
        <v>75</v>
      </c>
      <c r="V979" t="str">
        <f>IF(OR(K979="",UPPER(TRIM(K979&amp;""))="",LOWER(TRIM(K979&amp;""))="",LOWER(TRIM(K979&amp;""))="",LOWER(TRIM(K979&amp;""))="missing"),"Missing/",IFERROR(IF(VALUE(K979)&lt;0,"Invalid","Valid"),"Check Format"))</f>
        <v>Valid</v>
      </c>
      <c r="W979" t="str">
        <f>IF(OR(E979="",F979=""),"Missing Date/Time",IFERROR(IF(F979&gt;E979,"Arrival After Appointment","OK"),"Check Format"))</f>
        <v>OK</v>
      </c>
      <c r="X979" t="str">
        <f>IF(OR(F979="",G979=""),"Missing Date/Time",IFERROR(IF(G979&lt;F979,"Discharge Before Arrival","OK"),"Check Format"))</f>
        <v>Missing Date/Time</v>
      </c>
    </row>
    <row r="980" spans="1:24" x14ac:dyDescent="0.25">
      <c r="A980" s="2" t="s">
        <v>1584</v>
      </c>
      <c r="B980" s="2" t="s">
        <v>781</v>
      </c>
      <c r="C980" s="3" t="s">
        <v>94</v>
      </c>
      <c r="D980" s="3" t="s">
        <v>47</v>
      </c>
      <c r="E980" s="4">
        <v>45474.361111111109</v>
      </c>
      <c r="F980" s="4">
        <v>45474.344444444447</v>
      </c>
      <c r="G980" s="4">
        <v>45474.377083333333</v>
      </c>
      <c r="H980" s="5">
        <v>5</v>
      </c>
      <c r="J980" s="3" t="s">
        <v>67</v>
      </c>
      <c r="K980" s="5">
        <v>0</v>
      </c>
      <c r="L980" s="5">
        <v>23</v>
      </c>
      <c r="M980" s="3" t="s">
        <v>41</v>
      </c>
      <c r="P980" s="3" t="s">
        <v>25</v>
      </c>
      <c r="Q980" s="2">
        <v>102.9</v>
      </c>
      <c r="R980" s="3" t="s">
        <v>58</v>
      </c>
      <c r="S980">
        <f>COUNTIF(A:A,A980)</f>
        <v>1</v>
      </c>
      <c r="T980" t="str">
        <f>IF(OR(H980="",LOWER(TRIM(H980&amp;""))="missing",LOWER(TRIM(H980&amp;""))=""),"Missing/",IFERROR(IF(OR(VALUE(H980)&lt;0,VALUE(H980)&gt;110),"Invalid","Valid"),"Check Format"))</f>
        <v>Valid</v>
      </c>
      <c r="U980">
        <f>IF(Raw_Data[[#This Row],[Age_Check]]="Valid",H980,"")</f>
        <v>5</v>
      </c>
      <c r="V980" t="str">
        <f>IF(OR(K980="",UPPER(TRIM(K980&amp;""))="",LOWER(TRIM(K980&amp;""))="",LOWER(TRIM(K980&amp;""))="",LOWER(TRIM(K980&amp;""))="missing"),"Missing/",IFERROR(IF(VALUE(K980)&lt;0,"Invalid","Valid"),"Check Format"))</f>
        <v>Valid</v>
      </c>
      <c r="W980" t="str">
        <f>IF(OR(E980="",F980=""),"Missing Date/Time",IFERROR(IF(F980&gt;E980,"Arrival After Appointment","OK"),"Check Format"))</f>
        <v>OK</v>
      </c>
      <c r="X980" t="str">
        <f>IF(OR(F980="",G980=""),"Missing Date/Time",IFERROR(IF(G980&lt;F980,"Discharge Before Arrival","OK"),"Check Format"))</f>
        <v>OK</v>
      </c>
    </row>
    <row r="981" spans="1:24" x14ac:dyDescent="0.25">
      <c r="A981" s="2" t="s">
        <v>1585</v>
      </c>
      <c r="B981" s="2" t="s">
        <v>1069</v>
      </c>
      <c r="C981" s="3" t="s">
        <v>94</v>
      </c>
      <c r="D981" s="3" t="s">
        <v>66</v>
      </c>
      <c r="E981" s="4">
        <v>45693.506944444445</v>
      </c>
      <c r="F981" s="4">
        <v>45693.50277777778</v>
      </c>
      <c r="G981" s="4">
        <v>45693.597916666666</v>
      </c>
      <c r="I981" s="3" t="s">
        <v>95</v>
      </c>
      <c r="J981" s="3" t="s">
        <v>150</v>
      </c>
      <c r="K981" s="5">
        <v>106</v>
      </c>
      <c r="L981" s="5">
        <v>25</v>
      </c>
      <c r="M981" s="3" t="s">
        <v>68</v>
      </c>
      <c r="N981" t="s">
        <v>24</v>
      </c>
      <c r="O981" s="5">
        <v>6</v>
      </c>
      <c r="P981" s="3" t="s">
        <v>80</v>
      </c>
      <c r="Q981" s="2">
        <v>175.64</v>
      </c>
      <c r="R981" s="3" t="s">
        <v>58</v>
      </c>
      <c r="S981">
        <f>COUNTIF(A:A,A981)</f>
        <v>1</v>
      </c>
      <c r="T981" t="str">
        <f>IF(OR(H981="",LOWER(TRIM(H981&amp;""))="missing",LOWER(TRIM(H981&amp;""))=""),"Missing/",IFERROR(IF(OR(VALUE(H981)&lt;0,VALUE(H981)&gt;110),"Invalid","Valid"),"Check Format"))</f>
        <v>Missing/</v>
      </c>
      <c r="U981" t="str">
        <f>IF(Raw_Data[[#This Row],[Age_Check]]="Valid",H981,"")</f>
        <v/>
      </c>
      <c r="V981" t="str">
        <f>IF(OR(K981="",UPPER(TRIM(K981&amp;""))="",LOWER(TRIM(K981&amp;""))="",LOWER(TRIM(K981&amp;""))="",LOWER(TRIM(K981&amp;""))="missing"),"Missing/",IFERROR(IF(VALUE(K981)&lt;0,"Invalid","Valid"),"Check Format"))</f>
        <v>Valid</v>
      </c>
      <c r="W981" t="str">
        <f>IF(OR(E981="",F981=""),"Missing Date/Time",IFERROR(IF(F981&gt;E981,"Arrival After Appointment","OK"),"Check Format"))</f>
        <v>OK</v>
      </c>
      <c r="X981" t="str">
        <f>IF(OR(F981="",G981=""),"Missing Date/Time",IFERROR(IF(G981&lt;F981,"Discharge Before Arrival","OK"),"Check Format"))</f>
        <v>OK</v>
      </c>
    </row>
    <row r="982" spans="1:24" x14ac:dyDescent="0.25">
      <c r="A982" s="2" t="s">
        <v>1586</v>
      </c>
      <c r="B982" s="2" t="s">
        <v>472</v>
      </c>
      <c r="C982" s="3" t="s">
        <v>94</v>
      </c>
      <c r="D982" s="3" t="s">
        <v>99</v>
      </c>
      <c r="E982" s="4">
        <v>45734.583333333336</v>
      </c>
      <c r="G982" s="4">
        <v>45734.629861111112</v>
      </c>
      <c r="K982" s="5">
        <v>62</v>
      </c>
      <c r="L982" s="5">
        <v>5</v>
      </c>
      <c r="M982" s="3" t="s">
        <v>23</v>
      </c>
      <c r="O982" s="5">
        <v>3</v>
      </c>
      <c r="P982" s="3" t="s">
        <v>25</v>
      </c>
      <c r="Q982" s="2">
        <v>206.46</v>
      </c>
      <c r="R982" s="3" t="s">
        <v>43</v>
      </c>
      <c r="S982">
        <f>COUNTIF(A:A,A982)</f>
        <v>1</v>
      </c>
      <c r="T982" t="str">
        <f>IF(OR(H982="",LOWER(TRIM(H982&amp;""))="missing",LOWER(TRIM(H982&amp;""))=""),"Missing/",IFERROR(IF(OR(VALUE(H982)&lt;0,VALUE(H982)&gt;110),"Invalid","Valid"),"Check Format"))</f>
        <v>Missing/</v>
      </c>
      <c r="U982" t="str">
        <f>IF(Raw_Data[[#This Row],[Age_Check]]="Valid",H982,"")</f>
        <v/>
      </c>
      <c r="V982" t="str">
        <f>IF(OR(K982="",UPPER(TRIM(K982&amp;""))="",LOWER(TRIM(K982&amp;""))="",LOWER(TRIM(K982&amp;""))="",LOWER(TRIM(K982&amp;""))="missing"),"Missing/",IFERROR(IF(VALUE(K982)&lt;0,"Invalid","Valid"),"Check Format"))</f>
        <v>Valid</v>
      </c>
      <c r="W982" t="str">
        <f>IF(OR(E982="",F982=""),"Missing Date/Time",IFERROR(IF(F982&gt;E982,"Arrival After Appointment","OK"),"Check Format"))</f>
        <v>Missing Date/Time</v>
      </c>
      <c r="X982" t="str">
        <f>IF(OR(F982="",G982=""),"Missing Date/Time",IFERROR(IF(G982&lt;F982,"Discharge Before Arrival","OK"),"Check Format"))</f>
        <v>Missing Date/Time</v>
      </c>
    </row>
    <row r="983" spans="1:24" x14ac:dyDescent="0.25">
      <c r="A983" s="2" t="s">
        <v>1587</v>
      </c>
      <c r="B983" s="2" t="s">
        <v>515</v>
      </c>
      <c r="C983" s="3" t="s">
        <v>94</v>
      </c>
      <c r="D983" s="3" t="s">
        <v>115</v>
      </c>
      <c r="E983" s="4">
        <v>45842.486111111109</v>
      </c>
      <c r="F983" s="4">
        <v>45842.47152777778</v>
      </c>
      <c r="I983" s="3" t="s">
        <v>95</v>
      </c>
      <c r="J983" s="3" t="s">
        <v>150</v>
      </c>
      <c r="K983" s="5">
        <v>65</v>
      </c>
      <c r="L983" s="5">
        <v>41</v>
      </c>
      <c r="M983" s="3" t="s">
        <v>63</v>
      </c>
      <c r="N983" t="s">
        <v>24</v>
      </c>
      <c r="O983" s="5">
        <v>2</v>
      </c>
      <c r="P983" s="3" t="s">
        <v>25</v>
      </c>
      <c r="Q983" s="2">
        <v>459.1</v>
      </c>
      <c r="R983" s="3" t="s">
        <v>58</v>
      </c>
      <c r="S983">
        <f>COUNTIF(A:A,A983)</f>
        <v>1</v>
      </c>
      <c r="T983" t="str">
        <f>IF(OR(H983="",LOWER(TRIM(H983&amp;""))="missing",LOWER(TRIM(H983&amp;""))=""),"Missing/",IFERROR(IF(OR(VALUE(H983)&lt;0,VALUE(H983)&gt;110),"Invalid","Valid"),"Check Format"))</f>
        <v>Missing/</v>
      </c>
      <c r="U983" t="str">
        <f>IF(Raw_Data[[#This Row],[Age_Check]]="Valid",H983,"")</f>
        <v/>
      </c>
      <c r="V983" t="str">
        <f>IF(OR(K983="",UPPER(TRIM(K983&amp;""))="",LOWER(TRIM(K983&amp;""))="",LOWER(TRIM(K983&amp;""))="",LOWER(TRIM(K983&amp;""))="missing"),"Missing/",IFERROR(IF(VALUE(K983)&lt;0,"Invalid","Valid"),"Check Format"))</f>
        <v>Valid</v>
      </c>
      <c r="W983" t="str">
        <f>IF(OR(E983="",F983=""),"Missing Date/Time",IFERROR(IF(F983&gt;E983,"Arrival After Appointment","OK"),"Check Format"))</f>
        <v>OK</v>
      </c>
      <c r="X983" t="str">
        <f>IF(OR(F983="",G983=""),"Missing Date/Time",IFERROR(IF(G983&lt;F983,"Discharge Before Arrival","OK"),"Check Format"))</f>
        <v>Missing Date/Time</v>
      </c>
    </row>
    <row r="984" spans="1:24" x14ac:dyDescent="0.25">
      <c r="A984" s="2" t="s">
        <v>1588</v>
      </c>
      <c r="B984" s="2" t="s">
        <v>1589</v>
      </c>
      <c r="C984" s="3" t="s">
        <v>94</v>
      </c>
      <c r="D984" s="3" t="s">
        <v>174</v>
      </c>
      <c r="E984" s="4">
        <v>45664.763888888891</v>
      </c>
      <c r="F984" s="4">
        <v>45664.744444444441</v>
      </c>
      <c r="G984" s="4">
        <v>45664.807638888888</v>
      </c>
      <c r="I984" s="3" t="s">
        <v>95</v>
      </c>
      <c r="J984" s="3" t="s">
        <v>22</v>
      </c>
      <c r="K984" s="5">
        <v>0</v>
      </c>
      <c r="L984" s="5">
        <v>63</v>
      </c>
      <c r="M984" s="3" t="s">
        <v>23</v>
      </c>
      <c r="P984" s="3" t="s">
        <v>80</v>
      </c>
      <c r="Q984" s="2">
        <v>122</v>
      </c>
      <c r="R984" s="3" t="s">
        <v>58</v>
      </c>
      <c r="S984">
        <f>COUNTIF(A:A,A984)</f>
        <v>1</v>
      </c>
      <c r="T984" t="str">
        <f>IF(OR(H984="",LOWER(TRIM(H984&amp;""))="missing",LOWER(TRIM(H984&amp;""))=""),"Missing/",IFERROR(IF(OR(VALUE(H984)&lt;0,VALUE(H984)&gt;110),"Invalid","Valid"),"Check Format"))</f>
        <v>Missing/</v>
      </c>
      <c r="U984" t="str">
        <f>IF(Raw_Data[[#This Row],[Age_Check]]="Valid",H984,"")</f>
        <v/>
      </c>
      <c r="V984" t="str">
        <f>IF(OR(K984="",UPPER(TRIM(K984&amp;""))="",LOWER(TRIM(K984&amp;""))="",LOWER(TRIM(K984&amp;""))="",LOWER(TRIM(K984&amp;""))="missing"),"Missing/",IFERROR(IF(VALUE(K984)&lt;0,"Invalid","Valid"),"Check Format"))</f>
        <v>Valid</v>
      </c>
      <c r="W984" t="str">
        <f>IF(OR(E984="",F984=""),"Missing Date/Time",IFERROR(IF(F984&gt;E984,"Arrival After Appointment","OK"),"Check Format"))</f>
        <v>OK</v>
      </c>
      <c r="X984" t="str">
        <f>IF(OR(F984="",G984=""),"Missing Date/Time",IFERROR(IF(G984&lt;F984,"Discharge Before Arrival","OK"),"Check Format"))</f>
        <v>OK</v>
      </c>
    </row>
    <row r="985" spans="1:24" x14ac:dyDescent="0.25">
      <c r="A985" s="2" t="s">
        <v>1590</v>
      </c>
      <c r="B985" s="2" t="s">
        <v>542</v>
      </c>
      <c r="C985" s="3" t="s">
        <v>94</v>
      </c>
      <c r="D985" s="3" t="s">
        <v>20</v>
      </c>
      <c r="E985" s="4" t="s">
        <v>1591</v>
      </c>
      <c r="F985" s="4">
        <v>45709.388194444444</v>
      </c>
      <c r="G985" s="4">
        <v>45709.464583333334</v>
      </c>
      <c r="I985" s="3" t="s">
        <v>95</v>
      </c>
      <c r="J985" s="3" t="s">
        <v>171</v>
      </c>
      <c r="K985" s="5">
        <v>68</v>
      </c>
      <c r="L985" s="5">
        <v>600</v>
      </c>
      <c r="M985" s="3" t="s">
        <v>23</v>
      </c>
      <c r="O985" s="5">
        <v>1</v>
      </c>
      <c r="P985" s="3" t="s">
        <v>25</v>
      </c>
      <c r="Q985" s="2">
        <v>111.06</v>
      </c>
      <c r="R985" s="3" t="s">
        <v>26</v>
      </c>
      <c r="S985">
        <f>COUNTIF(A:A,A985)</f>
        <v>1</v>
      </c>
      <c r="T985" t="str">
        <f>IF(OR(H985="",LOWER(TRIM(H985&amp;""))="missing",LOWER(TRIM(H985&amp;""))=""),"Missing/",IFERROR(IF(OR(VALUE(H985)&lt;0,VALUE(H985)&gt;110),"Invalid","Valid"),"Check Format"))</f>
        <v>Missing/</v>
      </c>
      <c r="U985" t="str">
        <f>IF(Raw_Data[[#This Row],[Age_Check]]="Valid",H985,"")</f>
        <v/>
      </c>
      <c r="V985" t="str">
        <f>IF(OR(K985="",UPPER(TRIM(K985&amp;""))="",LOWER(TRIM(K985&amp;""))="",LOWER(TRIM(K985&amp;""))="",LOWER(TRIM(K985&amp;""))="missing"),"Missing/",IFERROR(IF(VALUE(K985)&lt;0,"Invalid","Valid"),"Check Format"))</f>
        <v>Valid</v>
      </c>
      <c r="W985" t="str">
        <f>IF(OR(E985="",F985=""),"Missing Date/Time",IFERROR(IF(F985&gt;E985,"Arrival After Appointment","OK"),"Check Format"))</f>
        <v>OK</v>
      </c>
      <c r="X985" t="str">
        <f>IF(OR(F985="",G985=""),"Missing Date/Time",IFERROR(IF(G985&lt;F985,"Discharge Before Arrival","OK"),"Check Format"))</f>
        <v>OK</v>
      </c>
    </row>
    <row r="986" spans="1:24" x14ac:dyDescent="0.25">
      <c r="A986" s="2" t="s">
        <v>1592</v>
      </c>
      <c r="B986" s="2" t="s">
        <v>353</v>
      </c>
      <c r="C986" s="3" t="s">
        <v>37</v>
      </c>
      <c r="D986" s="3" t="s">
        <v>20</v>
      </c>
      <c r="E986" s="4">
        <v>45341.5</v>
      </c>
      <c r="F986" s="4">
        <v>45341.5</v>
      </c>
      <c r="G986" s="4">
        <v>45341.552083333336</v>
      </c>
      <c r="H986" s="5">
        <v>145</v>
      </c>
      <c r="I986" s="3" t="s">
        <v>73</v>
      </c>
      <c r="J986" s="3" t="s">
        <v>67</v>
      </c>
      <c r="K986" s="5">
        <v>38</v>
      </c>
      <c r="L986" s="5">
        <v>37</v>
      </c>
      <c r="N986" t="s">
        <v>103</v>
      </c>
      <c r="O986" s="5">
        <v>6</v>
      </c>
      <c r="P986" s="3" t="s">
        <v>25</v>
      </c>
      <c r="Q986" s="2">
        <v>23.63</v>
      </c>
      <c r="R986" s="3" t="s">
        <v>43</v>
      </c>
      <c r="S986">
        <f>COUNTIF(A:A,A986)</f>
        <v>1</v>
      </c>
      <c r="T986" t="str">
        <f>IF(OR(H986="",LOWER(TRIM(H986&amp;""))="missing",LOWER(TRIM(H986&amp;""))=""),"Missing/",IFERROR(IF(OR(VALUE(H986)&lt;0,VALUE(H986)&gt;110),"Invalid","Valid"),"Check Format"))</f>
        <v>Invalid</v>
      </c>
      <c r="U986" t="str">
        <f>IF(Raw_Data[[#This Row],[Age_Check]]="Valid",H986,"")</f>
        <v/>
      </c>
      <c r="V986" t="str">
        <f>IF(OR(K986="",UPPER(TRIM(K986&amp;""))="",LOWER(TRIM(K986&amp;""))="",LOWER(TRIM(K986&amp;""))="",LOWER(TRIM(K986&amp;""))="missing"),"Missing/",IFERROR(IF(VALUE(K986)&lt;0,"Invalid","Valid"),"Check Format"))</f>
        <v>Valid</v>
      </c>
      <c r="W986" t="str">
        <f>IF(OR(E986="",F986=""),"Missing Date/Time",IFERROR(IF(F986&gt;E986,"Arrival After Appointment","OK"),"Check Format"))</f>
        <v>OK</v>
      </c>
      <c r="X986" t="str">
        <f>IF(OR(F986="",G986=""),"Missing Date/Time",IFERROR(IF(G986&lt;F986,"Discharge Before Arrival","OK"),"Check Format"))</f>
        <v>OK</v>
      </c>
    </row>
    <row r="987" spans="1:24" x14ac:dyDescent="0.25">
      <c r="A987" s="2" t="s">
        <v>1233</v>
      </c>
      <c r="B987" s="2" t="s">
        <v>1219</v>
      </c>
      <c r="C987" s="3" t="s">
        <v>37</v>
      </c>
      <c r="D987" s="3" t="s">
        <v>38</v>
      </c>
      <c r="E987" s="4">
        <v>45859.319444444445</v>
      </c>
      <c r="F987" s="4">
        <v>45859.304861111108</v>
      </c>
      <c r="G987" s="4">
        <v>45859.377083333333</v>
      </c>
      <c r="H987" s="5">
        <v>67</v>
      </c>
      <c r="I987" s="3" t="s">
        <v>95</v>
      </c>
      <c r="J987" s="3" t="s">
        <v>62</v>
      </c>
      <c r="K987" s="5">
        <v>57</v>
      </c>
      <c r="L987" s="5">
        <v>26</v>
      </c>
      <c r="M987" s="3" t="s">
        <v>87</v>
      </c>
      <c r="N987" t="s">
        <v>24</v>
      </c>
      <c r="O987" s="5">
        <v>6</v>
      </c>
      <c r="P987" s="3" t="s">
        <v>42</v>
      </c>
      <c r="Q987" s="2">
        <v>157.41999999999999</v>
      </c>
      <c r="R987" s="3" t="s">
        <v>58</v>
      </c>
      <c r="S987">
        <f>COUNTIF(A:A,A987)</f>
        <v>2</v>
      </c>
      <c r="T987" t="str">
        <f>IF(OR(H987="",LOWER(TRIM(H987&amp;""))="missing",LOWER(TRIM(H987&amp;""))=""),"Missing/",IFERROR(IF(OR(VALUE(H987)&lt;0,VALUE(H987)&gt;110),"Invalid","Valid"),"Check Format"))</f>
        <v>Valid</v>
      </c>
      <c r="U987">
        <f>IF(Raw_Data[[#This Row],[Age_Check]]="Valid",H987,"")</f>
        <v>67</v>
      </c>
      <c r="V987" t="str">
        <f>IF(OR(K987="",UPPER(TRIM(K987&amp;""))="",LOWER(TRIM(K987&amp;""))="",LOWER(TRIM(K987&amp;""))="",LOWER(TRIM(K987&amp;""))="missing"),"Missing/",IFERROR(IF(VALUE(K987)&lt;0,"Invalid","Valid"),"Check Format"))</f>
        <v>Valid</v>
      </c>
      <c r="W987" t="str">
        <f>IF(OR(E987="",F987=""),"Missing Date/Time",IFERROR(IF(F987&gt;E987,"Arrival After Appointment","OK"),"Check Format"))</f>
        <v>OK</v>
      </c>
      <c r="X987" t="str">
        <f>IF(OR(F987="",G987=""),"Missing Date/Time",IFERROR(IF(G987&lt;F987,"Discharge Before Arrival","OK"),"Check Format"))</f>
        <v>OK</v>
      </c>
    </row>
    <row r="988" spans="1:24" x14ac:dyDescent="0.25">
      <c r="A988" s="2" t="s">
        <v>1594</v>
      </c>
      <c r="B988" s="2" t="s">
        <v>1160</v>
      </c>
      <c r="C988" s="3" t="s">
        <v>29</v>
      </c>
      <c r="D988" s="3" t="s">
        <v>209</v>
      </c>
      <c r="E988" s="4">
        <v>45336.399305555555</v>
      </c>
      <c r="F988" s="4">
        <v>45336.393750000003</v>
      </c>
      <c r="G988" s="4">
        <v>45336.46597222222</v>
      </c>
      <c r="H988" s="5">
        <v>75</v>
      </c>
      <c r="I988" s="3" t="s">
        <v>39</v>
      </c>
      <c r="J988" s="3" t="s">
        <v>150</v>
      </c>
      <c r="K988" s="5">
        <v>42</v>
      </c>
      <c r="L988" s="5">
        <v>54</v>
      </c>
      <c r="M988" s="3" t="s">
        <v>63</v>
      </c>
      <c r="P988" s="3" t="s">
        <v>25</v>
      </c>
      <c r="Q988" s="2">
        <v>102.17</v>
      </c>
      <c r="R988" s="3" t="s">
        <v>43</v>
      </c>
      <c r="S988">
        <f>COUNTIF(A:A,A988)</f>
        <v>1</v>
      </c>
      <c r="T988" t="str">
        <f>IF(OR(H988="",LOWER(TRIM(H988&amp;""))="missing",LOWER(TRIM(H988&amp;""))=""),"Missing/",IFERROR(IF(OR(VALUE(H988)&lt;0,VALUE(H988)&gt;110),"Invalid","Valid"),"Check Format"))</f>
        <v>Valid</v>
      </c>
      <c r="U988">
        <f>IF(Raw_Data[[#This Row],[Age_Check]]="Valid",H988,"")</f>
        <v>75</v>
      </c>
      <c r="V988" t="str">
        <f>IF(OR(K988="",UPPER(TRIM(K988&amp;""))="",LOWER(TRIM(K988&amp;""))="",LOWER(TRIM(K988&amp;""))="",LOWER(TRIM(K988&amp;""))="missing"),"Missing/",IFERROR(IF(VALUE(K988)&lt;0,"Invalid","Valid"),"Check Format"))</f>
        <v>Valid</v>
      </c>
      <c r="W988" t="str">
        <f>IF(OR(E988="",F988=""),"Missing Date/Time",IFERROR(IF(F988&gt;E988,"Arrival After Appointment","OK"),"Check Format"))</f>
        <v>OK</v>
      </c>
      <c r="X988" t="str">
        <f>IF(OR(F988="",G988=""),"Missing Date/Time",IFERROR(IF(G988&lt;F988,"Discharge Before Arrival","OK"),"Check Format"))</f>
        <v>OK</v>
      </c>
    </row>
    <row r="989" spans="1:24" x14ac:dyDescent="0.25">
      <c r="A989" s="2" t="s">
        <v>1595</v>
      </c>
      <c r="B989" s="2" t="s">
        <v>1097</v>
      </c>
      <c r="C989" s="3" t="s">
        <v>29</v>
      </c>
      <c r="D989" s="3" t="s">
        <v>149</v>
      </c>
      <c r="E989" s="4">
        <v>45866.371527777781</v>
      </c>
      <c r="F989" s="4">
        <v>45866.365277777775</v>
      </c>
      <c r="G989" s="4">
        <v>45866.432638888888</v>
      </c>
      <c r="I989" s="3" t="s">
        <v>95</v>
      </c>
      <c r="K989" s="5">
        <v>70</v>
      </c>
      <c r="L989" s="5">
        <v>18</v>
      </c>
      <c r="M989" s="3" t="s">
        <v>68</v>
      </c>
      <c r="N989" t="s">
        <v>69</v>
      </c>
      <c r="O989" s="5">
        <v>3</v>
      </c>
      <c r="P989" s="3" t="s">
        <v>25</v>
      </c>
      <c r="Q989" s="2">
        <v>205.63</v>
      </c>
      <c r="R989" s="3" t="s">
        <v>58</v>
      </c>
      <c r="S989">
        <f>COUNTIF(A:A,A989)</f>
        <v>1</v>
      </c>
      <c r="T989" t="str">
        <f>IF(OR(H989="",LOWER(TRIM(H989&amp;""))="missing",LOWER(TRIM(H989&amp;""))=""),"Missing/",IFERROR(IF(OR(VALUE(H989)&lt;0,VALUE(H989)&gt;110),"Invalid","Valid"),"Check Format"))</f>
        <v>Missing/</v>
      </c>
      <c r="U989" t="str">
        <f>IF(Raw_Data[[#This Row],[Age_Check]]="Valid",H989,"")</f>
        <v/>
      </c>
      <c r="V989" t="str">
        <f>IF(OR(K989="",UPPER(TRIM(K989&amp;""))="",LOWER(TRIM(K989&amp;""))="",LOWER(TRIM(K989&amp;""))="",LOWER(TRIM(K989&amp;""))="missing"),"Missing/",IFERROR(IF(VALUE(K989)&lt;0,"Invalid","Valid"),"Check Format"))</f>
        <v>Valid</v>
      </c>
      <c r="W989" t="str">
        <f>IF(OR(E989="",F989=""),"Missing Date/Time",IFERROR(IF(F989&gt;E989,"Arrival After Appointment","OK"),"Check Format"))</f>
        <v>OK</v>
      </c>
      <c r="X989" t="str">
        <f>IF(OR(F989="",G989=""),"Missing Date/Time",IFERROR(IF(G989&lt;F989,"Discharge Before Arrival","OK"),"Check Format"))</f>
        <v>OK</v>
      </c>
    </row>
    <row r="990" spans="1:24" x14ac:dyDescent="0.25">
      <c r="A990" s="2" t="s">
        <v>1596</v>
      </c>
      <c r="B990" s="2" t="s">
        <v>1347</v>
      </c>
      <c r="C990" s="3" t="s">
        <v>94</v>
      </c>
      <c r="D990" s="3" t="s">
        <v>106</v>
      </c>
      <c r="E990" s="4">
        <v>45532.545138888891</v>
      </c>
      <c r="H990" s="5">
        <v>81</v>
      </c>
      <c r="I990" s="3" t="s">
        <v>95</v>
      </c>
      <c r="J990" s="3" t="s">
        <v>67</v>
      </c>
      <c r="K990" s="5">
        <v>81</v>
      </c>
      <c r="L990" s="5">
        <v>65</v>
      </c>
      <c r="N990" t="s">
        <v>74</v>
      </c>
      <c r="Q990" s="2">
        <v>130.94999999999999</v>
      </c>
      <c r="R990" s="3" t="s">
        <v>75</v>
      </c>
      <c r="S990">
        <f>COUNTIF(A:A,A990)</f>
        <v>1</v>
      </c>
      <c r="T990" t="str">
        <f>IF(OR(H990="",LOWER(TRIM(H990&amp;""))="missing",LOWER(TRIM(H990&amp;""))=""),"Missing/",IFERROR(IF(OR(VALUE(H990)&lt;0,VALUE(H990)&gt;110),"Invalid","Valid"),"Check Format"))</f>
        <v>Valid</v>
      </c>
      <c r="U990">
        <f>IF(Raw_Data[[#This Row],[Age_Check]]="Valid",H990,"")</f>
        <v>81</v>
      </c>
      <c r="V990" t="str">
        <f>IF(OR(K990="",UPPER(TRIM(K990&amp;""))="",LOWER(TRIM(K990&amp;""))="",LOWER(TRIM(K990&amp;""))="",LOWER(TRIM(K990&amp;""))="missing"),"Missing/",IFERROR(IF(VALUE(K990)&lt;0,"Invalid","Valid"),"Check Format"))</f>
        <v>Valid</v>
      </c>
      <c r="W990" t="str">
        <f>IF(OR(E990="",F990=""),"Missing Date/Time",IFERROR(IF(F990&gt;E990,"Arrival After Appointment","OK"),"Check Format"))</f>
        <v>Missing Date/Time</v>
      </c>
      <c r="X990" t="str">
        <f>IF(OR(F990="",G990=""),"Missing Date/Time",IFERROR(IF(G990&lt;F990,"Discharge Before Arrival","OK"),"Check Format"))</f>
        <v>Missing Date/Time</v>
      </c>
    </row>
    <row r="991" spans="1:24" x14ac:dyDescent="0.25">
      <c r="A991" s="2" t="s">
        <v>1597</v>
      </c>
      <c r="B991" s="2" t="s">
        <v>685</v>
      </c>
      <c r="C991" s="3" t="s">
        <v>19</v>
      </c>
      <c r="D991" s="3" t="s">
        <v>174</v>
      </c>
      <c r="E991" s="4">
        <v>45495.708333333336</v>
      </c>
      <c r="F991" s="4">
        <v>45495.690972222219</v>
      </c>
      <c r="J991" s="3" t="s">
        <v>62</v>
      </c>
      <c r="K991" s="5">
        <v>81</v>
      </c>
      <c r="L991" s="5">
        <v>33</v>
      </c>
      <c r="M991" s="3" t="s">
        <v>32</v>
      </c>
      <c r="O991" s="5">
        <v>3</v>
      </c>
      <c r="P991" s="3" t="s">
        <v>80</v>
      </c>
      <c r="Q991" s="2">
        <v>248.67</v>
      </c>
      <c r="R991" s="3" t="s">
        <v>58</v>
      </c>
      <c r="S991">
        <f>COUNTIF(A:A,A991)</f>
        <v>1</v>
      </c>
      <c r="T991" t="str">
        <f>IF(OR(H991="",LOWER(TRIM(H991&amp;""))="missing",LOWER(TRIM(H991&amp;""))=""),"Missing/",IFERROR(IF(OR(VALUE(H991)&lt;0,VALUE(H991)&gt;110),"Invalid","Valid"),"Check Format"))</f>
        <v>Missing/</v>
      </c>
      <c r="U991" t="str">
        <f>IF(Raw_Data[[#This Row],[Age_Check]]="Valid",H991,"")</f>
        <v/>
      </c>
      <c r="V991" t="str">
        <f>IF(OR(K991="",UPPER(TRIM(K991&amp;""))="",LOWER(TRIM(K991&amp;""))="",LOWER(TRIM(K991&amp;""))="",LOWER(TRIM(K991&amp;""))="missing"),"Missing/",IFERROR(IF(VALUE(K991)&lt;0,"Invalid","Valid"),"Check Format"))</f>
        <v>Valid</v>
      </c>
      <c r="W991" t="str">
        <f>IF(OR(E991="",F991=""),"Missing Date/Time",IFERROR(IF(F991&gt;E991,"Arrival After Appointment","OK"),"Check Format"))</f>
        <v>OK</v>
      </c>
      <c r="X991" t="str">
        <f>IF(OR(F991="",G991=""),"Missing Date/Time",IFERROR(IF(G991&lt;F991,"Discharge Before Arrival","OK"),"Check Format"))</f>
        <v>Missing Date/Time</v>
      </c>
    </row>
    <row r="992" spans="1:24" x14ac:dyDescent="0.25">
      <c r="A992" s="2" t="s">
        <v>1598</v>
      </c>
      <c r="B992" s="2" t="s">
        <v>1599</v>
      </c>
      <c r="C992" s="3" t="s">
        <v>29</v>
      </c>
      <c r="D992" s="3" t="s">
        <v>61</v>
      </c>
      <c r="E992" s="4">
        <v>45724.458333333336</v>
      </c>
      <c r="F992" s="4">
        <v>45872.438194444447</v>
      </c>
      <c r="G992" s="4">
        <v>45872.511805555558</v>
      </c>
      <c r="I992" s="3" t="s">
        <v>73</v>
      </c>
      <c r="J992" s="3" t="s">
        <v>67</v>
      </c>
      <c r="K992" s="5">
        <v>32</v>
      </c>
      <c r="L992" s="5">
        <v>45</v>
      </c>
      <c r="M992" s="3" t="s">
        <v>23</v>
      </c>
      <c r="P992" s="3" t="s">
        <v>25</v>
      </c>
      <c r="Q992" s="2">
        <v>129.41999999999999</v>
      </c>
      <c r="R992" s="3" t="s">
        <v>58</v>
      </c>
      <c r="S992">
        <f>COUNTIF(A:A,A992)</f>
        <v>1</v>
      </c>
      <c r="T992" t="str">
        <f>IF(OR(H992="",LOWER(TRIM(H992&amp;""))="missing",LOWER(TRIM(H992&amp;""))=""),"Missing/",IFERROR(IF(OR(VALUE(H992)&lt;0,VALUE(H992)&gt;110),"Invalid","Valid"),"Check Format"))</f>
        <v>Missing/</v>
      </c>
      <c r="U992" t="str">
        <f>IF(Raw_Data[[#This Row],[Age_Check]]="Valid",H992,"")</f>
        <v/>
      </c>
      <c r="V992" t="str">
        <f>IF(OR(K992="",UPPER(TRIM(K992&amp;""))="",LOWER(TRIM(K992&amp;""))="",LOWER(TRIM(K992&amp;""))="",LOWER(TRIM(K992&amp;""))="missing"),"Missing/",IFERROR(IF(VALUE(K992)&lt;0,"Invalid","Valid"),"Check Format"))</f>
        <v>Valid</v>
      </c>
      <c r="W992" t="str">
        <f>IF(OR(E992="",F992=""),"Missing Date/Time",IFERROR(IF(F992&gt;E992,"Arrival After Appointment","OK"),"Check Format"))</f>
        <v>Arrival After Appointment</v>
      </c>
      <c r="X992" t="str">
        <f>IF(OR(F992="",G992=""),"Missing Date/Time",IFERROR(IF(G992&lt;F992,"Discharge Before Arrival","OK"),"Check Format"))</f>
        <v>OK</v>
      </c>
    </row>
    <row r="993" spans="1:24" x14ac:dyDescent="0.25">
      <c r="A993" s="2" t="s">
        <v>1600</v>
      </c>
      <c r="B993" s="2" t="s">
        <v>1528</v>
      </c>
      <c r="C993" s="3" t="s">
        <v>37</v>
      </c>
      <c r="D993" s="3" t="s">
        <v>30</v>
      </c>
      <c r="E993" s="4">
        <v>45706.677083333336</v>
      </c>
      <c r="F993" s="4">
        <v>45706.670138888891</v>
      </c>
      <c r="G993" s="4">
        <v>45706.738194444442</v>
      </c>
      <c r="J993" s="3" t="s">
        <v>67</v>
      </c>
      <c r="K993" s="5">
        <v>55</v>
      </c>
      <c r="L993" s="5">
        <v>33</v>
      </c>
      <c r="M993" s="3" t="s">
        <v>32</v>
      </c>
      <c r="N993" t="s">
        <v>69</v>
      </c>
      <c r="P993" s="3" t="s">
        <v>42</v>
      </c>
      <c r="Q993" s="2">
        <v>165.18</v>
      </c>
      <c r="R993" s="3" t="s">
        <v>43</v>
      </c>
      <c r="S993">
        <f>COUNTIF(A:A,A993)</f>
        <v>1</v>
      </c>
      <c r="T993" t="str">
        <f>IF(OR(H993="",LOWER(TRIM(H993&amp;""))="missing",LOWER(TRIM(H993&amp;""))=""),"Missing/",IFERROR(IF(OR(VALUE(H993)&lt;0,VALUE(H993)&gt;110),"Invalid","Valid"),"Check Format"))</f>
        <v>Missing/</v>
      </c>
      <c r="U993" t="str">
        <f>IF(Raw_Data[[#This Row],[Age_Check]]="Valid",H993,"")</f>
        <v/>
      </c>
      <c r="V993" t="str">
        <f>IF(OR(K993="",UPPER(TRIM(K993&amp;""))="",LOWER(TRIM(K993&amp;""))="",LOWER(TRIM(K993&amp;""))="",LOWER(TRIM(K993&amp;""))="missing"),"Missing/",IFERROR(IF(VALUE(K993)&lt;0,"Invalid","Valid"),"Check Format"))</f>
        <v>Valid</v>
      </c>
      <c r="W993" t="str">
        <f>IF(OR(E993="",F993=""),"Missing Date/Time",IFERROR(IF(F993&gt;E993,"Arrival After Appointment","OK"),"Check Format"))</f>
        <v>OK</v>
      </c>
      <c r="X993" t="str">
        <f>IF(OR(F993="",G993=""),"Missing Date/Time",IFERROR(IF(G993&lt;F993,"Discharge Before Arrival","OK"),"Check Format"))</f>
        <v>OK</v>
      </c>
    </row>
    <row r="994" spans="1:24" x14ac:dyDescent="0.25">
      <c r="A994" s="2" t="s">
        <v>1601</v>
      </c>
      <c r="B994" s="2" t="s">
        <v>554</v>
      </c>
      <c r="C994" s="3" t="s">
        <v>19</v>
      </c>
      <c r="D994" s="3" t="s">
        <v>61</v>
      </c>
      <c r="E994" s="4">
        <v>45777.753472222219</v>
      </c>
      <c r="F994" s="4">
        <v>45777.75</v>
      </c>
      <c r="I994" s="3" t="s">
        <v>73</v>
      </c>
      <c r="K994" s="5">
        <v>53</v>
      </c>
      <c r="L994" s="5">
        <v>35</v>
      </c>
      <c r="M994" s="3" t="s">
        <v>50</v>
      </c>
      <c r="N994" t="s">
        <v>24</v>
      </c>
      <c r="P994" s="3" t="s">
        <v>80</v>
      </c>
      <c r="Q994" s="2">
        <v>271.25</v>
      </c>
      <c r="R994" s="3" t="s">
        <v>43</v>
      </c>
      <c r="S994">
        <f>COUNTIF(A:A,A994)</f>
        <v>1</v>
      </c>
      <c r="T994" t="str">
        <f>IF(OR(H994="",LOWER(TRIM(H994&amp;""))="missing",LOWER(TRIM(H994&amp;""))=""),"Missing/",IFERROR(IF(OR(VALUE(H994)&lt;0,VALUE(H994)&gt;110),"Invalid","Valid"),"Check Format"))</f>
        <v>Missing/</v>
      </c>
      <c r="U994" t="str">
        <f>IF(Raw_Data[[#This Row],[Age_Check]]="Valid",H994,"")</f>
        <v/>
      </c>
      <c r="V994" t="str">
        <f>IF(OR(K994="",UPPER(TRIM(K994&amp;""))="",LOWER(TRIM(K994&amp;""))="",LOWER(TRIM(K994&amp;""))="",LOWER(TRIM(K994&amp;""))="missing"),"Missing/",IFERROR(IF(VALUE(K994)&lt;0,"Invalid","Valid"),"Check Format"))</f>
        <v>Valid</v>
      </c>
      <c r="W994" t="str">
        <f>IF(OR(E994="",F994=""),"Missing Date/Time",IFERROR(IF(F994&gt;E994,"Arrival After Appointment","OK"),"Check Format"))</f>
        <v>OK</v>
      </c>
      <c r="X994" t="str">
        <f>IF(OR(F994="",G994=""),"Missing Date/Time",IFERROR(IF(G994&lt;F994,"Discharge Before Arrival","OK"),"Check Format"))</f>
        <v>Missing Date/Time</v>
      </c>
    </row>
    <row r="995" spans="1:24" x14ac:dyDescent="0.25">
      <c r="A995" s="2" t="s">
        <v>1602</v>
      </c>
      <c r="B995" s="2" t="s">
        <v>65</v>
      </c>
      <c r="C995" s="3" t="s">
        <v>94</v>
      </c>
      <c r="D995" s="3" t="s">
        <v>209</v>
      </c>
      <c r="E995" s="4">
        <v>45557.298611111109</v>
      </c>
      <c r="F995" s="4">
        <v>45557.27847222222</v>
      </c>
      <c r="G995" s="4">
        <v>45557.395138888889</v>
      </c>
      <c r="H995" s="5">
        <v>145</v>
      </c>
      <c r="K995" s="5">
        <v>92</v>
      </c>
      <c r="L995" s="5">
        <v>47</v>
      </c>
      <c r="M995" s="3" t="s">
        <v>68</v>
      </c>
      <c r="N995" t="s">
        <v>103</v>
      </c>
      <c r="O995" s="5">
        <v>0</v>
      </c>
      <c r="P995" s="3" t="s">
        <v>80</v>
      </c>
      <c r="Q995" s="2">
        <v>108.56</v>
      </c>
      <c r="R995" s="3" t="s">
        <v>43</v>
      </c>
      <c r="S995">
        <f>COUNTIF(A:A,A995)</f>
        <v>1</v>
      </c>
      <c r="T995" t="str">
        <f>IF(OR(H995="",LOWER(TRIM(H995&amp;""))="missing",LOWER(TRIM(H995&amp;""))=""),"Missing/",IFERROR(IF(OR(VALUE(H995)&lt;0,VALUE(H995)&gt;110),"Invalid","Valid"),"Check Format"))</f>
        <v>Invalid</v>
      </c>
      <c r="U995" t="str">
        <f>IF(Raw_Data[[#This Row],[Age_Check]]="Valid",H995,"")</f>
        <v/>
      </c>
      <c r="V995" t="str">
        <f>IF(OR(K995="",UPPER(TRIM(K995&amp;""))="",LOWER(TRIM(K995&amp;""))="",LOWER(TRIM(K995&amp;""))="",LOWER(TRIM(K995&amp;""))="missing"),"Missing/",IFERROR(IF(VALUE(K995)&lt;0,"Invalid","Valid"),"Check Format"))</f>
        <v>Valid</v>
      </c>
      <c r="W995" t="str">
        <f>IF(OR(E995="",F995=""),"Missing Date/Time",IFERROR(IF(F995&gt;E995,"Arrival After Appointment","OK"),"Check Format"))</f>
        <v>OK</v>
      </c>
      <c r="X995" t="str">
        <f>IF(OR(F995="",G995=""),"Missing Date/Time",IFERROR(IF(G995&lt;F995,"Discharge Before Arrival","OK"),"Check Format"))</f>
        <v>OK</v>
      </c>
    </row>
    <row r="996" spans="1:24" x14ac:dyDescent="0.25">
      <c r="A996" s="2" t="s">
        <v>1603</v>
      </c>
      <c r="B996" s="2" t="s">
        <v>574</v>
      </c>
      <c r="C996" s="3" t="s">
        <v>19</v>
      </c>
      <c r="D996" s="3" t="s">
        <v>47</v>
      </c>
      <c r="E996" s="4">
        <v>45436.298611111109</v>
      </c>
      <c r="F996" s="4">
        <v>45436.298611111109</v>
      </c>
      <c r="H996" s="5">
        <v>24</v>
      </c>
      <c r="I996" s="3" t="s">
        <v>95</v>
      </c>
      <c r="J996" s="3" t="s">
        <v>2639</v>
      </c>
      <c r="K996" s="5">
        <v>26</v>
      </c>
      <c r="L996" s="5">
        <v>49</v>
      </c>
      <c r="M996" s="3" t="s">
        <v>63</v>
      </c>
      <c r="N996" t="s">
        <v>103</v>
      </c>
      <c r="P996" s="3" t="s">
        <v>80</v>
      </c>
      <c r="Q996" s="2">
        <v>215.08</v>
      </c>
      <c r="R996" s="3" t="s">
        <v>26</v>
      </c>
      <c r="S996">
        <f>COUNTIF(A:A,A996)</f>
        <v>1</v>
      </c>
      <c r="T996" t="str">
        <f>IF(OR(H996="",LOWER(TRIM(H996&amp;""))="missing",LOWER(TRIM(H996&amp;""))=""),"Missing/",IFERROR(IF(OR(VALUE(H996)&lt;0,VALUE(H996)&gt;110),"Invalid","Valid"),"Check Format"))</f>
        <v>Valid</v>
      </c>
      <c r="U996">
        <f>IF(Raw_Data[[#This Row],[Age_Check]]="Valid",H996,"")</f>
        <v>24</v>
      </c>
      <c r="V996" t="str">
        <f>IF(OR(K996="",UPPER(TRIM(K996&amp;""))="",LOWER(TRIM(K996&amp;""))="",LOWER(TRIM(K996&amp;""))="",LOWER(TRIM(K996&amp;""))="missing"),"Missing/",IFERROR(IF(VALUE(K996)&lt;0,"Invalid","Valid"),"Check Format"))</f>
        <v>Valid</v>
      </c>
      <c r="W996" t="str">
        <f>IF(OR(E996="",F996=""),"Missing Date/Time",IFERROR(IF(F996&gt;E996,"Arrival After Appointment","OK"),"Check Format"))</f>
        <v>OK</v>
      </c>
      <c r="X996" t="str">
        <f>IF(OR(F996="",G996=""),"Missing Date/Time",IFERROR(IF(G996&lt;F996,"Discharge Before Arrival","OK"),"Check Format"))</f>
        <v>Missing Date/Time</v>
      </c>
    </row>
    <row r="997" spans="1:24" x14ac:dyDescent="0.25">
      <c r="A997" s="2" t="s">
        <v>1604</v>
      </c>
      <c r="B997" s="2" t="s">
        <v>1605</v>
      </c>
      <c r="C997" s="3" t="s">
        <v>46</v>
      </c>
      <c r="D997" s="3" t="s">
        <v>106</v>
      </c>
      <c r="E997" s="4">
        <v>45980.600694444445</v>
      </c>
      <c r="F997" s="4">
        <v>45980.597916666666</v>
      </c>
      <c r="G997" s="4">
        <v>45980.690972222219</v>
      </c>
      <c r="I997" s="3" t="s">
        <v>95</v>
      </c>
      <c r="J997" s="3" t="s">
        <v>150</v>
      </c>
      <c r="K997" s="5">
        <v>109</v>
      </c>
      <c r="L997" s="5">
        <v>21</v>
      </c>
      <c r="M997" s="3" t="s">
        <v>23</v>
      </c>
      <c r="N997" t="s">
        <v>24</v>
      </c>
      <c r="O997" s="5">
        <v>5</v>
      </c>
      <c r="P997" s="3" t="s">
        <v>25</v>
      </c>
      <c r="R997" s="3" t="s">
        <v>58</v>
      </c>
      <c r="S997">
        <f>COUNTIF(A:A,A997)</f>
        <v>1</v>
      </c>
      <c r="T997" t="str">
        <f>IF(OR(H997="",LOWER(TRIM(H997&amp;""))="missing",LOWER(TRIM(H997&amp;""))=""),"Missing/",IFERROR(IF(OR(VALUE(H997)&lt;0,VALUE(H997)&gt;110),"Invalid","Valid"),"Check Format"))</f>
        <v>Missing/</v>
      </c>
      <c r="U997" t="str">
        <f>IF(Raw_Data[[#This Row],[Age_Check]]="Valid",H997,"")</f>
        <v/>
      </c>
      <c r="V997" t="str">
        <f>IF(OR(K997="",UPPER(TRIM(K997&amp;""))="",LOWER(TRIM(K997&amp;""))="",LOWER(TRIM(K997&amp;""))="",LOWER(TRIM(K997&amp;""))="missing"),"Missing/",IFERROR(IF(VALUE(K997)&lt;0,"Invalid","Valid"),"Check Format"))</f>
        <v>Valid</v>
      </c>
      <c r="W997" t="str">
        <f>IF(OR(E997="",F997=""),"Missing Date/Time",IFERROR(IF(F997&gt;E997,"Arrival After Appointment","OK"),"Check Format"))</f>
        <v>OK</v>
      </c>
      <c r="X997" t="str">
        <f>IF(OR(F997="",G997=""),"Missing Date/Time",IFERROR(IF(G997&lt;F997,"Discharge Before Arrival","OK"),"Check Format"))</f>
        <v>OK</v>
      </c>
    </row>
    <row r="998" spans="1:24" x14ac:dyDescent="0.25">
      <c r="A998" s="2" t="s">
        <v>1606</v>
      </c>
      <c r="B998" s="2" t="s">
        <v>1206</v>
      </c>
      <c r="D998" s="3" t="s">
        <v>209</v>
      </c>
      <c r="E998" s="4">
        <v>45450.395833333336</v>
      </c>
      <c r="F998" s="4">
        <v>45450.39166666667</v>
      </c>
      <c r="G998" s="4">
        <v>45450.433333333334</v>
      </c>
      <c r="H998" s="5">
        <v>145</v>
      </c>
      <c r="I998" s="3" t="s">
        <v>95</v>
      </c>
      <c r="J998" s="3" t="s">
        <v>171</v>
      </c>
      <c r="K998" s="5">
        <v>49</v>
      </c>
      <c r="L998" s="5">
        <v>5</v>
      </c>
      <c r="N998" t="s">
        <v>69</v>
      </c>
      <c r="O998" s="5">
        <v>3</v>
      </c>
      <c r="Q998" s="2">
        <v>113.6</v>
      </c>
      <c r="R998" s="3" t="s">
        <v>43</v>
      </c>
      <c r="S998">
        <f>COUNTIF(A:A,A998)</f>
        <v>1</v>
      </c>
      <c r="T998" t="str">
        <f>IF(OR(H998="",LOWER(TRIM(H998&amp;""))="missing",LOWER(TRIM(H998&amp;""))=""),"Missing/",IFERROR(IF(OR(VALUE(H998)&lt;0,VALUE(H998)&gt;110),"Invalid","Valid"),"Check Format"))</f>
        <v>Invalid</v>
      </c>
      <c r="U998" t="str">
        <f>IF(Raw_Data[[#This Row],[Age_Check]]="Valid",H998,"")</f>
        <v/>
      </c>
      <c r="V998" t="str">
        <f>IF(OR(K998="",UPPER(TRIM(K998&amp;""))="",LOWER(TRIM(K998&amp;""))="",LOWER(TRIM(K998&amp;""))="",LOWER(TRIM(K998&amp;""))="missing"),"Missing/",IFERROR(IF(VALUE(K998)&lt;0,"Invalid","Valid"),"Check Format"))</f>
        <v>Valid</v>
      </c>
      <c r="W998" t="str">
        <f>IF(OR(E998="",F998=""),"Missing Date/Time",IFERROR(IF(F998&gt;E998,"Arrival After Appointment","OK"),"Check Format"))</f>
        <v>OK</v>
      </c>
      <c r="X998" t="str">
        <f>IF(OR(F998="",G998=""),"Missing Date/Time",IFERROR(IF(G998&lt;F998,"Discharge Before Arrival","OK"),"Check Format"))</f>
        <v>OK</v>
      </c>
    </row>
    <row r="999" spans="1:24" x14ac:dyDescent="0.25">
      <c r="A999" s="2" t="s">
        <v>1607</v>
      </c>
      <c r="B999" s="2" t="s">
        <v>1097</v>
      </c>
      <c r="C999" s="3" t="s">
        <v>46</v>
      </c>
      <c r="D999" s="3" t="s">
        <v>55</v>
      </c>
      <c r="E999" s="4">
        <v>45414.53125</v>
      </c>
      <c r="F999" s="4">
        <v>45327.513194444444</v>
      </c>
      <c r="I999" s="3" t="s">
        <v>95</v>
      </c>
      <c r="J999" s="3" t="s">
        <v>150</v>
      </c>
      <c r="K999" s="5">
        <v>92</v>
      </c>
      <c r="L999" s="5">
        <v>23</v>
      </c>
      <c r="M999" s="3" t="s">
        <v>68</v>
      </c>
      <c r="N999" t="s">
        <v>24</v>
      </c>
      <c r="P999" s="3" t="s">
        <v>42</v>
      </c>
      <c r="Q999" s="2">
        <v>196.24</v>
      </c>
      <c r="R999" s="3" t="s">
        <v>58</v>
      </c>
      <c r="S999">
        <f>COUNTIF(A:A,A999)</f>
        <v>1</v>
      </c>
      <c r="T999" t="str">
        <f>IF(OR(H999="",LOWER(TRIM(H999&amp;""))="missing",LOWER(TRIM(H999&amp;""))=""),"Missing/",IFERROR(IF(OR(VALUE(H999)&lt;0,VALUE(H999)&gt;110),"Invalid","Valid"),"Check Format"))</f>
        <v>Missing/</v>
      </c>
      <c r="U999" t="str">
        <f>IF(Raw_Data[[#This Row],[Age_Check]]="Valid",H999,"")</f>
        <v/>
      </c>
      <c r="V999" t="str">
        <f>IF(OR(K999="",UPPER(TRIM(K999&amp;""))="",LOWER(TRIM(K999&amp;""))="",LOWER(TRIM(K999&amp;""))="",LOWER(TRIM(K999&amp;""))="missing"),"Missing/",IFERROR(IF(VALUE(K999)&lt;0,"Invalid","Valid"),"Check Format"))</f>
        <v>Valid</v>
      </c>
      <c r="W999" t="str">
        <f>IF(OR(E999="",F999=""),"Missing Date/Time",IFERROR(IF(F999&gt;E999,"Arrival After Appointment","OK"),"Check Format"))</f>
        <v>OK</v>
      </c>
      <c r="X999" t="str">
        <f>IF(OR(F999="",G999=""),"Missing Date/Time",IFERROR(IF(G999&lt;F999,"Discharge Before Arrival","OK"),"Check Format"))</f>
        <v>Missing Date/Time</v>
      </c>
    </row>
    <row r="1000" spans="1:24" x14ac:dyDescent="0.25">
      <c r="A1000" s="2" t="s">
        <v>1608</v>
      </c>
      <c r="B1000" s="2" t="s">
        <v>846</v>
      </c>
      <c r="C1000" s="3" t="s">
        <v>94</v>
      </c>
      <c r="D1000" s="3" t="s">
        <v>149</v>
      </c>
      <c r="E1000" s="4">
        <v>45756.548611111109</v>
      </c>
      <c r="H1000" s="5">
        <v>51</v>
      </c>
      <c r="J1000" s="3" t="s">
        <v>150</v>
      </c>
      <c r="K1000" s="5">
        <v>51</v>
      </c>
      <c r="L1000" s="5">
        <v>37</v>
      </c>
      <c r="M1000" s="3" t="s">
        <v>41</v>
      </c>
      <c r="N1000" t="s">
        <v>69</v>
      </c>
      <c r="P1000" s="3" t="s">
        <v>25</v>
      </c>
      <c r="Q1000" s="2">
        <v>53.18</v>
      </c>
      <c r="R1000" s="3" t="s">
        <v>58</v>
      </c>
      <c r="S1000">
        <f>COUNTIF(A:A,A1000)</f>
        <v>1</v>
      </c>
      <c r="T1000" t="str">
        <f>IF(OR(H1000="",LOWER(TRIM(H1000&amp;""))="missing",LOWER(TRIM(H1000&amp;""))=""),"Missing/",IFERROR(IF(OR(VALUE(H1000)&lt;0,VALUE(H1000)&gt;110),"Invalid","Valid"),"Check Format"))</f>
        <v>Valid</v>
      </c>
      <c r="U1000">
        <f>IF(Raw_Data[[#This Row],[Age_Check]]="Valid",H1000,"")</f>
        <v>51</v>
      </c>
      <c r="V1000" t="str">
        <f>IF(OR(K1000="",UPPER(TRIM(K1000&amp;""))="",LOWER(TRIM(K1000&amp;""))="",LOWER(TRIM(K1000&amp;""))="",LOWER(TRIM(K1000&amp;""))="missing"),"Missing/",IFERROR(IF(VALUE(K1000)&lt;0,"Invalid","Valid"),"Check Format"))</f>
        <v>Valid</v>
      </c>
      <c r="W1000" t="str">
        <f>IF(OR(E1000="",F1000=""),"Missing Date/Time",IFERROR(IF(F1000&gt;E1000,"Arrival After Appointment","OK"),"Check Format"))</f>
        <v>Missing Date/Time</v>
      </c>
      <c r="X1000" t="str">
        <f>IF(OR(F1000="",G1000=""),"Missing Date/Time",IFERROR(IF(G1000&lt;F1000,"Discharge Before Arrival","OK"),"Check Format"))</f>
        <v>Missing Date/Time</v>
      </c>
    </row>
    <row r="1001" spans="1:24" x14ac:dyDescent="0.25">
      <c r="A1001" s="2" t="s">
        <v>1609</v>
      </c>
      <c r="B1001" s="2" t="s">
        <v>574</v>
      </c>
      <c r="C1001" s="3" t="s">
        <v>46</v>
      </c>
      <c r="D1001" s="3" t="s">
        <v>149</v>
      </c>
      <c r="E1001" s="4">
        <v>45505.361111111109</v>
      </c>
      <c r="F1001" s="4">
        <v>45505.347916666666</v>
      </c>
      <c r="G1001" s="4">
        <v>45505.40625</v>
      </c>
      <c r="J1001" s="3" t="s">
        <v>2639</v>
      </c>
      <c r="K1001" s="5">
        <v>60</v>
      </c>
      <c r="L1001" s="5">
        <v>5</v>
      </c>
      <c r="N1001" t="s">
        <v>74</v>
      </c>
      <c r="Q1001" s="2">
        <v>130.05000000000001</v>
      </c>
      <c r="R1001" s="3" t="s">
        <v>75</v>
      </c>
      <c r="S1001">
        <f>COUNTIF(A:A,A1001)</f>
        <v>1</v>
      </c>
      <c r="T1001" t="str">
        <f>IF(OR(H1001="",LOWER(TRIM(H1001&amp;""))="missing",LOWER(TRIM(H1001&amp;""))=""),"Missing/",IFERROR(IF(OR(VALUE(H1001)&lt;0,VALUE(H1001)&gt;110),"Invalid","Valid"),"Check Format"))</f>
        <v>Missing/</v>
      </c>
      <c r="U1001" t="str">
        <f>IF(Raw_Data[[#This Row],[Age_Check]]="Valid",H1001,"")</f>
        <v/>
      </c>
      <c r="V1001" t="str">
        <f>IF(OR(K1001="",UPPER(TRIM(K1001&amp;""))="",LOWER(TRIM(K1001&amp;""))="",LOWER(TRIM(K1001&amp;""))="",LOWER(TRIM(K1001&amp;""))="missing"),"Missing/",IFERROR(IF(VALUE(K1001)&lt;0,"Invalid","Valid"),"Check Format"))</f>
        <v>Valid</v>
      </c>
      <c r="W1001" t="str">
        <f>IF(OR(E1001="",F1001=""),"Missing Date/Time",IFERROR(IF(F1001&gt;E1001,"Arrival After Appointment","OK"),"Check Format"))</f>
        <v>OK</v>
      </c>
      <c r="X1001" t="str">
        <f>IF(OR(F1001="",G1001=""),"Missing Date/Time",IFERROR(IF(G1001&lt;F1001,"Discharge Before Arrival","OK"),"Check Format"))</f>
        <v>OK</v>
      </c>
    </row>
    <row r="1002" spans="1:24" x14ac:dyDescent="0.25">
      <c r="A1002" s="2" t="s">
        <v>1610</v>
      </c>
      <c r="B1002" s="2" t="s">
        <v>407</v>
      </c>
      <c r="C1002" s="3" t="s">
        <v>46</v>
      </c>
      <c r="D1002" s="3" t="s">
        <v>55</v>
      </c>
      <c r="E1002" s="4">
        <v>45718.555555555555</v>
      </c>
      <c r="F1002" s="4">
        <v>45718.553472222222</v>
      </c>
      <c r="G1002" s="4">
        <v>45718.592361111114</v>
      </c>
      <c r="H1002" s="5">
        <v>145</v>
      </c>
      <c r="J1002" s="3" t="s">
        <v>2639</v>
      </c>
      <c r="K1002" s="5">
        <v>0</v>
      </c>
      <c r="L1002" s="5">
        <v>-10</v>
      </c>
      <c r="M1002" s="3" t="s">
        <v>23</v>
      </c>
      <c r="N1002" t="s">
        <v>100</v>
      </c>
      <c r="P1002" s="3" t="s">
        <v>25</v>
      </c>
      <c r="Q1002" s="2">
        <v>207.19</v>
      </c>
      <c r="R1002" s="3" t="s">
        <v>43</v>
      </c>
      <c r="S1002">
        <f>COUNTIF(A:A,A1002)</f>
        <v>1</v>
      </c>
      <c r="T1002" t="str">
        <f>IF(OR(H1002="",LOWER(TRIM(H1002&amp;""))="missing",LOWER(TRIM(H1002&amp;""))=""),"Missing/",IFERROR(IF(OR(VALUE(H1002)&lt;0,VALUE(H1002)&gt;110),"Invalid","Valid"),"Check Format"))</f>
        <v>Invalid</v>
      </c>
      <c r="U1002" t="str">
        <f>IF(Raw_Data[[#This Row],[Age_Check]]="Valid",H1002,"")</f>
        <v/>
      </c>
      <c r="V1002" t="str">
        <f>IF(OR(K1002="",UPPER(TRIM(K1002&amp;""))="",LOWER(TRIM(K1002&amp;""))="",LOWER(TRIM(K1002&amp;""))="",LOWER(TRIM(K1002&amp;""))="missing"),"Missing/",IFERROR(IF(VALUE(K1002)&lt;0,"Invalid","Valid"),"Check Format"))</f>
        <v>Valid</v>
      </c>
      <c r="W1002" t="str">
        <f>IF(OR(E1002="",F1002=""),"Missing Date/Time",IFERROR(IF(F1002&gt;E1002,"Arrival After Appointment","OK"),"Check Format"))</f>
        <v>OK</v>
      </c>
      <c r="X1002" t="str">
        <f>IF(OR(F1002="",G1002=""),"Missing Date/Time",IFERROR(IF(G1002&lt;F1002,"Discharge Before Arrival","OK"),"Check Format"))</f>
        <v>OK</v>
      </c>
    </row>
    <row r="1003" spans="1:24" x14ac:dyDescent="0.25">
      <c r="A1003" s="2" t="s">
        <v>1611</v>
      </c>
      <c r="B1003" s="2" t="s">
        <v>256</v>
      </c>
      <c r="C1003" s="3" t="s">
        <v>46</v>
      </c>
      <c r="D1003" s="3" t="s">
        <v>55</v>
      </c>
      <c r="E1003" s="4">
        <v>45753.579861111109</v>
      </c>
      <c r="F1003" s="4">
        <v>45753.573611111111</v>
      </c>
      <c r="G1003" s="4">
        <v>45753.672222222223</v>
      </c>
      <c r="I1003" s="3" t="s">
        <v>95</v>
      </c>
      <c r="J1003" s="3" t="s">
        <v>171</v>
      </c>
      <c r="K1003" s="5">
        <v>74</v>
      </c>
      <c r="L1003" s="5">
        <v>59</v>
      </c>
      <c r="M1003" s="3" t="s">
        <v>32</v>
      </c>
      <c r="O1003" s="5">
        <v>6</v>
      </c>
      <c r="Q1003" s="2">
        <v>69.09</v>
      </c>
      <c r="R1003" s="3" t="s">
        <v>43</v>
      </c>
      <c r="S1003">
        <f>COUNTIF(A:A,A1003)</f>
        <v>1</v>
      </c>
      <c r="T1003" t="str">
        <f>IF(OR(H1003="",LOWER(TRIM(H1003&amp;""))="missing",LOWER(TRIM(H1003&amp;""))=""),"Missing/",IFERROR(IF(OR(VALUE(H1003)&lt;0,VALUE(H1003)&gt;110),"Invalid","Valid"),"Check Format"))</f>
        <v>Missing/</v>
      </c>
      <c r="U1003" t="str">
        <f>IF(Raw_Data[[#This Row],[Age_Check]]="Valid",H1003,"")</f>
        <v/>
      </c>
      <c r="V1003" t="str">
        <f>IF(OR(K1003="",UPPER(TRIM(K1003&amp;""))="",LOWER(TRIM(K1003&amp;""))="",LOWER(TRIM(K1003&amp;""))="",LOWER(TRIM(K1003&amp;""))="missing"),"Missing/",IFERROR(IF(VALUE(K1003)&lt;0,"Invalid","Valid"),"Check Format"))</f>
        <v>Valid</v>
      </c>
      <c r="W1003" t="str">
        <f>IF(OR(E1003="",F1003=""),"Missing Date/Time",IFERROR(IF(F1003&gt;E1003,"Arrival After Appointment","OK"),"Check Format"))</f>
        <v>OK</v>
      </c>
      <c r="X1003" t="str">
        <f>IF(OR(F1003="",G1003=""),"Missing Date/Time",IFERROR(IF(G1003&lt;F1003,"Discharge Before Arrival","OK"),"Check Format"))</f>
        <v>OK</v>
      </c>
    </row>
    <row r="1004" spans="1:24" x14ac:dyDescent="0.25">
      <c r="A1004" s="2" t="s">
        <v>1612</v>
      </c>
      <c r="B1004" s="2" t="s">
        <v>631</v>
      </c>
      <c r="C1004" s="3" t="s">
        <v>46</v>
      </c>
      <c r="D1004" s="3" t="s">
        <v>23</v>
      </c>
      <c r="E1004" s="4" t="s">
        <v>1613</v>
      </c>
      <c r="F1004" s="4">
        <v>45950.648611111108</v>
      </c>
      <c r="I1004" s="3" t="s">
        <v>73</v>
      </c>
      <c r="J1004" s="3" t="s">
        <v>62</v>
      </c>
      <c r="K1004" s="5">
        <v>119</v>
      </c>
      <c r="L1004" s="5">
        <v>48</v>
      </c>
      <c r="M1004" s="3" t="s">
        <v>63</v>
      </c>
      <c r="P1004" s="3" t="s">
        <v>80</v>
      </c>
      <c r="Q1004" s="2">
        <v>126.08</v>
      </c>
      <c r="R1004" s="3" t="s">
        <v>26</v>
      </c>
      <c r="S1004">
        <f>COUNTIF(A:A,A1004)</f>
        <v>1</v>
      </c>
      <c r="T1004" t="str">
        <f>IF(OR(H1004="",LOWER(TRIM(H1004&amp;""))="missing",LOWER(TRIM(H1004&amp;""))=""),"Missing/",IFERROR(IF(OR(VALUE(H1004)&lt;0,VALUE(H1004)&gt;110),"Invalid","Valid"),"Check Format"))</f>
        <v>Missing/</v>
      </c>
      <c r="U1004" t="str">
        <f>IF(Raw_Data[[#This Row],[Age_Check]]="Valid",H1004,"")</f>
        <v/>
      </c>
      <c r="V1004" t="str">
        <f>IF(OR(K1004="",UPPER(TRIM(K1004&amp;""))="",LOWER(TRIM(K1004&amp;""))="",LOWER(TRIM(K1004&amp;""))="",LOWER(TRIM(K1004&amp;""))="missing"),"Missing/",IFERROR(IF(VALUE(K1004)&lt;0,"Invalid","Valid"),"Check Format"))</f>
        <v>Valid</v>
      </c>
      <c r="W1004" t="str">
        <f>IF(OR(E1004="",F1004=""),"Missing Date/Time",IFERROR(IF(F1004&gt;E1004,"Arrival After Appointment","OK"),"Check Format"))</f>
        <v>OK</v>
      </c>
      <c r="X1004" t="str">
        <f>IF(OR(F1004="",G1004=""),"Missing Date/Time",IFERROR(IF(G1004&lt;F1004,"Discharge Before Arrival","OK"),"Check Format"))</f>
        <v>Missing Date/Time</v>
      </c>
    </row>
    <row r="1005" spans="1:24" x14ac:dyDescent="0.25">
      <c r="A1005" s="2" t="s">
        <v>1614</v>
      </c>
      <c r="B1005" s="2" t="s">
        <v>467</v>
      </c>
      <c r="C1005" s="3" t="s">
        <v>46</v>
      </c>
      <c r="D1005" s="3" t="s">
        <v>115</v>
      </c>
      <c r="E1005" s="4">
        <v>45692.326388888891</v>
      </c>
      <c r="F1005" s="4">
        <v>45692.309027777781</v>
      </c>
      <c r="G1005" s="4">
        <v>45692.402083333334</v>
      </c>
      <c r="H1005" s="5">
        <v>69</v>
      </c>
      <c r="I1005" s="3" t="s">
        <v>95</v>
      </c>
      <c r="J1005" s="3" t="s">
        <v>150</v>
      </c>
      <c r="K1005" s="5">
        <v>97</v>
      </c>
      <c r="L1005" s="5">
        <v>12</v>
      </c>
      <c r="M1005" s="3" t="s">
        <v>32</v>
      </c>
      <c r="N1005" t="s">
        <v>69</v>
      </c>
      <c r="O1005" s="5">
        <v>2</v>
      </c>
      <c r="P1005" s="3" t="s">
        <v>25</v>
      </c>
      <c r="Q1005" s="2">
        <v>79.040000000000006</v>
      </c>
      <c r="R1005" s="3" t="s">
        <v>58</v>
      </c>
      <c r="S1005">
        <f>COUNTIF(A:A,A1005)</f>
        <v>1</v>
      </c>
      <c r="T1005" t="str">
        <f>IF(OR(H1005="",LOWER(TRIM(H1005&amp;""))="missing",LOWER(TRIM(H1005&amp;""))=""),"Missing/",IFERROR(IF(OR(VALUE(H1005)&lt;0,VALUE(H1005)&gt;110),"Invalid","Valid"),"Check Format"))</f>
        <v>Valid</v>
      </c>
      <c r="U1005">
        <f>IF(Raw_Data[[#This Row],[Age_Check]]="Valid",H1005,"")</f>
        <v>69</v>
      </c>
      <c r="V1005" t="str">
        <f>IF(OR(K1005="",UPPER(TRIM(K1005&amp;""))="",LOWER(TRIM(K1005&amp;""))="",LOWER(TRIM(K1005&amp;""))="",LOWER(TRIM(K1005&amp;""))="missing"),"Missing/",IFERROR(IF(VALUE(K1005)&lt;0,"Invalid","Valid"),"Check Format"))</f>
        <v>Valid</v>
      </c>
      <c r="W1005" t="str">
        <f>IF(OR(E1005="",F1005=""),"Missing Date/Time",IFERROR(IF(F1005&gt;E1005,"Arrival After Appointment","OK"),"Check Format"))</f>
        <v>OK</v>
      </c>
      <c r="X1005" t="str">
        <f>IF(OR(F1005="",G1005=""),"Missing Date/Time",IFERROR(IF(G1005&lt;F1005,"Discharge Before Arrival","OK"),"Check Format"))</f>
        <v>OK</v>
      </c>
    </row>
    <row r="1006" spans="1:24" x14ac:dyDescent="0.25">
      <c r="A1006" s="2" t="s">
        <v>1615</v>
      </c>
      <c r="B1006" s="2" t="s">
        <v>1616</v>
      </c>
      <c r="D1006" s="3" t="s">
        <v>72</v>
      </c>
      <c r="F1006" s="4">
        <v>45702.365972222222</v>
      </c>
      <c r="G1006" s="4">
        <v>45702.415277777778</v>
      </c>
      <c r="J1006" s="3" t="s">
        <v>62</v>
      </c>
      <c r="K1006" s="5">
        <v>36</v>
      </c>
      <c r="L1006" s="5">
        <v>22</v>
      </c>
      <c r="N1006" t="s">
        <v>91</v>
      </c>
      <c r="O1006" s="5">
        <v>0</v>
      </c>
      <c r="P1006" s="3" t="s">
        <v>25</v>
      </c>
      <c r="Q1006" s="2">
        <v>60.48</v>
      </c>
      <c r="R1006" s="3" t="s">
        <v>43</v>
      </c>
      <c r="S1006">
        <f>COUNTIF(A:A,A1006)</f>
        <v>1</v>
      </c>
      <c r="T1006" t="str">
        <f>IF(OR(H1006="",LOWER(TRIM(H1006&amp;""))="missing",LOWER(TRIM(H1006&amp;""))=""),"Missing/",IFERROR(IF(OR(VALUE(H1006)&lt;0,VALUE(H1006)&gt;110),"Invalid","Valid"),"Check Format"))</f>
        <v>Missing/</v>
      </c>
      <c r="U1006" t="str">
        <f>IF(Raw_Data[[#This Row],[Age_Check]]="Valid",H1006,"")</f>
        <v/>
      </c>
      <c r="V1006" t="str">
        <f>IF(OR(K1006="",UPPER(TRIM(K1006&amp;""))="",LOWER(TRIM(K1006&amp;""))="",LOWER(TRIM(K1006&amp;""))="",LOWER(TRIM(K1006&amp;""))="missing"),"Missing/",IFERROR(IF(VALUE(K1006)&lt;0,"Invalid","Valid"),"Check Format"))</f>
        <v>Valid</v>
      </c>
      <c r="W1006" t="str">
        <f>IF(OR(E1006="",F1006=""),"Missing Date/Time",IFERROR(IF(F1006&gt;E1006,"Arrival After Appointment","OK"),"Check Format"))</f>
        <v>Missing Date/Time</v>
      </c>
      <c r="X1006" t="str">
        <f>IF(OR(F1006="",G1006=""),"Missing Date/Time",IFERROR(IF(G1006&lt;F1006,"Discharge Before Arrival","OK"),"Check Format"))</f>
        <v>OK</v>
      </c>
    </row>
    <row r="1007" spans="1:24" x14ac:dyDescent="0.25">
      <c r="A1007" s="2" t="s">
        <v>1617</v>
      </c>
      <c r="B1007" s="2" t="s">
        <v>1618</v>
      </c>
      <c r="C1007" s="3" t="s">
        <v>94</v>
      </c>
      <c r="D1007" s="3" t="s">
        <v>30</v>
      </c>
      <c r="E1007" s="4">
        <v>45345.569444444445</v>
      </c>
      <c r="F1007" s="4">
        <v>45345.568749999999</v>
      </c>
      <c r="G1007" s="4">
        <v>45345.657638888886</v>
      </c>
      <c r="I1007" s="3" t="s">
        <v>90</v>
      </c>
      <c r="J1007" s="3" t="s">
        <v>62</v>
      </c>
      <c r="K1007" s="5">
        <v>100</v>
      </c>
      <c r="L1007" s="5">
        <v>27</v>
      </c>
      <c r="M1007" s="3" t="s">
        <v>41</v>
      </c>
      <c r="N1007" t="s">
        <v>100</v>
      </c>
      <c r="Q1007" s="2">
        <v>173.2</v>
      </c>
      <c r="R1007" s="3" t="s">
        <v>58</v>
      </c>
      <c r="S1007">
        <f>COUNTIF(A:A,A1007)</f>
        <v>1</v>
      </c>
      <c r="T1007" t="str">
        <f>IF(OR(H1007="",LOWER(TRIM(H1007&amp;""))="missing",LOWER(TRIM(H1007&amp;""))=""),"Missing/",IFERROR(IF(OR(VALUE(H1007)&lt;0,VALUE(H1007)&gt;110),"Invalid","Valid"),"Check Format"))</f>
        <v>Missing/</v>
      </c>
      <c r="U1007" t="str">
        <f>IF(Raw_Data[[#This Row],[Age_Check]]="Valid",H1007,"")</f>
        <v/>
      </c>
      <c r="V1007" t="str">
        <f>IF(OR(K1007="",UPPER(TRIM(K1007&amp;""))="",LOWER(TRIM(K1007&amp;""))="",LOWER(TRIM(K1007&amp;""))="",LOWER(TRIM(K1007&amp;""))="missing"),"Missing/",IFERROR(IF(VALUE(K1007)&lt;0,"Invalid","Valid"),"Check Format"))</f>
        <v>Valid</v>
      </c>
      <c r="W1007" t="str">
        <f>IF(OR(E1007="",F1007=""),"Missing Date/Time",IFERROR(IF(F1007&gt;E1007,"Arrival After Appointment","OK"),"Check Format"))</f>
        <v>OK</v>
      </c>
      <c r="X1007" t="str">
        <f>IF(OR(F1007="",G1007=""),"Missing Date/Time",IFERROR(IF(G1007&lt;F1007,"Discharge Before Arrival","OK"),"Check Format"))</f>
        <v>OK</v>
      </c>
    </row>
    <row r="1008" spans="1:24" x14ac:dyDescent="0.25">
      <c r="A1008" s="2" t="s">
        <v>1619</v>
      </c>
      <c r="B1008" s="2" t="s">
        <v>1620</v>
      </c>
      <c r="C1008" s="3" t="s">
        <v>46</v>
      </c>
      <c r="D1008" s="3" t="s">
        <v>20</v>
      </c>
      <c r="E1008" s="4">
        <v>45595.298611111109</v>
      </c>
      <c r="F1008" s="4">
        <v>45595.293749999997</v>
      </c>
      <c r="G1008" s="4">
        <v>45595.328472222223</v>
      </c>
      <c r="I1008" s="3" t="s">
        <v>73</v>
      </c>
      <c r="J1008" s="3" t="s">
        <v>2639</v>
      </c>
      <c r="K1008" s="5">
        <v>38</v>
      </c>
      <c r="L1008" s="5">
        <v>5</v>
      </c>
      <c r="M1008" s="3" t="s">
        <v>32</v>
      </c>
      <c r="N1008" t="s">
        <v>74</v>
      </c>
      <c r="O1008" s="5">
        <v>4</v>
      </c>
      <c r="P1008" s="3" t="s">
        <v>25</v>
      </c>
      <c r="Q1008" s="2">
        <v>166.6</v>
      </c>
      <c r="R1008" s="3" t="s">
        <v>75</v>
      </c>
      <c r="S1008">
        <f>COUNTIF(A:A,A1008)</f>
        <v>1</v>
      </c>
      <c r="T1008" t="str">
        <f>IF(OR(H1008="",LOWER(TRIM(H1008&amp;""))="missing",LOWER(TRIM(H1008&amp;""))=""),"Missing/",IFERROR(IF(OR(VALUE(H1008)&lt;0,VALUE(H1008)&gt;110),"Invalid","Valid"),"Check Format"))</f>
        <v>Missing/</v>
      </c>
      <c r="U1008" t="str">
        <f>IF(Raw_Data[[#This Row],[Age_Check]]="Valid",H1008,"")</f>
        <v/>
      </c>
      <c r="V1008" t="str">
        <f>IF(OR(K1008="",UPPER(TRIM(K1008&amp;""))="",LOWER(TRIM(K1008&amp;""))="",LOWER(TRIM(K1008&amp;""))="",LOWER(TRIM(K1008&amp;""))="missing"),"Missing/",IFERROR(IF(VALUE(K1008)&lt;0,"Invalid","Valid"),"Check Format"))</f>
        <v>Valid</v>
      </c>
      <c r="W1008" t="str">
        <f>IF(OR(E1008="",F1008=""),"Missing Date/Time",IFERROR(IF(F1008&gt;E1008,"Arrival After Appointment","OK"),"Check Format"))</f>
        <v>OK</v>
      </c>
      <c r="X1008" t="str">
        <f>IF(OR(F1008="",G1008=""),"Missing Date/Time",IFERROR(IF(G1008&lt;F1008,"Discharge Before Arrival","OK"),"Check Format"))</f>
        <v>OK</v>
      </c>
    </row>
    <row r="1009" spans="1:24" x14ac:dyDescent="0.25">
      <c r="A1009" s="2" t="s">
        <v>1621</v>
      </c>
      <c r="B1009" s="2" t="s">
        <v>1622</v>
      </c>
      <c r="C1009" s="3" t="s">
        <v>46</v>
      </c>
      <c r="D1009" s="3" t="s">
        <v>55</v>
      </c>
      <c r="E1009" s="4">
        <v>45816.729166666664</v>
      </c>
      <c r="F1009" s="4">
        <v>45816.713194444441</v>
      </c>
      <c r="G1009" s="4">
        <v>45816.75</v>
      </c>
      <c r="I1009" s="3" t="s">
        <v>73</v>
      </c>
      <c r="J1009" s="3" t="s">
        <v>67</v>
      </c>
      <c r="K1009" s="5">
        <v>0</v>
      </c>
      <c r="L1009" s="5">
        <v>30</v>
      </c>
      <c r="M1009" s="3" t="s">
        <v>50</v>
      </c>
      <c r="N1009" t="s">
        <v>103</v>
      </c>
      <c r="O1009" s="5">
        <v>6</v>
      </c>
      <c r="Q1009" s="2">
        <v>35.53</v>
      </c>
      <c r="R1009" s="3" t="s">
        <v>58</v>
      </c>
      <c r="S1009">
        <f>COUNTIF(A:A,A1009)</f>
        <v>1</v>
      </c>
      <c r="T1009" t="str">
        <f>IF(OR(H1009="",LOWER(TRIM(H1009&amp;""))="missing",LOWER(TRIM(H1009&amp;""))=""),"Missing/",IFERROR(IF(OR(VALUE(H1009)&lt;0,VALUE(H1009)&gt;110),"Invalid","Valid"),"Check Format"))</f>
        <v>Missing/</v>
      </c>
      <c r="U1009" t="str">
        <f>IF(Raw_Data[[#This Row],[Age_Check]]="Valid",H1009,"")</f>
        <v/>
      </c>
      <c r="V1009" t="str">
        <f>IF(OR(K1009="",UPPER(TRIM(K1009&amp;""))="",LOWER(TRIM(K1009&amp;""))="",LOWER(TRIM(K1009&amp;""))="",LOWER(TRIM(K1009&amp;""))="missing"),"Missing/",IFERROR(IF(VALUE(K1009)&lt;0,"Invalid","Valid"),"Check Format"))</f>
        <v>Valid</v>
      </c>
      <c r="W1009" t="str">
        <f>IF(OR(E1009="",F1009=""),"Missing Date/Time",IFERROR(IF(F1009&gt;E1009,"Arrival After Appointment","OK"),"Check Format"))</f>
        <v>OK</v>
      </c>
      <c r="X1009" t="str">
        <f>IF(OR(F1009="",G1009=""),"Missing Date/Time",IFERROR(IF(G1009&lt;F1009,"Discharge Before Arrival","OK"),"Check Format"))</f>
        <v>OK</v>
      </c>
    </row>
    <row r="1010" spans="1:24" x14ac:dyDescent="0.25">
      <c r="A1010" s="2" t="s">
        <v>1623</v>
      </c>
      <c r="B1010" s="2" t="s">
        <v>478</v>
      </c>
      <c r="C1010" s="3" t="s">
        <v>19</v>
      </c>
      <c r="D1010" s="3" t="s">
        <v>30</v>
      </c>
      <c r="E1010" s="4">
        <v>45881.590277777781</v>
      </c>
      <c r="F1010" s="4">
        <v>45881.581944444442</v>
      </c>
      <c r="G1010" s="4">
        <v>45881.711805555555</v>
      </c>
      <c r="I1010" s="3" t="s">
        <v>39</v>
      </c>
      <c r="J1010" s="3" t="s">
        <v>22</v>
      </c>
      <c r="K1010" s="5">
        <v>127</v>
      </c>
      <c r="L1010" s="5">
        <v>48</v>
      </c>
      <c r="M1010" s="3" t="s">
        <v>87</v>
      </c>
      <c r="N1010" t="s">
        <v>24</v>
      </c>
      <c r="O1010" s="5">
        <v>0</v>
      </c>
      <c r="Q1010" s="2">
        <v>153.46</v>
      </c>
      <c r="R1010" s="3" t="s">
        <v>75</v>
      </c>
      <c r="S1010">
        <f>COUNTIF(A:A,A1010)</f>
        <v>1</v>
      </c>
      <c r="T1010" t="str">
        <f>IF(OR(H1010="",LOWER(TRIM(H1010&amp;""))="missing",LOWER(TRIM(H1010&amp;""))=""),"Missing/",IFERROR(IF(OR(VALUE(H1010)&lt;0,VALUE(H1010)&gt;110),"Invalid","Valid"),"Check Format"))</f>
        <v>Missing/</v>
      </c>
      <c r="U1010" t="str">
        <f>IF(Raw_Data[[#This Row],[Age_Check]]="Valid",H1010,"")</f>
        <v/>
      </c>
      <c r="V1010" t="str">
        <f>IF(OR(K1010="",UPPER(TRIM(K1010&amp;""))="",LOWER(TRIM(K1010&amp;""))="",LOWER(TRIM(K1010&amp;""))="",LOWER(TRIM(K1010&amp;""))="missing"),"Missing/",IFERROR(IF(VALUE(K1010)&lt;0,"Invalid","Valid"),"Check Format"))</f>
        <v>Valid</v>
      </c>
      <c r="W1010" t="str">
        <f>IF(OR(E1010="",F1010=""),"Missing Date/Time",IFERROR(IF(F1010&gt;E1010,"Arrival After Appointment","OK"),"Check Format"))</f>
        <v>OK</v>
      </c>
      <c r="X1010" t="str">
        <f>IF(OR(F1010="",G1010=""),"Missing Date/Time",IFERROR(IF(G1010&lt;F1010,"Discharge Before Arrival","OK"),"Check Format"))</f>
        <v>OK</v>
      </c>
    </row>
    <row r="1011" spans="1:24" x14ac:dyDescent="0.25">
      <c r="A1011" s="2" t="s">
        <v>1624</v>
      </c>
      <c r="B1011" s="2" t="s">
        <v>216</v>
      </c>
      <c r="C1011" s="3" t="s">
        <v>29</v>
      </c>
      <c r="D1011" s="3" t="s">
        <v>149</v>
      </c>
      <c r="E1011" s="4" t="s">
        <v>1625</v>
      </c>
      <c r="F1011" s="4">
        <v>45621.604166666664</v>
      </c>
      <c r="G1011" s="4">
        <v>45621.7</v>
      </c>
      <c r="I1011" s="3" t="s">
        <v>95</v>
      </c>
      <c r="J1011" s="3" t="s">
        <v>2639</v>
      </c>
      <c r="K1011" s="5">
        <v>102</v>
      </c>
      <c r="L1011" s="5">
        <v>16</v>
      </c>
      <c r="M1011" s="3" t="s">
        <v>87</v>
      </c>
      <c r="N1011" t="s">
        <v>69</v>
      </c>
      <c r="P1011" s="3" t="s">
        <v>80</v>
      </c>
      <c r="Q1011" s="2">
        <v>188.48</v>
      </c>
      <c r="R1011" s="3" t="s">
        <v>58</v>
      </c>
      <c r="S1011">
        <f>COUNTIF(A:A,A1011)</f>
        <v>1</v>
      </c>
      <c r="T1011" t="str">
        <f>IF(OR(H1011="",LOWER(TRIM(H1011&amp;""))="missing",LOWER(TRIM(H1011&amp;""))=""),"Missing/",IFERROR(IF(OR(VALUE(H1011)&lt;0,VALUE(H1011)&gt;110),"Invalid","Valid"),"Check Format"))</f>
        <v>Missing/</v>
      </c>
      <c r="U1011" t="str">
        <f>IF(Raw_Data[[#This Row],[Age_Check]]="Valid",H1011,"")</f>
        <v/>
      </c>
      <c r="V1011" t="str">
        <f>IF(OR(K1011="",UPPER(TRIM(K1011&amp;""))="",LOWER(TRIM(K1011&amp;""))="",LOWER(TRIM(K1011&amp;""))="",LOWER(TRIM(K1011&amp;""))="missing"),"Missing/",IFERROR(IF(VALUE(K1011)&lt;0,"Invalid","Valid"),"Check Format"))</f>
        <v>Valid</v>
      </c>
      <c r="W1011" t="str">
        <f>IF(OR(E1011="",F1011=""),"Missing Date/Time",IFERROR(IF(F1011&gt;E1011,"Arrival After Appointment","OK"),"Check Format"))</f>
        <v>OK</v>
      </c>
      <c r="X1011" t="str">
        <f>IF(OR(F1011="",G1011=""),"Missing Date/Time",IFERROR(IF(G1011&lt;F1011,"Discharge Before Arrival","OK"),"Check Format"))</f>
        <v>OK</v>
      </c>
    </row>
    <row r="1012" spans="1:24" x14ac:dyDescent="0.25">
      <c r="A1012" s="2" t="s">
        <v>1626</v>
      </c>
      <c r="B1012" s="2" t="s">
        <v>576</v>
      </c>
      <c r="C1012" s="3" t="s">
        <v>46</v>
      </c>
      <c r="D1012" s="3" t="s">
        <v>115</v>
      </c>
      <c r="E1012" s="4" t="s">
        <v>1627</v>
      </c>
      <c r="F1012" s="4">
        <v>45835.654861111114</v>
      </c>
      <c r="G1012" s="4">
        <v>45835.743055555555</v>
      </c>
      <c r="H1012" s="5">
        <v>5</v>
      </c>
      <c r="J1012" s="3" t="s">
        <v>150</v>
      </c>
      <c r="K1012" s="5">
        <v>64</v>
      </c>
      <c r="L1012" s="5">
        <v>36</v>
      </c>
      <c r="M1012" s="3" t="s">
        <v>32</v>
      </c>
      <c r="N1012" t="s">
        <v>24</v>
      </c>
      <c r="O1012" s="5">
        <v>6</v>
      </c>
      <c r="P1012" s="3" t="s">
        <v>80</v>
      </c>
      <c r="Q1012" s="2">
        <v>246.79</v>
      </c>
      <c r="R1012" s="3" t="s">
        <v>26</v>
      </c>
      <c r="S1012">
        <f>COUNTIF(A:A,A1012)</f>
        <v>1</v>
      </c>
      <c r="T1012" t="str">
        <f>IF(OR(H1012="",LOWER(TRIM(H1012&amp;""))="missing",LOWER(TRIM(H1012&amp;""))=""),"Missing/",IFERROR(IF(OR(VALUE(H1012)&lt;0,VALUE(H1012)&gt;110),"Invalid","Valid"),"Check Format"))</f>
        <v>Valid</v>
      </c>
      <c r="U1012">
        <f>IF(Raw_Data[[#This Row],[Age_Check]]="Valid",H1012,"")</f>
        <v>5</v>
      </c>
      <c r="V1012" t="str">
        <f>IF(OR(K1012="",UPPER(TRIM(K1012&amp;""))="",LOWER(TRIM(K1012&amp;""))="",LOWER(TRIM(K1012&amp;""))="",LOWER(TRIM(K1012&amp;""))="missing"),"Missing/",IFERROR(IF(VALUE(K1012)&lt;0,"Invalid","Valid"),"Check Format"))</f>
        <v>Valid</v>
      </c>
      <c r="W1012" t="str">
        <f>IF(OR(E1012="",F1012=""),"Missing Date/Time",IFERROR(IF(F1012&gt;E1012,"Arrival After Appointment","OK"),"Check Format"))</f>
        <v>OK</v>
      </c>
      <c r="X1012" t="str">
        <f>IF(OR(F1012="",G1012=""),"Missing Date/Time",IFERROR(IF(G1012&lt;F1012,"Discharge Before Arrival","OK"),"Check Format"))</f>
        <v>OK</v>
      </c>
    </row>
    <row r="1013" spans="1:24" x14ac:dyDescent="0.25">
      <c r="A1013" s="2" t="s">
        <v>1628</v>
      </c>
      <c r="B1013" s="2" t="s">
        <v>769</v>
      </c>
      <c r="C1013" s="3" t="s">
        <v>94</v>
      </c>
      <c r="D1013" s="3" t="s">
        <v>209</v>
      </c>
      <c r="E1013" s="4">
        <v>45360.645833333336</v>
      </c>
      <c r="F1013" s="4">
        <v>45360.638888888891</v>
      </c>
      <c r="G1013" s="4">
        <v>45360.729166666664</v>
      </c>
      <c r="J1013" s="3" t="s">
        <v>22</v>
      </c>
      <c r="K1013" s="5">
        <v>83</v>
      </c>
      <c r="L1013" s="5">
        <v>37</v>
      </c>
      <c r="M1013" s="3" t="s">
        <v>63</v>
      </c>
      <c r="N1013" t="s">
        <v>100</v>
      </c>
      <c r="O1013" s="5">
        <v>4</v>
      </c>
      <c r="P1013" s="3" t="s">
        <v>80</v>
      </c>
      <c r="Q1013" s="2">
        <v>12.61</v>
      </c>
      <c r="R1013" s="3" t="s">
        <v>43</v>
      </c>
      <c r="S1013">
        <f>COUNTIF(A:A,A1013)</f>
        <v>1</v>
      </c>
      <c r="T1013" t="str">
        <f>IF(OR(H1013="",LOWER(TRIM(H1013&amp;""))="missing",LOWER(TRIM(H1013&amp;""))=""),"Missing/",IFERROR(IF(OR(VALUE(H1013)&lt;0,VALUE(H1013)&gt;110),"Invalid","Valid"),"Check Format"))</f>
        <v>Missing/</v>
      </c>
      <c r="U1013" t="str">
        <f>IF(Raw_Data[[#This Row],[Age_Check]]="Valid",H1013,"")</f>
        <v/>
      </c>
      <c r="V1013" t="str">
        <f>IF(OR(K1013="",UPPER(TRIM(K1013&amp;""))="",LOWER(TRIM(K1013&amp;""))="",LOWER(TRIM(K1013&amp;""))="",LOWER(TRIM(K1013&amp;""))="missing"),"Missing/",IFERROR(IF(VALUE(K1013)&lt;0,"Invalid","Valid"),"Check Format"))</f>
        <v>Valid</v>
      </c>
      <c r="W1013" t="str">
        <f>IF(OR(E1013="",F1013=""),"Missing Date/Time",IFERROR(IF(F1013&gt;E1013,"Arrival After Appointment","OK"),"Check Format"))</f>
        <v>OK</v>
      </c>
      <c r="X1013" t="str">
        <f>IF(OR(F1013="",G1013=""),"Missing Date/Time",IFERROR(IF(G1013&lt;F1013,"Discharge Before Arrival","OK"),"Check Format"))</f>
        <v>OK</v>
      </c>
    </row>
    <row r="1014" spans="1:24" x14ac:dyDescent="0.25">
      <c r="A1014" s="2" t="s">
        <v>1629</v>
      </c>
      <c r="B1014" s="2" t="s">
        <v>381</v>
      </c>
      <c r="C1014" s="3" t="s">
        <v>94</v>
      </c>
      <c r="D1014" s="3" t="s">
        <v>72</v>
      </c>
      <c r="E1014" s="4" t="s">
        <v>1630</v>
      </c>
      <c r="F1014" s="4">
        <v>45950.531944444447</v>
      </c>
      <c r="G1014" s="4">
        <v>45950.574999999997</v>
      </c>
      <c r="I1014" s="3" t="s">
        <v>73</v>
      </c>
      <c r="K1014" s="5">
        <v>24</v>
      </c>
      <c r="L1014" s="5">
        <v>29</v>
      </c>
      <c r="M1014" s="3" t="s">
        <v>87</v>
      </c>
      <c r="N1014" t="s">
        <v>69</v>
      </c>
      <c r="O1014" s="5">
        <v>6</v>
      </c>
      <c r="P1014" s="3" t="s">
        <v>80</v>
      </c>
      <c r="Q1014" s="2">
        <v>152.47</v>
      </c>
      <c r="R1014" s="3" t="s">
        <v>58</v>
      </c>
      <c r="S1014">
        <f>COUNTIF(A:A,A1014)</f>
        <v>1</v>
      </c>
      <c r="T1014" t="str">
        <f>IF(OR(H1014="",LOWER(TRIM(H1014&amp;""))="missing",LOWER(TRIM(H1014&amp;""))=""),"Missing/",IFERROR(IF(OR(VALUE(H1014)&lt;0,VALUE(H1014)&gt;110),"Invalid","Valid"),"Check Format"))</f>
        <v>Missing/</v>
      </c>
      <c r="U1014" t="str">
        <f>IF(Raw_Data[[#This Row],[Age_Check]]="Valid",H1014,"")</f>
        <v/>
      </c>
      <c r="V1014" t="str">
        <f>IF(OR(K1014="",UPPER(TRIM(K1014&amp;""))="",LOWER(TRIM(K1014&amp;""))="",LOWER(TRIM(K1014&amp;""))="",LOWER(TRIM(K1014&amp;""))="missing"),"Missing/",IFERROR(IF(VALUE(K1014)&lt;0,"Invalid","Valid"),"Check Format"))</f>
        <v>Valid</v>
      </c>
      <c r="W1014" t="str">
        <f>IF(OR(E1014="",F1014=""),"Missing Date/Time",IFERROR(IF(F1014&gt;E1014,"Arrival After Appointment","OK"),"Check Format"))</f>
        <v>OK</v>
      </c>
      <c r="X1014" t="str">
        <f>IF(OR(F1014="",G1014=""),"Missing Date/Time",IFERROR(IF(G1014&lt;F1014,"Discharge Before Arrival","OK"),"Check Format"))</f>
        <v>OK</v>
      </c>
    </row>
    <row r="1015" spans="1:24" x14ac:dyDescent="0.25">
      <c r="A1015" s="2" t="s">
        <v>1631</v>
      </c>
      <c r="B1015" s="2" t="s">
        <v>781</v>
      </c>
      <c r="C1015" s="3" t="s">
        <v>29</v>
      </c>
      <c r="D1015" s="3" t="s">
        <v>55</v>
      </c>
      <c r="E1015" s="4">
        <v>45326.611111111109</v>
      </c>
      <c r="F1015" s="4">
        <v>45384.598611111112</v>
      </c>
      <c r="G1015" s="4">
        <v>45384.675694444442</v>
      </c>
      <c r="H1015" s="5">
        <v>145</v>
      </c>
      <c r="I1015" s="3" t="s">
        <v>95</v>
      </c>
      <c r="K1015" s="5">
        <v>18</v>
      </c>
      <c r="L1015" s="5">
        <v>75</v>
      </c>
      <c r="N1015" t="s">
        <v>69</v>
      </c>
      <c r="O1015" s="5">
        <v>0</v>
      </c>
      <c r="P1015" s="3" t="s">
        <v>42</v>
      </c>
      <c r="Q1015" s="2">
        <v>266.31</v>
      </c>
      <c r="R1015" s="3" t="s">
        <v>58</v>
      </c>
      <c r="S1015">
        <f>COUNTIF(A:A,A1015)</f>
        <v>1</v>
      </c>
      <c r="T1015" t="str">
        <f>IF(OR(H1015="",LOWER(TRIM(H1015&amp;""))="missing",LOWER(TRIM(H1015&amp;""))=""),"Missing/",IFERROR(IF(OR(VALUE(H1015)&lt;0,VALUE(H1015)&gt;110),"Invalid","Valid"),"Check Format"))</f>
        <v>Invalid</v>
      </c>
      <c r="U1015" t="str">
        <f>IF(Raw_Data[[#This Row],[Age_Check]]="Valid",H1015,"")</f>
        <v/>
      </c>
      <c r="V1015" t="str">
        <f>IF(OR(K1015="",UPPER(TRIM(K1015&amp;""))="",LOWER(TRIM(K1015&amp;""))="",LOWER(TRIM(K1015&amp;""))="",LOWER(TRIM(K1015&amp;""))="missing"),"Missing/",IFERROR(IF(VALUE(K1015)&lt;0,"Invalid","Valid"),"Check Format"))</f>
        <v>Valid</v>
      </c>
      <c r="W1015" t="str">
        <f>IF(OR(E1015="",F1015=""),"Missing Date/Time",IFERROR(IF(F1015&gt;E1015,"Arrival After Appointment","OK"),"Check Format"))</f>
        <v>Arrival After Appointment</v>
      </c>
      <c r="X1015" t="str">
        <f>IF(OR(F1015="",G1015=""),"Missing Date/Time",IFERROR(IF(G1015&lt;F1015,"Discharge Before Arrival","OK"),"Check Format"))</f>
        <v>OK</v>
      </c>
    </row>
    <row r="1016" spans="1:24" x14ac:dyDescent="0.25">
      <c r="A1016" s="2" t="s">
        <v>1632</v>
      </c>
      <c r="B1016" s="2" t="s">
        <v>873</v>
      </c>
      <c r="C1016" s="3" t="s">
        <v>94</v>
      </c>
      <c r="D1016" s="3" t="s">
        <v>174</v>
      </c>
      <c r="E1016" s="4">
        <v>45319.381944444445</v>
      </c>
      <c r="F1016" s="4">
        <v>45319.376388888886</v>
      </c>
      <c r="G1016" s="4">
        <v>45319.459722222222</v>
      </c>
      <c r="I1016" s="3" t="s">
        <v>73</v>
      </c>
      <c r="J1016" s="3" t="s">
        <v>2639</v>
      </c>
      <c r="K1016" s="5">
        <v>79</v>
      </c>
      <c r="L1016" s="5">
        <v>33</v>
      </c>
      <c r="M1016" s="3" t="s">
        <v>87</v>
      </c>
      <c r="O1016" s="5">
        <v>0</v>
      </c>
      <c r="P1016" s="3" t="s">
        <v>25</v>
      </c>
      <c r="Q1016" s="2">
        <v>128.02000000000001</v>
      </c>
      <c r="R1016" s="3" t="s">
        <v>75</v>
      </c>
      <c r="S1016">
        <f>COUNTIF(A:A,A1016)</f>
        <v>1</v>
      </c>
      <c r="T1016" t="str">
        <f>IF(OR(H1016="",LOWER(TRIM(H1016&amp;""))="missing",LOWER(TRIM(H1016&amp;""))=""),"Missing/",IFERROR(IF(OR(VALUE(H1016)&lt;0,VALUE(H1016)&gt;110),"Invalid","Valid"),"Check Format"))</f>
        <v>Missing/</v>
      </c>
      <c r="U1016" t="str">
        <f>IF(Raw_Data[[#This Row],[Age_Check]]="Valid",H1016,"")</f>
        <v/>
      </c>
      <c r="V1016" t="str">
        <f>IF(OR(K1016="",UPPER(TRIM(K1016&amp;""))="",LOWER(TRIM(K1016&amp;""))="",LOWER(TRIM(K1016&amp;""))="",LOWER(TRIM(K1016&amp;""))="missing"),"Missing/",IFERROR(IF(VALUE(K1016)&lt;0,"Invalid","Valid"),"Check Format"))</f>
        <v>Valid</v>
      </c>
      <c r="W1016" t="str">
        <f>IF(OR(E1016="",F1016=""),"Missing Date/Time",IFERROR(IF(F1016&gt;E1016,"Arrival After Appointment","OK"),"Check Format"))</f>
        <v>OK</v>
      </c>
      <c r="X1016" t="str">
        <f>IF(OR(F1016="",G1016=""),"Missing Date/Time",IFERROR(IF(G1016&lt;F1016,"Discharge Before Arrival","OK"),"Check Format"))</f>
        <v>OK</v>
      </c>
    </row>
    <row r="1017" spans="1:24" x14ac:dyDescent="0.25">
      <c r="A1017" s="2" t="s">
        <v>1633</v>
      </c>
      <c r="B1017" s="2" t="s">
        <v>526</v>
      </c>
      <c r="C1017" s="3" t="s">
        <v>37</v>
      </c>
      <c r="D1017" s="3" t="s">
        <v>66</v>
      </c>
      <c r="E1017" s="4">
        <v>45613.510416666664</v>
      </c>
      <c r="F1017" s="4">
        <v>45613.509027777778</v>
      </c>
      <c r="G1017" s="4">
        <v>45613.55</v>
      </c>
      <c r="K1017" s="5">
        <v>24</v>
      </c>
      <c r="L1017" s="5">
        <v>33</v>
      </c>
      <c r="M1017" s="3" t="s">
        <v>87</v>
      </c>
      <c r="P1017" s="3" t="s">
        <v>25</v>
      </c>
      <c r="Q1017" s="2">
        <v>165.62</v>
      </c>
      <c r="R1017" s="3" t="s">
        <v>58</v>
      </c>
      <c r="S1017">
        <f>COUNTIF(A:A,A1017)</f>
        <v>1</v>
      </c>
      <c r="T1017" t="str">
        <f>IF(OR(H1017="",LOWER(TRIM(H1017&amp;""))="missing",LOWER(TRIM(H1017&amp;""))=""),"Missing/",IFERROR(IF(OR(VALUE(H1017)&lt;0,VALUE(H1017)&gt;110),"Invalid","Valid"),"Check Format"))</f>
        <v>Missing/</v>
      </c>
      <c r="U1017" t="str">
        <f>IF(Raw_Data[[#This Row],[Age_Check]]="Valid",H1017,"")</f>
        <v/>
      </c>
      <c r="V1017" t="str">
        <f>IF(OR(K1017="",UPPER(TRIM(K1017&amp;""))="",LOWER(TRIM(K1017&amp;""))="",LOWER(TRIM(K1017&amp;""))="",LOWER(TRIM(K1017&amp;""))="missing"),"Missing/",IFERROR(IF(VALUE(K1017)&lt;0,"Invalid","Valid"),"Check Format"))</f>
        <v>Valid</v>
      </c>
      <c r="W1017" t="str">
        <f>IF(OR(E1017="",F1017=""),"Missing Date/Time",IFERROR(IF(F1017&gt;E1017,"Arrival After Appointment","OK"),"Check Format"))</f>
        <v>OK</v>
      </c>
      <c r="X1017" t="str">
        <f>IF(OR(F1017="",G1017=""),"Missing Date/Time",IFERROR(IF(G1017&lt;F1017,"Discharge Before Arrival","OK"),"Check Format"))</f>
        <v>OK</v>
      </c>
    </row>
    <row r="1018" spans="1:24" x14ac:dyDescent="0.25">
      <c r="A1018" s="2" t="s">
        <v>1634</v>
      </c>
      <c r="B1018" s="2" t="s">
        <v>1304</v>
      </c>
      <c r="C1018" s="3" t="s">
        <v>94</v>
      </c>
      <c r="D1018" s="3" t="s">
        <v>72</v>
      </c>
      <c r="E1018" s="4">
        <v>45561.652777777781</v>
      </c>
      <c r="F1018" s="4">
        <v>45561.638194444444</v>
      </c>
      <c r="G1018" s="4">
        <v>45561.688888888886</v>
      </c>
      <c r="H1018" s="5">
        <v>19</v>
      </c>
      <c r="J1018" s="3" t="s">
        <v>62</v>
      </c>
      <c r="K1018" s="5">
        <v>14</v>
      </c>
      <c r="L1018" s="5">
        <v>38</v>
      </c>
      <c r="N1018" t="s">
        <v>100</v>
      </c>
      <c r="Q1018" s="2">
        <v>132.58000000000001</v>
      </c>
      <c r="R1018" s="3" t="s">
        <v>58</v>
      </c>
      <c r="S1018">
        <f>COUNTIF(A:A,A1018)</f>
        <v>1</v>
      </c>
      <c r="T1018" t="str">
        <f>IF(OR(H1018="",LOWER(TRIM(H1018&amp;""))="missing",LOWER(TRIM(H1018&amp;""))=""),"Missing/",IFERROR(IF(OR(VALUE(H1018)&lt;0,VALUE(H1018)&gt;110),"Invalid","Valid"),"Check Format"))</f>
        <v>Valid</v>
      </c>
      <c r="U1018">
        <f>IF(Raw_Data[[#This Row],[Age_Check]]="Valid",H1018,"")</f>
        <v>19</v>
      </c>
      <c r="V1018" t="str">
        <f>IF(OR(K1018="",UPPER(TRIM(K1018&amp;""))="",LOWER(TRIM(K1018&amp;""))="",LOWER(TRIM(K1018&amp;""))="",LOWER(TRIM(K1018&amp;""))="missing"),"Missing/",IFERROR(IF(VALUE(K1018)&lt;0,"Invalid","Valid"),"Check Format"))</f>
        <v>Valid</v>
      </c>
      <c r="W1018" t="str">
        <f>IF(OR(E1018="",F1018=""),"Missing Date/Time",IFERROR(IF(F1018&gt;E1018,"Arrival After Appointment","OK"),"Check Format"))</f>
        <v>OK</v>
      </c>
      <c r="X1018" t="str">
        <f>IF(OR(F1018="",G1018=""),"Missing Date/Time",IFERROR(IF(G1018&lt;F1018,"Discharge Before Arrival","OK"),"Check Format"))</f>
        <v>OK</v>
      </c>
    </row>
    <row r="1019" spans="1:24" x14ac:dyDescent="0.25">
      <c r="A1019" s="2" t="s">
        <v>1635</v>
      </c>
      <c r="B1019" s="2" t="s">
        <v>182</v>
      </c>
      <c r="C1019" s="3" t="s">
        <v>19</v>
      </c>
      <c r="D1019" s="3" t="s">
        <v>115</v>
      </c>
      <c r="E1019" s="4">
        <v>45851.340277777781</v>
      </c>
      <c r="F1019" s="4">
        <v>45851.337500000001</v>
      </c>
      <c r="G1019" s="4">
        <v>45851.351388888892</v>
      </c>
      <c r="I1019" s="3" t="s">
        <v>95</v>
      </c>
      <c r="K1019" s="5">
        <v>0</v>
      </c>
      <c r="L1019" s="5">
        <v>16</v>
      </c>
      <c r="N1019" t="s">
        <v>69</v>
      </c>
      <c r="O1019" s="5">
        <v>5</v>
      </c>
      <c r="P1019" s="3" t="s">
        <v>25</v>
      </c>
      <c r="Q1019" s="2">
        <v>111.91</v>
      </c>
      <c r="R1019" s="3" t="s">
        <v>43</v>
      </c>
      <c r="S1019">
        <f>COUNTIF(A:A,A1019)</f>
        <v>1</v>
      </c>
      <c r="T1019" t="str">
        <f>IF(OR(H1019="",LOWER(TRIM(H1019&amp;""))="missing",LOWER(TRIM(H1019&amp;""))=""),"Missing/",IFERROR(IF(OR(VALUE(H1019)&lt;0,VALUE(H1019)&gt;110),"Invalid","Valid"),"Check Format"))</f>
        <v>Missing/</v>
      </c>
      <c r="U1019" t="str">
        <f>IF(Raw_Data[[#This Row],[Age_Check]]="Valid",H1019,"")</f>
        <v/>
      </c>
      <c r="V1019" t="str">
        <f>IF(OR(K1019="",UPPER(TRIM(K1019&amp;""))="",LOWER(TRIM(K1019&amp;""))="",LOWER(TRIM(K1019&amp;""))="",LOWER(TRIM(K1019&amp;""))="missing"),"Missing/",IFERROR(IF(VALUE(K1019)&lt;0,"Invalid","Valid"),"Check Format"))</f>
        <v>Valid</v>
      </c>
      <c r="W1019" t="str">
        <f>IF(OR(E1019="",F1019=""),"Missing Date/Time",IFERROR(IF(F1019&gt;E1019,"Arrival After Appointment","OK"),"Check Format"))</f>
        <v>OK</v>
      </c>
      <c r="X1019" t="str">
        <f>IF(OR(F1019="",G1019=""),"Missing Date/Time",IFERROR(IF(G1019&lt;F1019,"Discharge Before Arrival","OK"),"Check Format"))</f>
        <v>OK</v>
      </c>
    </row>
    <row r="1020" spans="1:24" x14ac:dyDescent="0.25">
      <c r="A1020" s="2" t="s">
        <v>1636</v>
      </c>
      <c r="B1020" s="2" t="s">
        <v>1331</v>
      </c>
      <c r="C1020" s="3" t="s">
        <v>94</v>
      </c>
      <c r="D1020" s="3" t="s">
        <v>20</v>
      </c>
      <c r="E1020" s="4" t="s">
        <v>1637</v>
      </c>
      <c r="F1020" s="4">
        <v>45439.556250000001</v>
      </c>
      <c r="G1020" s="4">
        <v>45439.68472222222</v>
      </c>
      <c r="I1020" s="3" t="s">
        <v>39</v>
      </c>
      <c r="J1020" s="3" t="s">
        <v>2639</v>
      </c>
      <c r="K1020" s="5">
        <v>124</v>
      </c>
      <c r="L1020" s="5">
        <v>42</v>
      </c>
      <c r="M1020" s="3" t="s">
        <v>87</v>
      </c>
      <c r="N1020" t="s">
        <v>69</v>
      </c>
      <c r="O1020" s="5">
        <v>0</v>
      </c>
      <c r="P1020" s="3" t="s">
        <v>25</v>
      </c>
      <c r="Q1020" s="2">
        <v>38.159999999999997</v>
      </c>
      <c r="R1020" s="3" t="s">
        <v>26</v>
      </c>
      <c r="S1020">
        <f>COUNTIF(A:A,A1020)</f>
        <v>1</v>
      </c>
      <c r="T1020" t="str">
        <f>IF(OR(H1020="",LOWER(TRIM(H1020&amp;""))="missing",LOWER(TRIM(H1020&amp;""))=""),"Missing/",IFERROR(IF(OR(VALUE(H1020)&lt;0,VALUE(H1020)&gt;110),"Invalid","Valid"),"Check Format"))</f>
        <v>Missing/</v>
      </c>
      <c r="U1020" t="str">
        <f>IF(Raw_Data[[#This Row],[Age_Check]]="Valid",H1020,"")</f>
        <v/>
      </c>
      <c r="V1020" t="str">
        <f>IF(OR(K1020="",UPPER(TRIM(K1020&amp;""))="",LOWER(TRIM(K1020&amp;""))="",LOWER(TRIM(K1020&amp;""))="",LOWER(TRIM(K1020&amp;""))="missing"),"Missing/",IFERROR(IF(VALUE(K1020)&lt;0,"Invalid","Valid"),"Check Format"))</f>
        <v>Valid</v>
      </c>
      <c r="W1020" t="str">
        <f>IF(OR(E1020="",F1020=""),"Missing Date/Time",IFERROR(IF(F1020&gt;E1020,"Arrival After Appointment","OK"),"Check Format"))</f>
        <v>OK</v>
      </c>
      <c r="X1020" t="str">
        <f>IF(OR(F1020="",G1020=""),"Missing Date/Time",IFERROR(IF(G1020&lt;F1020,"Discharge Before Arrival","OK"),"Check Format"))</f>
        <v>OK</v>
      </c>
    </row>
    <row r="1021" spans="1:24" x14ac:dyDescent="0.25">
      <c r="A1021" s="2" t="s">
        <v>1638</v>
      </c>
      <c r="B1021" s="2" t="s">
        <v>1500</v>
      </c>
      <c r="C1021" s="3" t="s">
        <v>19</v>
      </c>
      <c r="D1021" s="3" t="s">
        <v>23</v>
      </c>
      <c r="E1021" s="4">
        <v>45487.517361111109</v>
      </c>
      <c r="F1021" s="4">
        <v>45487.499305555553</v>
      </c>
      <c r="G1021" s="4">
        <v>45487.572916666664</v>
      </c>
      <c r="I1021" s="3" t="s">
        <v>39</v>
      </c>
      <c r="J1021" s="3" t="s">
        <v>62</v>
      </c>
      <c r="K1021" s="5">
        <v>75</v>
      </c>
      <c r="L1021" s="5">
        <v>5</v>
      </c>
      <c r="M1021" s="3" t="s">
        <v>41</v>
      </c>
      <c r="N1021" t="s">
        <v>74</v>
      </c>
      <c r="P1021" s="3" t="s">
        <v>25</v>
      </c>
      <c r="Q1021" s="2">
        <v>231.62</v>
      </c>
      <c r="R1021" s="3" t="s">
        <v>58</v>
      </c>
      <c r="S1021">
        <f>COUNTIF(A:A,A1021)</f>
        <v>1</v>
      </c>
      <c r="T1021" t="str">
        <f>IF(OR(H1021="",LOWER(TRIM(H1021&amp;""))="missing",LOWER(TRIM(H1021&amp;""))=""),"Missing/",IFERROR(IF(OR(VALUE(H1021)&lt;0,VALUE(H1021)&gt;110),"Invalid","Valid"),"Check Format"))</f>
        <v>Missing/</v>
      </c>
      <c r="U1021" t="str">
        <f>IF(Raw_Data[[#This Row],[Age_Check]]="Valid",H1021,"")</f>
        <v/>
      </c>
      <c r="V1021" t="str">
        <f>IF(OR(K1021="",UPPER(TRIM(K1021&amp;""))="",LOWER(TRIM(K1021&amp;""))="",LOWER(TRIM(K1021&amp;""))="",LOWER(TRIM(K1021&amp;""))="missing"),"Missing/",IFERROR(IF(VALUE(K1021)&lt;0,"Invalid","Valid"),"Check Format"))</f>
        <v>Valid</v>
      </c>
      <c r="W1021" t="str">
        <f>IF(OR(E1021="",F1021=""),"Missing Date/Time",IFERROR(IF(F1021&gt;E1021,"Arrival After Appointment","OK"),"Check Format"))</f>
        <v>OK</v>
      </c>
      <c r="X1021" t="str">
        <f>IF(OR(F1021="",G1021=""),"Missing Date/Time",IFERROR(IF(G1021&lt;F1021,"Discharge Before Arrival","OK"),"Check Format"))</f>
        <v>OK</v>
      </c>
    </row>
    <row r="1022" spans="1:24" x14ac:dyDescent="0.25">
      <c r="A1022" s="2" t="s">
        <v>1639</v>
      </c>
      <c r="B1022" s="2" t="s">
        <v>976</v>
      </c>
      <c r="C1022" s="3" t="s">
        <v>37</v>
      </c>
      <c r="D1022" s="3" t="s">
        <v>61</v>
      </c>
      <c r="E1022" s="4">
        <v>45519.638888888891</v>
      </c>
      <c r="F1022" s="4">
        <v>45519.637499999997</v>
      </c>
      <c r="G1022" s="4">
        <v>45519.688194444447</v>
      </c>
      <c r="H1022" s="5">
        <v>39</v>
      </c>
      <c r="I1022" s="3" t="s">
        <v>73</v>
      </c>
      <c r="J1022" s="3" t="s">
        <v>22</v>
      </c>
      <c r="K1022" s="5">
        <v>41</v>
      </c>
      <c r="L1022" s="5">
        <v>30</v>
      </c>
      <c r="M1022" s="3" t="s">
        <v>68</v>
      </c>
      <c r="N1022" t="s">
        <v>24</v>
      </c>
      <c r="O1022" s="5">
        <v>1</v>
      </c>
      <c r="P1022" s="3" t="s">
        <v>80</v>
      </c>
      <c r="Q1022" s="2">
        <v>251.06</v>
      </c>
      <c r="R1022" s="3" t="s">
        <v>58</v>
      </c>
      <c r="S1022">
        <f>COUNTIF(A:A,A1022)</f>
        <v>1</v>
      </c>
      <c r="T1022" t="str">
        <f>IF(OR(H1022="",LOWER(TRIM(H1022&amp;""))="missing",LOWER(TRIM(H1022&amp;""))=""),"Missing/",IFERROR(IF(OR(VALUE(H1022)&lt;0,VALUE(H1022)&gt;110),"Invalid","Valid"),"Check Format"))</f>
        <v>Valid</v>
      </c>
      <c r="U1022">
        <f>IF(Raw_Data[[#This Row],[Age_Check]]="Valid",H1022,"")</f>
        <v>39</v>
      </c>
      <c r="V1022" t="str">
        <f>IF(OR(K1022="",UPPER(TRIM(K1022&amp;""))="",LOWER(TRIM(K1022&amp;""))="",LOWER(TRIM(K1022&amp;""))="",LOWER(TRIM(K1022&amp;""))="missing"),"Missing/",IFERROR(IF(VALUE(K1022)&lt;0,"Invalid","Valid"),"Check Format"))</f>
        <v>Valid</v>
      </c>
      <c r="W1022" t="str">
        <f>IF(OR(E1022="",F1022=""),"Missing Date/Time",IFERROR(IF(F1022&gt;E1022,"Arrival After Appointment","OK"),"Check Format"))</f>
        <v>OK</v>
      </c>
      <c r="X1022" t="str">
        <f>IF(OR(F1022="",G1022=""),"Missing Date/Time",IFERROR(IF(G1022&lt;F1022,"Discharge Before Arrival","OK"),"Check Format"))</f>
        <v>OK</v>
      </c>
    </row>
    <row r="1023" spans="1:24" x14ac:dyDescent="0.25">
      <c r="A1023" s="2" t="s">
        <v>1640</v>
      </c>
      <c r="B1023" s="2" t="s">
        <v>307</v>
      </c>
      <c r="D1023" s="3" t="s">
        <v>149</v>
      </c>
      <c r="E1023" s="4">
        <v>45838.670138888891</v>
      </c>
      <c r="F1023" s="4">
        <v>45838.651388888888</v>
      </c>
      <c r="G1023" s="4">
        <v>45838.682638888888</v>
      </c>
      <c r="I1023" s="3" t="s">
        <v>90</v>
      </c>
      <c r="J1023" s="3" t="s">
        <v>67</v>
      </c>
      <c r="K1023" s="5">
        <v>12</v>
      </c>
      <c r="L1023" s="5">
        <v>6</v>
      </c>
      <c r="M1023" s="3" t="s">
        <v>41</v>
      </c>
      <c r="N1023" t="s">
        <v>69</v>
      </c>
      <c r="P1023" s="3" t="s">
        <v>80</v>
      </c>
      <c r="Q1023" s="2">
        <v>98.31</v>
      </c>
      <c r="R1023" s="3" t="s">
        <v>26</v>
      </c>
      <c r="S1023">
        <f>COUNTIF(A:A,A1023)</f>
        <v>1</v>
      </c>
      <c r="T1023" t="str">
        <f>IF(OR(H1023="",LOWER(TRIM(H1023&amp;""))="missing",LOWER(TRIM(H1023&amp;""))=""),"Missing/",IFERROR(IF(OR(VALUE(H1023)&lt;0,VALUE(H1023)&gt;110),"Invalid","Valid"),"Check Format"))</f>
        <v>Missing/</v>
      </c>
      <c r="U1023" t="str">
        <f>IF(Raw_Data[[#This Row],[Age_Check]]="Valid",H1023,"")</f>
        <v/>
      </c>
      <c r="V1023" t="str">
        <f>IF(OR(K1023="",UPPER(TRIM(K1023&amp;""))="",LOWER(TRIM(K1023&amp;""))="",LOWER(TRIM(K1023&amp;""))="",LOWER(TRIM(K1023&amp;""))="missing"),"Missing/",IFERROR(IF(VALUE(K1023)&lt;0,"Invalid","Valid"),"Check Format"))</f>
        <v>Valid</v>
      </c>
      <c r="W1023" t="str">
        <f>IF(OR(E1023="",F1023=""),"Missing Date/Time",IFERROR(IF(F1023&gt;E1023,"Arrival After Appointment","OK"),"Check Format"))</f>
        <v>OK</v>
      </c>
      <c r="X1023" t="str">
        <f>IF(OR(F1023="",G1023=""),"Missing Date/Time",IFERROR(IF(G1023&lt;F1023,"Discharge Before Arrival","OK"),"Check Format"))</f>
        <v>OK</v>
      </c>
    </row>
    <row r="1024" spans="1:24" x14ac:dyDescent="0.25">
      <c r="A1024" s="2" t="s">
        <v>1641</v>
      </c>
      <c r="B1024" s="2" t="s">
        <v>729</v>
      </c>
      <c r="C1024" s="3" t="s">
        <v>37</v>
      </c>
      <c r="D1024" s="3" t="s">
        <v>61</v>
      </c>
      <c r="E1024" s="4">
        <v>45529.579861111109</v>
      </c>
      <c r="F1024" s="4">
        <v>45529.566666666666</v>
      </c>
      <c r="G1024" s="4">
        <v>45529.648611111108</v>
      </c>
      <c r="H1024" s="5">
        <v>145</v>
      </c>
      <c r="I1024" s="3" t="s">
        <v>73</v>
      </c>
      <c r="J1024" s="3" t="s">
        <v>67</v>
      </c>
      <c r="K1024" s="5">
        <v>94</v>
      </c>
      <c r="L1024" s="5">
        <v>5</v>
      </c>
      <c r="M1024" s="3" t="s">
        <v>23</v>
      </c>
      <c r="N1024" t="s">
        <v>91</v>
      </c>
      <c r="P1024" s="3" t="s">
        <v>80</v>
      </c>
      <c r="Q1024" s="2">
        <v>0</v>
      </c>
      <c r="R1024" s="3" t="s">
        <v>43</v>
      </c>
      <c r="S1024">
        <f>COUNTIF(A:A,A1024)</f>
        <v>1</v>
      </c>
      <c r="T1024" t="str">
        <f>IF(OR(H1024="",LOWER(TRIM(H1024&amp;""))="missing",LOWER(TRIM(H1024&amp;""))=""),"Missing/",IFERROR(IF(OR(VALUE(H1024)&lt;0,VALUE(H1024)&gt;110),"Invalid","Valid"),"Check Format"))</f>
        <v>Invalid</v>
      </c>
      <c r="U1024" t="str">
        <f>IF(Raw_Data[[#This Row],[Age_Check]]="Valid",H1024,"")</f>
        <v/>
      </c>
      <c r="V1024" t="str">
        <f>IF(OR(K1024="",UPPER(TRIM(K1024&amp;""))="",LOWER(TRIM(K1024&amp;""))="",LOWER(TRIM(K1024&amp;""))="",LOWER(TRIM(K1024&amp;""))="missing"),"Missing/",IFERROR(IF(VALUE(K1024)&lt;0,"Invalid","Valid"),"Check Format"))</f>
        <v>Valid</v>
      </c>
      <c r="W1024" t="str">
        <f>IF(OR(E1024="",F1024=""),"Missing Date/Time",IFERROR(IF(F1024&gt;E1024,"Arrival After Appointment","OK"),"Check Format"))</f>
        <v>OK</v>
      </c>
      <c r="X1024" t="str">
        <f>IF(OR(F1024="",G1024=""),"Missing Date/Time",IFERROR(IF(G1024&lt;F1024,"Discharge Before Arrival","OK"),"Check Format"))</f>
        <v>OK</v>
      </c>
    </row>
    <row r="1025" spans="1:24" x14ac:dyDescent="0.25">
      <c r="A1025" s="2" t="s">
        <v>1642</v>
      </c>
      <c r="B1025" s="2" t="s">
        <v>556</v>
      </c>
      <c r="C1025" s="3" t="s">
        <v>94</v>
      </c>
      <c r="D1025" s="3" t="s">
        <v>72</v>
      </c>
      <c r="E1025" s="4">
        <v>45741.420138888891</v>
      </c>
      <c r="F1025" s="4">
        <v>45741.418749999997</v>
      </c>
      <c r="G1025" s="4">
        <v>45741.477777777778</v>
      </c>
      <c r="I1025" s="3" t="s">
        <v>90</v>
      </c>
      <c r="K1025" s="5">
        <v>42</v>
      </c>
      <c r="L1025" s="5">
        <v>41</v>
      </c>
      <c r="M1025" s="3" t="s">
        <v>68</v>
      </c>
      <c r="N1025" t="s">
        <v>24</v>
      </c>
      <c r="P1025" s="3" t="s">
        <v>25</v>
      </c>
      <c r="Q1025" s="2">
        <v>241.02</v>
      </c>
      <c r="R1025" s="3" t="s">
        <v>75</v>
      </c>
      <c r="S1025">
        <f>COUNTIF(A:A,A1025)</f>
        <v>1</v>
      </c>
      <c r="T1025" t="str">
        <f>IF(OR(H1025="",LOWER(TRIM(H1025&amp;""))="missing",LOWER(TRIM(H1025&amp;""))=""),"Missing/",IFERROR(IF(OR(VALUE(H1025)&lt;0,VALUE(H1025)&gt;110),"Invalid","Valid"),"Check Format"))</f>
        <v>Missing/</v>
      </c>
      <c r="U1025" t="str">
        <f>IF(Raw_Data[[#This Row],[Age_Check]]="Valid",H1025,"")</f>
        <v/>
      </c>
      <c r="V1025" t="str">
        <f>IF(OR(K1025="",UPPER(TRIM(K1025&amp;""))="",LOWER(TRIM(K1025&amp;""))="",LOWER(TRIM(K1025&amp;""))="",LOWER(TRIM(K1025&amp;""))="missing"),"Missing/",IFERROR(IF(VALUE(K1025)&lt;0,"Invalid","Valid"),"Check Format"))</f>
        <v>Valid</v>
      </c>
      <c r="W1025" t="str">
        <f>IF(OR(E1025="",F1025=""),"Missing Date/Time",IFERROR(IF(F1025&gt;E1025,"Arrival After Appointment","OK"),"Check Format"))</f>
        <v>OK</v>
      </c>
      <c r="X1025" t="str">
        <f>IF(OR(F1025="",G1025=""),"Missing Date/Time",IFERROR(IF(G1025&lt;F1025,"Discharge Before Arrival","OK"),"Check Format"))</f>
        <v>OK</v>
      </c>
    </row>
    <row r="1026" spans="1:24" x14ac:dyDescent="0.25">
      <c r="A1026" s="2" t="s">
        <v>1643</v>
      </c>
      <c r="B1026" s="2" t="s">
        <v>599</v>
      </c>
      <c r="C1026" s="3" t="s">
        <v>37</v>
      </c>
      <c r="D1026" s="3" t="s">
        <v>38</v>
      </c>
      <c r="E1026" s="4">
        <v>45842.447916666664</v>
      </c>
      <c r="F1026" s="4">
        <v>45842.430555555555</v>
      </c>
      <c r="G1026" s="4">
        <v>45842.493055555555</v>
      </c>
      <c r="I1026" s="3" t="s">
        <v>95</v>
      </c>
      <c r="J1026" s="3" t="s">
        <v>67</v>
      </c>
      <c r="K1026" s="5">
        <v>41</v>
      </c>
      <c r="L1026" s="5">
        <v>24</v>
      </c>
      <c r="M1026" s="3" t="s">
        <v>68</v>
      </c>
      <c r="N1026" t="s">
        <v>100</v>
      </c>
      <c r="P1026" s="3" t="s">
        <v>25</v>
      </c>
      <c r="Q1026" s="2">
        <v>237.31</v>
      </c>
      <c r="R1026" s="3" t="s">
        <v>58</v>
      </c>
      <c r="S1026">
        <f>COUNTIF(A:A,A1026)</f>
        <v>1</v>
      </c>
      <c r="T1026" t="str">
        <f>IF(OR(H1026="",LOWER(TRIM(H1026&amp;""))="missing",LOWER(TRIM(H1026&amp;""))=""),"Missing/",IFERROR(IF(OR(VALUE(H1026)&lt;0,VALUE(H1026)&gt;110),"Invalid","Valid"),"Check Format"))</f>
        <v>Missing/</v>
      </c>
      <c r="U1026" t="str">
        <f>IF(Raw_Data[[#This Row],[Age_Check]]="Valid",H1026,"")</f>
        <v/>
      </c>
      <c r="V1026" t="str">
        <f>IF(OR(K1026="",UPPER(TRIM(K1026&amp;""))="",LOWER(TRIM(K1026&amp;""))="",LOWER(TRIM(K1026&amp;""))="",LOWER(TRIM(K1026&amp;""))="missing"),"Missing/",IFERROR(IF(VALUE(K1026)&lt;0,"Invalid","Valid"),"Check Format"))</f>
        <v>Valid</v>
      </c>
      <c r="W1026" t="str">
        <f>IF(OR(E1026="",F1026=""),"Missing Date/Time",IFERROR(IF(F1026&gt;E1026,"Arrival After Appointment","OK"),"Check Format"))</f>
        <v>OK</v>
      </c>
      <c r="X1026" t="str">
        <f>IF(OR(F1026="",G1026=""),"Missing Date/Time",IFERROR(IF(G1026&lt;F1026,"Discharge Before Arrival","OK"),"Check Format"))</f>
        <v>OK</v>
      </c>
    </row>
    <row r="1027" spans="1:24" x14ac:dyDescent="0.25">
      <c r="A1027" s="2" t="s">
        <v>1644</v>
      </c>
      <c r="B1027" s="2" t="s">
        <v>351</v>
      </c>
      <c r="C1027" s="3" t="s">
        <v>94</v>
      </c>
      <c r="D1027" s="3" t="s">
        <v>174</v>
      </c>
      <c r="E1027" s="4">
        <v>45916.354166666664</v>
      </c>
      <c r="F1027" s="4">
        <v>45916.352777777778</v>
      </c>
      <c r="G1027" s="4">
        <v>45916.371527777781</v>
      </c>
      <c r="H1027" s="5">
        <v>145</v>
      </c>
      <c r="J1027" s="3" t="s">
        <v>62</v>
      </c>
      <c r="K1027" s="5">
        <v>0</v>
      </c>
      <c r="L1027" s="5">
        <v>25</v>
      </c>
      <c r="M1027" s="3" t="s">
        <v>23</v>
      </c>
      <c r="N1027" t="s">
        <v>103</v>
      </c>
      <c r="Q1027" s="2">
        <v>160.22999999999999</v>
      </c>
      <c r="R1027" s="3" t="s">
        <v>58</v>
      </c>
      <c r="S1027">
        <f>COUNTIF(A:A,A1027)</f>
        <v>1</v>
      </c>
      <c r="T1027" t="str">
        <f>IF(OR(H1027="",LOWER(TRIM(H1027&amp;""))="missing",LOWER(TRIM(H1027&amp;""))=""),"Missing/",IFERROR(IF(OR(VALUE(H1027)&lt;0,VALUE(H1027)&gt;110),"Invalid","Valid"),"Check Format"))</f>
        <v>Invalid</v>
      </c>
      <c r="U1027" t="str">
        <f>IF(Raw_Data[[#This Row],[Age_Check]]="Valid",H1027,"")</f>
        <v/>
      </c>
      <c r="V1027" t="str">
        <f>IF(OR(K1027="",UPPER(TRIM(K1027&amp;""))="",LOWER(TRIM(K1027&amp;""))="",LOWER(TRIM(K1027&amp;""))="",LOWER(TRIM(K1027&amp;""))="missing"),"Missing/",IFERROR(IF(VALUE(K1027)&lt;0,"Invalid","Valid"),"Check Format"))</f>
        <v>Valid</v>
      </c>
      <c r="W1027" t="str">
        <f>IF(OR(E1027="",F1027=""),"Missing Date/Time",IFERROR(IF(F1027&gt;E1027,"Arrival After Appointment","OK"),"Check Format"))</f>
        <v>OK</v>
      </c>
      <c r="X1027" t="str">
        <f>IF(OR(F1027="",G1027=""),"Missing Date/Time",IFERROR(IF(G1027&lt;F1027,"Discharge Before Arrival","OK"),"Check Format"))</f>
        <v>OK</v>
      </c>
    </row>
    <row r="1028" spans="1:24" x14ac:dyDescent="0.25">
      <c r="A1028" s="2" t="s">
        <v>1645</v>
      </c>
      <c r="B1028" s="2" t="s">
        <v>1646</v>
      </c>
      <c r="C1028" s="3" t="s">
        <v>94</v>
      </c>
      <c r="D1028" s="3" t="s">
        <v>38</v>
      </c>
      <c r="E1028" s="4">
        <v>45553.635416666664</v>
      </c>
      <c r="F1028" s="4">
        <v>45553.619444444441</v>
      </c>
      <c r="G1028" s="4">
        <v>45553.701388888891</v>
      </c>
      <c r="I1028" s="3" t="s">
        <v>73</v>
      </c>
      <c r="J1028" s="3" t="s">
        <v>62</v>
      </c>
      <c r="K1028" s="5">
        <v>73</v>
      </c>
      <c r="L1028" s="5">
        <v>22</v>
      </c>
      <c r="M1028" s="3" t="s">
        <v>50</v>
      </c>
      <c r="N1028" t="s">
        <v>74</v>
      </c>
      <c r="P1028" s="3" t="s">
        <v>25</v>
      </c>
      <c r="Q1028" s="2">
        <v>147.76</v>
      </c>
      <c r="R1028" s="3" t="s">
        <v>58</v>
      </c>
      <c r="S1028">
        <f>COUNTIF(A:A,A1028)</f>
        <v>1</v>
      </c>
      <c r="T1028" t="str">
        <f>IF(OR(H1028="",LOWER(TRIM(H1028&amp;""))="missing",LOWER(TRIM(H1028&amp;""))=""),"Missing/",IFERROR(IF(OR(VALUE(H1028)&lt;0,VALUE(H1028)&gt;110),"Invalid","Valid"),"Check Format"))</f>
        <v>Missing/</v>
      </c>
      <c r="U1028" t="str">
        <f>IF(Raw_Data[[#This Row],[Age_Check]]="Valid",H1028,"")</f>
        <v/>
      </c>
      <c r="V1028" t="str">
        <f>IF(OR(K1028="",UPPER(TRIM(K1028&amp;""))="",LOWER(TRIM(K1028&amp;""))="",LOWER(TRIM(K1028&amp;""))="",LOWER(TRIM(K1028&amp;""))="missing"),"Missing/",IFERROR(IF(VALUE(K1028)&lt;0,"Invalid","Valid"),"Check Format"))</f>
        <v>Valid</v>
      </c>
      <c r="W1028" t="str">
        <f>IF(OR(E1028="",F1028=""),"Missing Date/Time",IFERROR(IF(F1028&gt;E1028,"Arrival After Appointment","OK"),"Check Format"))</f>
        <v>OK</v>
      </c>
      <c r="X1028" t="str">
        <f>IF(OR(F1028="",G1028=""),"Missing Date/Time",IFERROR(IF(G1028&lt;F1028,"Discharge Before Arrival","OK"),"Check Format"))</f>
        <v>OK</v>
      </c>
    </row>
    <row r="1029" spans="1:24" x14ac:dyDescent="0.25">
      <c r="A1029" s="2" t="s">
        <v>1647</v>
      </c>
      <c r="B1029" s="2" t="s">
        <v>381</v>
      </c>
      <c r="C1029" s="3" t="s">
        <v>19</v>
      </c>
      <c r="D1029" s="3" t="s">
        <v>72</v>
      </c>
      <c r="E1029" s="4">
        <v>45483.361111111109</v>
      </c>
      <c r="F1029" s="4">
        <v>45483.352777777778</v>
      </c>
      <c r="G1029" s="4">
        <v>45483.375</v>
      </c>
      <c r="H1029" s="5">
        <v>52</v>
      </c>
      <c r="I1029" s="3" t="s">
        <v>95</v>
      </c>
      <c r="J1029" s="3" t="s">
        <v>2639</v>
      </c>
      <c r="K1029" s="5">
        <v>0</v>
      </c>
      <c r="L1029" s="5">
        <v>20</v>
      </c>
      <c r="M1029" s="3" t="s">
        <v>68</v>
      </c>
      <c r="N1029" t="s">
        <v>91</v>
      </c>
      <c r="P1029" s="3" t="s">
        <v>80</v>
      </c>
      <c r="Q1029" s="2">
        <v>181.28</v>
      </c>
      <c r="R1029" s="3" t="s">
        <v>58</v>
      </c>
      <c r="S1029">
        <f>COUNTIF(A:A,A1029)</f>
        <v>1</v>
      </c>
      <c r="T1029" t="str">
        <f>IF(OR(H1029="",LOWER(TRIM(H1029&amp;""))="missing",LOWER(TRIM(H1029&amp;""))=""),"Missing/",IFERROR(IF(OR(VALUE(H1029)&lt;0,VALUE(H1029)&gt;110),"Invalid","Valid"),"Check Format"))</f>
        <v>Valid</v>
      </c>
      <c r="U1029">
        <f>IF(Raw_Data[[#This Row],[Age_Check]]="Valid",H1029,"")</f>
        <v>52</v>
      </c>
      <c r="V1029" t="str">
        <f>IF(OR(K1029="",UPPER(TRIM(K1029&amp;""))="",LOWER(TRIM(K1029&amp;""))="",LOWER(TRIM(K1029&amp;""))="",LOWER(TRIM(K1029&amp;""))="missing"),"Missing/",IFERROR(IF(VALUE(K1029)&lt;0,"Invalid","Valid"),"Check Format"))</f>
        <v>Valid</v>
      </c>
      <c r="W1029" t="str">
        <f>IF(OR(E1029="",F1029=""),"Missing Date/Time",IFERROR(IF(F1029&gt;E1029,"Arrival After Appointment","OK"),"Check Format"))</f>
        <v>OK</v>
      </c>
      <c r="X1029" t="str">
        <f>IF(OR(F1029="",G1029=""),"Missing Date/Time",IFERROR(IF(G1029&lt;F1029,"Discharge Before Arrival","OK"),"Check Format"))</f>
        <v>OK</v>
      </c>
    </row>
    <row r="1030" spans="1:24" x14ac:dyDescent="0.25">
      <c r="A1030" s="2" t="s">
        <v>1648</v>
      </c>
      <c r="B1030" s="2" t="s">
        <v>490</v>
      </c>
      <c r="D1030" s="3" t="s">
        <v>149</v>
      </c>
      <c r="E1030" s="4">
        <v>45988.760416666664</v>
      </c>
      <c r="F1030" s="4">
        <v>45988.748611111114</v>
      </c>
      <c r="G1030" s="4">
        <v>45988.799305555556</v>
      </c>
      <c r="J1030" s="3" t="s">
        <v>22</v>
      </c>
      <c r="K1030" s="5">
        <v>23</v>
      </c>
      <c r="L1030" s="5">
        <v>33</v>
      </c>
      <c r="M1030" s="3" t="s">
        <v>87</v>
      </c>
      <c r="N1030" t="s">
        <v>100</v>
      </c>
      <c r="O1030" s="5">
        <v>6</v>
      </c>
      <c r="P1030" s="3" t="s">
        <v>25</v>
      </c>
      <c r="Q1030" s="2">
        <v>180.75</v>
      </c>
      <c r="R1030" s="3" t="s">
        <v>75</v>
      </c>
      <c r="S1030">
        <f>COUNTIF(A:A,A1030)</f>
        <v>1</v>
      </c>
      <c r="T1030" t="str">
        <f>IF(OR(H1030="",LOWER(TRIM(H1030&amp;""))="missing",LOWER(TRIM(H1030&amp;""))=""),"Missing/",IFERROR(IF(OR(VALUE(H1030)&lt;0,VALUE(H1030)&gt;110),"Invalid","Valid"),"Check Format"))</f>
        <v>Missing/</v>
      </c>
      <c r="U1030" t="str">
        <f>IF(Raw_Data[[#This Row],[Age_Check]]="Valid",H1030,"")</f>
        <v/>
      </c>
      <c r="V1030" t="str">
        <f>IF(OR(K1030="",UPPER(TRIM(K1030&amp;""))="",LOWER(TRIM(K1030&amp;""))="",LOWER(TRIM(K1030&amp;""))="",LOWER(TRIM(K1030&amp;""))="missing"),"Missing/",IFERROR(IF(VALUE(K1030)&lt;0,"Invalid","Valid"),"Check Format"))</f>
        <v>Valid</v>
      </c>
      <c r="W1030" t="str">
        <f>IF(OR(E1030="",F1030=""),"Missing Date/Time",IFERROR(IF(F1030&gt;E1030,"Arrival After Appointment","OK"),"Check Format"))</f>
        <v>OK</v>
      </c>
      <c r="X1030" t="str">
        <f>IF(OR(F1030="",G1030=""),"Missing Date/Time",IFERROR(IF(G1030&lt;F1030,"Discharge Before Arrival","OK"),"Check Format"))</f>
        <v>OK</v>
      </c>
    </row>
    <row r="1031" spans="1:24" x14ac:dyDescent="0.25">
      <c r="A1031" s="2" t="s">
        <v>1649</v>
      </c>
      <c r="B1031" s="2" t="s">
        <v>506</v>
      </c>
      <c r="C1031" s="3" t="s">
        <v>46</v>
      </c>
      <c r="D1031" s="3" t="s">
        <v>20</v>
      </c>
      <c r="E1031" s="4" t="s">
        <v>1650</v>
      </c>
      <c r="F1031" s="4">
        <v>45319.65347222222</v>
      </c>
      <c r="G1031" s="4">
        <v>45319.729861111111</v>
      </c>
      <c r="I1031" s="3" t="s">
        <v>95</v>
      </c>
      <c r="J1031" s="3" t="s">
        <v>2639</v>
      </c>
      <c r="K1031" s="5">
        <v>46</v>
      </c>
      <c r="L1031" s="5">
        <v>35</v>
      </c>
      <c r="M1031" s="3" t="s">
        <v>23</v>
      </c>
      <c r="O1031" s="5">
        <v>0</v>
      </c>
      <c r="Q1031" s="2">
        <v>67.98</v>
      </c>
      <c r="R1031" s="3" t="s">
        <v>43</v>
      </c>
      <c r="S1031">
        <f>COUNTIF(A:A,A1031)</f>
        <v>1</v>
      </c>
      <c r="T1031" t="str">
        <f>IF(OR(H1031="",LOWER(TRIM(H1031&amp;""))="missing",LOWER(TRIM(H1031&amp;""))=""),"Missing/",IFERROR(IF(OR(VALUE(H1031)&lt;0,VALUE(H1031)&gt;110),"Invalid","Valid"),"Check Format"))</f>
        <v>Missing/</v>
      </c>
      <c r="U1031" t="str">
        <f>IF(Raw_Data[[#This Row],[Age_Check]]="Valid",H1031,"")</f>
        <v/>
      </c>
      <c r="V1031" t="str">
        <f>IF(OR(K1031="",UPPER(TRIM(K1031&amp;""))="",LOWER(TRIM(K1031&amp;""))="",LOWER(TRIM(K1031&amp;""))="",LOWER(TRIM(K1031&amp;""))="missing"),"Missing/",IFERROR(IF(VALUE(K1031)&lt;0,"Invalid","Valid"),"Check Format"))</f>
        <v>Valid</v>
      </c>
      <c r="W1031" t="str">
        <f>IF(OR(E1031="",F1031=""),"Missing Date/Time",IFERROR(IF(F1031&gt;E1031,"Arrival After Appointment","OK"),"Check Format"))</f>
        <v>OK</v>
      </c>
      <c r="X1031" t="str">
        <f>IF(OR(F1031="",G1031=""),"Missing Date/Time",IFERROR(IF(G1031&lt;F1031,"Discharge Before Arrival","OK"),"Check Format"))</f>
        <v>OK</v>
      </c>
    </row>
    <row r="1032" spans="1:24" x14ac:dyDescent="0.25">
      <c r="A1032" s="2" t="s">
        <v>1651</v>
      </c>
      <c r="B1032" s="2" t="s">
        <v>457</v>
      </c>
      <c r="D1032" s="3" t="s">
        <v>30</v>
      </c>
      <c r="E1032" s="4">
        <v>45950.572916666664</v>
      </c>
      <c r="F1032" s="4">
        <v>45950.564583333333</v>
      </c>
      <c r="G1032" s="4">
        <v>45950.636805555558</v>
      </c>
      <c r="J1032" s="3" t="s">
        <v>150</v>
      </c>
      <c r="K1032" s="5">
        <v>50</v>
      </c>
      <c r="L1032" s="5">
        <v>42</v>
      </c>
      <c r="M1032" s="3" t="s">
        <v>87</v>
      </c>
      <c r="N1032" t="s">
        <v>74</v>
      </c>
      <c r="P1032" s="3" t="s">
        <v>25</v>
      </c>
      <c r="Q1032" s="2">
        <v>157.56</v>
      </c>
      <c r="R1032" s="3" t="s">
        <v>75</v>
      </c>
      <c r="S1032">
        <f>COUNTIF(A:A,A1032)</f>
        <v>1</v>
      </c>
      <c r="T1032" t="str">
        <f>IF(OR(H1032="",LOWER(TRIM(H1032&amp;""))="missing",LOWER(TRIM(H1032&amp;""))=""),"Missing/",IFERROR(IF(OR(VALUE(H1032)&lt;0,VALUE(H1032)&gt;110),"Invalid","Valid"),"Check Format"))</f>
        <v>Missing/</v>
      </c>
      <c r="U1032" t="str">
        <f>IF(Raw_Data[[#This Row],[Age_Check]]="Valid",H1032,"")</f>
        <v/>
      </c>
      <c r="V1032" t="str">
        <f>IF(OR(K1032="",UPPER(TRIM(K1032&amp;""))="",LOWER(TRIM(K1032&amp;""))="",LOWER(TRIM(K1032&amp;""))="",LOWER(TRIM(K1032&amp;""))="missing"),"Missing/",IFERROR(IF(VALUE(K1032)&lt;0,"Invalid","Valid"),"Check Format"))</f>
        <v>Valid</v>
      </c>
      <c r="W1032" t="str">
        <f>IF(OR(E1032="",F1032=""),"Missing Date/Time",IFERROR(IF(F1032&gt;E1032,"Arrival After Appointment","OK"),"Check Format"))</f>
        <v>OK</v>
      </c>
      <c r="X1032" t="str">
        <f>IF(OR(F1032="",G1032=""),"Missing Date/Time",IFERROR(IF(G1032&lt;F1032,"Discharge Before Arrival","OK"),"Check Format"))</f>
        <v>OK</v>
      </c>
    </row>
    <row r="1033" spans="1:24" x14ac:dyDescent="0.25">
      <c r="A1033" s="2" t="s">
        <v>1652</v>
      </c>
      <c r="B1033" s="2" t="s">
        <v>830</v>
      </c>
      <c r="C1033" s="3" t="s">
        <v>94</v>
      </c>
      <c r="D1033" s="3" t="s">
        <v>209</v>
      </c>
      <c r="E1033" s="4">
        <v>45569.493055555555</v>
      </c>
      <c r="F1033" s="4">
        <v>45569.481249999997</v>
      </c>
      <c r="G1033" s="4">
        <v>45569.543749999997</v>
      </c>
      <c r="I1033" s="3" t="s">
        <v>73</v>
      </c>
      <c r="J1033" s="3" t="s">
        <v>22</v>
      </c>
      <c r="K1033" s="5">
        <v>37</v>
      </c>
      <c r="L1033" s="5">
        <v>36</v>
      </c>
      <c r="M1033" s="3" t="s">
        <v>50</v>
      </c>
      <c r="N1033" t="s">
        <v>100</v>
      </c>
      <c r="P1033" s="3" t="s">
        <v>80</v>
      </c>
      <c r="Q1033" s="2">
        <v>202.17</v>
      </c>
      <c r="R1033" s="3" t="s">
        <v>58</v>
      </c>
      <c r="S1033">
        <f>COUNTIF(A:A,A1033)</f>
        <v>1</v>
      </c>
      <c r="T1033" t="str">
        <f>IF(OR(H1033="",LOWER(TRIM(H1033&amp;""))="missing",LOWER(TRIM(H1033&amp;""))=""),"Missing/",IFERROR(IF(OR(VALUE(H1033)&lt;0,VALUE(H1033)&gt;110),"Invalid","Valid"),"Check Format"))</f>
        <v>Missing/</v>
      </c>
      <c r="U1033" t="str">
        <f>IF(Raw_Data[[#This Row],[Age_Check]]="Valid",H1033,"")</f>
        <v/>
      </c>
      <c r="V1033" t="str">
        <f>IF(OR(K1033="",UPPER(TRIM(K1033&amp;""))="",LOWER(TRIM(K1033&amp;""))="",LOWER(TRIM(K1033&amp;""))="",LOWER(TRIM(K1033&amp;""))="missing"),"Missing/",IFERROR(IF(VALUE(K1033)&lt;0,"Invalid","Valid"),"Check Format"))</f>
        <v>Valid</v>
      </c>
      <c r="W1033" t="str">
        <f>IF(OR(E1033="",F1033=""),"Missing Date/Time",IFERROR(IF(F1033&gt;E1033,"Arrival After Appointment","OK"),"Check Format"))</f>
        <v>OK</v>
      </c>
      <c r="X1033" t="str">
        <f>IF(OR(F1033="",G1033=""),"Missing Date/Time",IFERROR(IF(G1033&lt;F1033,"Discharge Before Arrival","OK"),"Check Format"))</f>
        <v>OK</v>
      </c>
    </row>
    <row r="1034" spans="1:24" x14ac:dyDescent="0.25">
      <c r="A1034" s="2" t="s">
        <v>1653</v>
      </c>
      <c r="B1034" s="2" t="s">
        <v>1654</v>
      </c>
      <c r="D1034" s="3" t="s">
        <v>66</v>
      </c>
      <c r="E1034" s="4" t="s">
        <v>1655</v>
      </c>
      <c r="F1034" s="4">
        <v>45494.382638888892</v>
      </c>
      <c r="G1034" s="4">
        <v>45494.428472222222</v>
      </c>
      <c r="H1034" s="5">
        <v>40</v>
      </c>
      <c r="I1034" s="3" t="s">
        <v>95</v>
      </c>
      <c r="J1034" s="3" t="s">
        <v>62</v>
      </c>
      <c r="K1034" s="5">
        <v>0</v>
      </c>
      <c r="L1034" s="5">
        <v>52</v>
      </c>
      <c r="M1034" s="3" t="s">
        <v>87</v>
      </c>
      <c r="N1034" t="s">
        <v>103</v>
      </c>
      <c r="P1034" s="3" t="s">
        <v>25</v>
      </c>
      <c r="Q1034" s="2">
        <v>118.1</v>
      </c>
      <c r="R1034" s="3" t="s">
        <v>58</v>
      </c>
      <c r="S1034">
        <f>COUNTIF(A:A,A1034)</f>
        <v>1</v>
      </c>
      <c r="T1034" t="str">
        <f>IF(OR(H1034="",LOWER(TRIM(H1034&amp;""))="missing",LOWER(TRIM(H1034&amp;""))=""),"Missing/",IFERROR(IF(OR(VALUE(H1034)&lt;0,VALUE(H1034)&gt;110),"Invalid","Valid"),"Check Format"))</f>
        <v>Valid</v>
      </c>
      <c r="U1034">
        <f>IF(Raw_Data[[#This Row],[Age_Check]]="Valid",H1034,"")</f>
        <v>40</v>
      </c>
      <c r="V1034" t="str">
        <f>IF(OR(K1034="",UPPER(TRIM(K1034&amp;""))="",LOWER(TRIM(K1034&amp;""))="",LOWER(TRIM(K1034&amp;""))="",LOWER(TRIM(K1034&amp;""))="missing"),"Missing/",IFERROR(IF(VALUE(K1034)&lt;0,"Invalid","Valid"),"Check Format"))</f>
        <v>Valid</v>
      </c>
      <c r="W1034" t="str">
        <f>IF(OR(E1034="",F1034=""),"Missing Date/Time",IFERROR(IF(F1034&gt;E1034,"Arrival After Appointment","OK"),"Check Format"))</f>
        <v>OK</v>
      </c>
      <c r="X1034" t="str">
        <f>IF(OR(F1034="",G1034=""),"Missing Date/Time",IFERROR(IF(G1034&lt;F1034,"Discharge Before Arrival","OK"),"Check Format"))</f>
        <v>OK</v>
      </c>
    </row>
    <row r="1035" spans="1:24" x14ac:dyDescent="0.25">
      <c r="A1035" s="2" t="s">
        <v>1233</v>
      </c>
      <c r="B1035" s="2" t="s">
        <v>1234</v>
      </c>
      <c r="C1035" s="3" t="s">
        <v>94</v>
      </c>
      <c r="D1035" s="3" t="s">
        <v>149</v>
      </c>
      <c r="E1035" s="4">
        <v>45912.319444444445</v>
      </c>
      <c r="F1035" s="4">
        <v>45912.304166666669</v>
      </c>
      <c r="G1035" s="4">
        <v>45912.390277777777</v>
      </c>
      <c r="H1035" s="5">
        <v>74</v>
      </c>
      <c r="I1035" s="3" t="s">
        <v>95</v>
      </c>
      <c r="J1035" s="3" t="s">
        <v>150</v>
      </c>
      <c r="K1035" s="5">
        <v>86</v>
      </c>
      <c r="L1035" s="5">
        <v>16</v>
      </c>
      <c r="P1035" s="3" t="s">
        <v>25</v>
      </c>
      <c r="Q1035" s="2">
        <v>92.35</v>
      </c>
      <c r="R1035" s="3" t="s">
        <v>26</v>
      </c>
      <c r="S1035">
        <f>COUNTIF(A:A,A1035)</f>
        <v>2</v>
      </c>
      <c r="T1035" t="str">
        <f>IF(OR(H1035="",LOWER(TRIM(H1035&amp;""))="missing",LOWER(TRIM(H1035&amp;""))=""),"Missing/",IFERROR(IF(OR(VALUE(H1035)&lt;0,VALUE(H1035)&gt;110),"Invalid","Valid"),"Check Format"))</f>
        <v>Valid</v>
      </c>
      <c r="U1035">
        <f>IF(Raw_Data[[#This Row],[Age_Check]]="Valid",H1035,"")</f>
        <v>74</v>
      </c>
      <c r="V1035" t="str">
        <f>IF(OR(K1035="",UPPER(TRIM(K1035&amp;""))="",LOWER(TRIM(K1035&amp;""))="",LOWER(TRIM(K1035&amp;""))="",LOWER(TRIM(K1035&amp;""))="missing"),"Missing/",IFERROR(IF(VALUE(K1035)&lt;0,"Invalid","Valid"),"Check Format"))</f>
        <v>Valid</v>
      </c>
      <c r="W1035" t="str">
        <f>IF(OR(E1035="",F1035=""),"Missing Date/Time",IFERROR(IF(F1035&gt;E1035,"Arrival After Appointment","OK"),"Check Format"))</f>
        <v>OK</v>
      </c>
      <c r="X1035" t="str">
        <f>IF(OR(F1035="",G1035=""),"Missing Date/Time",IFERROR(IF(G1035&lt;F1035,"Discharge Before Arrival","OK"),"Check Format"))</f>
        <v>OK</v>
      </c>
    </row>
    <row r="1036" spans="1:24" x14ac:dyDescent="0.25">
      <c r="A1036" s="2" t="s">
        <v>1281</v>
      </c>
      <c r="B1036" s="2" t="s">
        <v>531</v>
      </c>
      <c r="C1036" s="3" t="s">
        <v>29</v>
      </c>
      <c r="D1036" s="3" t="s">
        <v>55</v>
      </c>
      <c r="E1036" s="4" t="s">
        <v>1282</v>
      </c>
      <c r="F1036" s="4">
        <v>45863.726388888892</v>
      </c>
      <c r="G1036" s="4">
        <v>45863.755555555559</v>
      </c>
      <c r="H1036" s="5">
        <v>48</v>
      </c>
      <c r="K1036" s="5">
        <v>29</v>
      </c>
      <c r="L1036" s="5">
        <v>9</v>
      </c>
      <c r="M1036" s="3" t="s">
        <v>50</v>
      </c>
      <c r="N1036" t="s">
        <v>91</v>
      </c>
      <c r="O1036" s="5">
        <v>3</v>
      </c>
      <c r="Q1036" s="2">
        <v>126.28</v>
      </c>
      <c r="R1036" s="3" t="s">
        <v>58</v>
      </c>
      <c r="S1036">
        <f>COUNTIF(A:A,A1036)</f>
        <v>2</v>
      </c>
      <c r="T1036" t="str">
        <f>IF(OR(H1036="",LOWER(TRIM(H1036&amp;""))="missing",LOWER(TRIM(H1036&amp;""))=""),"Missing/",IFERROR(IF(OR(VALUE(H1036)&lt;0,VALUE(H1036)&gt;110),"Invalid","Valid"),"Check Format"))</f>
        <v>Valid</v>
      </c>
      <c r="U1036">
        <f>IF(Raw_Data[[#This Row],[Age_Check]]="Valid",H1036,"")</f>
        <v>48</v>
      </c>
      <c r="V1036" t="str">
        <f>IF(OR(K1036="",UPPER(TRIM(K1036&amp;""))="",LOWER(TRIM(K1036&amp;""))="",LOWER(TRIM(K1036&amp;""))="",LOWER(TRIM(K1036&amp;""))="missing"),"Missing/",IFERROR(IF(VALUE(K1036)&lt;0,"Invalid","Valid"),"Check Format"))</f>
        <v>Valid</v>
      </c>
      <c r="W1036" t="str">
        <f>IF(OR(E1036="",F1036=""),"Missing Date/Time",IFERROR(IF(F1036&gt;E1036,"Arrival After Appointment","OK"),"Check Format"))</f>
        <v>OK</v>
      </c>
      <c r="X1036" t="str">
        <f>IF(OR(F1036="",G1036=""),"Missing Date/Time",IFERROR(IF(G1036&lt;F1036,"Discharge Before Arrival","OK"),"Check Format"))</f>
        <v>OK</v>
      </c>
    </row>
    <row r="1037" spans="1:24" x14ac:dyDescent="0.25">
      <c r="A1037" s="2" t="s">
        <v>1658</v>
      </c>
      <c r="B1037" s="2" t="s">
        <v>141</v>
      </c>
      <c r="C1037" s="3" t="s">
        <v>94</v>
      </c>
      <c r="D1037" s="3" t="s">
        <v>23</v>
      </c>
      <c r="E1037" s="4">
        <v>45492.3125</v>
      </c>
      <c r="F1037" s="4">
        <v>45492.303472222222</v>
      </c>
      <c r="G1037" s="4">
        <v>45492.405555555553</v>
      </c>
      <c r="I1037" s="3" t="s">
        <v>95</v>
      </c>
      <c r="J1037" s="3" t="s">
        <v>67</v>
      </c>
      <c r="K1037" s="5">
        <v>118</v>
      </c>
      <c r="L1037" s="5">
        <v>16</v>
      </c>
      <c r="M1037" s="3" t="s">
        <v>41</v>
      </c>
      <c r="N1037" t="s">
        <v>69</v>
      </c>
      <c r="P1037" s="3" t="s">
        <v>25</v>
      </c>
      <c r="Q1037" s="2">
        <v>100.56</v>
      </c>
      <c r="R1037" s="3" t="s">
        <v>43</v>
      </c>
      <c r="S1037">
        <f>COUNTIF(A:A,A1037)</f>
        <v>1</v>
      </c>
      <c r="T1037" t="str">
        <f>IF(OR(H1037="",LOWER(TRIM(H1037&amp;""))="missing",LOWER(TRIM(H1037&amp;""))=""),"Missing/",IFERROR(IF(OR(VALUE(H1037)&lt;0,VALUE(H1037)&gt;110),"Invalid","Valid"),"Check Format"))</f>
        <v>Missing/</v>
      </c>
      <c r="U1037" t="str">
        <f>IF(Raw_Data[[#This Row],[Age_Check]]="Valid",H1037,"")</f>
        <v/>
      </c>
      <c r="V1037" t="str">
        <f>IF(OR(K1037="",UPPER(TRIM(K1037&amp;""))="",LOWER(TRIM(K1037&amp;""))="",LOWER(TRIM(K1037&amp;""))="",LOWER(TRIM(K1037&amp;""))="missing"),"Missing/",IFERROR(IF(VALUE(K1037)&lt;0,"Invalid","Valid"),"Check Format"))</f>
        <v>Valid</v>
      </c>
      <c r="W1037" t="str">
        <f>IF(OR(E1037="",F1037=""),"Missing Date/Time",IFERROR(IF(F1037&gt;E1037,"Arrival After Appointment","OK"),"Check Format"))</f>
        <v>OK</v>
      </c>
      <c r="X1037" t="str">
        <f>IF(OR(F1037="",G1037=""),"Missing Date/Time",IFERROR(IF(G1037&lt;F1037,"Discharge Before Arrival","OK"),"Check Format"))</f>
        <v>OK</v>
      </c>
    </row>
    <row r="1038" spans="1:24" x14ac:dyDescent="0.25">
      <c r="A1038" s="2" t="s">
        <v>1659</v>
      </c>
      <c r="B1038" s="2" t="s">
        <v>1660</v>
      </c>
      <c r="C1038" s="3" t="s">
        <v>94</v>
      </c>
      <c r="D1038" s="3" t="s">
        <v>99</v>
      </c>
      <c r="E1038" s="4">
        <v>45614.347222222219</v>
      </c>
      <c r="F1038" s="4">
        <v>45614.342361111114</v>
      </c>
      <c r="G1038" s="4">
        <v>45614.399305555555</v>
      </c>
      <c r="H1038" s="5">
        <v>66</v>
      </c>
      <c r="I1038" s="3" t="s">
        <v>95</v>
      </c>
      <c r="J1038" s="3" t="s">
        <v>150</v>
      </c>
      <c r="K1038" s="5">
        <v>65</v>
      </c>
      <c r="L1038" s="5">
        <v>10</v>
      </c>
      <c r="M1038" s="3" t="s">
        <v>68</v>
      </c>
      <c r="N1038" t="s">
        <v>69</v>
      </c>
      <c r="O1038" s="5">
        <v>3</v>
      </c>
      <c r="P1038" s="3" t="s">
        <v>25</v>
      </c>
      <c r="Q1038" s="2">
        <v>113.35</v>
      </c>
      <c r="R1038" s="3" t="s">
        <v>26</v>
      </c>
      <c r="S1038">
        <f>COUNTIF(A:A,A1038)</f>
        <v>1</v>
      </c>
      <c r="T1038" t="str">
        <f>IF(OR(H1038="",LOWER(TRIM(H1038&amp;""))="missing",LOWER(TRIM(H1038&amp;""))=""),"Missing/",IFERROR(IF(OR(VALUE(H1038)&lt;0,VALUE(H1038)&gt;110),"Invalid","Valid"),"Check Format"))</f>
        <v>Valid</v>
      </c>
      <c r="U1038">
        <f>IF(Raw_Data[[#This Row],[Age_Check]]="Valid",H1038,"")</f>
        <v>66</v>
      </c>
      <c r="V1038" t="str">
        <f>IF(OR(K1038="",UPPER(TRIM(K1038&amp;""))="",LOWER(TRIM(K1038&amp;""))="",LOWER(TRIM(K1038&amp;""))="",LOWER(TRIM(K1038&amp;""))="missing"),"Missing/",IFERROR(IF(VALUE(K1038)&lt;0,"Invalid","Valid"),"Check Format"))</f>
        <v>Valid</v>
      </c>
      <c r="W1038" t="str">
        <f>IF(OR(E1038="",F1038=""),"Missing Date/Time",IFERROR(IF(F1038&gt;E1038,"Arrival After Appointment","OK"),"Check Format"))</f>
        <v>OK</v>
      </c>
      <c r="X1038" t="str">
        <f>IF(OR(F1038="",G1038=""),"Missing Date/Time",IFERROR(IF(G1038&lt;F1038,"Discharge Before Arrival","OK"),"Check Format"))</f>
        <v>OK</v>
      </c>
    </row>
    <row r="1039" spans="1:24" x14ac:dyDescent="0.25">
      <c r="A1039" s="2" t="s">
        <v>1661</v>
      </c>
      <c r="B1039" s="2" t="s">
        <v>520</v>
      </c>
      <c r="C1039" s="3" t="s">
        <v>37</v>
      </c>
      <c r="D1039" s="3" t="s">
        <v>66</v>
      </c>
      <c r="E1039" s="4">
        <v>45678.409722222219</v>
      </c>
      <c r="F1039" s="4">
        <v>45678.40347222222</v>
      </c>
      <c r="G1039" s="4">
        <v>45678.475694444445</v>
      </c>
      <c r="H1039" s="5">
        <v>12</v>
      </c>
      <c r="I1039" s="3" t="s">
        <v>73</v>
      </c>
      <c r="J1039" s="3" t="s">
        <v>67</v>
      </c>
      <c r="K1039" s="5">
        <v>69</v>
      </c>
      <c r="L1039" s="5">
        <v>26</v>
      </c>
      <c r="M1039" s="3" t="s">
        <v>68</v>
      </c>
      <c r="N1039" t="s">
        <v>91</v>
      </c>
      <c r="O1039" s="5">
        <v>0</v>
      </c>
      <c r="P1039" s="3" t="s">
        <v>25</v>
      </c>
      <c r="Q1039" s="2">
        <v>137.53</v>
      </c>
      <c r="R1039" s="3" t="s">
        <v>43</v>
      </c>
      <c r="S1039">
        <f>COUNTIF(A:A,A1039)</f>
        <v>1</v>
      </c>
      <c r="T1039" t="str">
        <f>IF(OR(H1039="",LOWER(TRIM(H1039&amp;""))="missing",LOWER(TRIM(H1039&amp;""))=""),"Missing/",IFERROR(IF(OR(VALUE(H1039)&lt;0,VALUE(H1039)&gt;110),"Invalid","Valid"),"Check Format"))</f>
        <v>Valid</v>
      </c>
      <c r="U1039">
        <f>IF(Raw_Data[[#This Row],[Age_Check]]="Valid",H1039,"")</f>
        <v>12</v>
      </c>
      <c r="V1039" t="str">
        <f>IF(OR(K1039="",UPPER(TRIM(K1039&amp;""))="",LOWER(TRIM(K1039&amp;""))="",LOWER(TRIM(K1039&amp;""))="",LOWER(TRIM(K1039&amp;""))="missing"),"Missing/",IFERROR(IF(VALUE(K1039)&lt;0,"Invalid","Valid"),"Check Format"))</f>
        <v>Valid</v>
      </c>
      <c r="W1039" t="str">
        <f>IF(OR(E1039="",F1039=""),"Missing Date/Time",IFERROR(IF(F1039&gt;E1039,"Arrival After Appointment","OK"),"Check Format"))</f>
        <v>OK</v>
      </c>
      <c r="X1039" t="str">
        <f>IF(OR(F1039="",G1039=""),"Missing Date/Time",IFERROR(IF(G1039&lt;F1039,"Discharge Before Arrival","OK"),"Check Format"))</f>
        <v>OK</v>
      </c>
    </row>
    <row r="1040" spans="1:24" x14ac:dyDescent="0.25">
      <c r="A1040" s="2" t="s">
        <v>1662</v>
      </c>
      <c r="B1040" s="2" t="s">
        <v>1048</v>
      </c>
      <c r="C1040" s="3" t="s">
        <v>94</v>
      </c>
      <c r="D1040" s="3" t="s">
        <v>55</v>
      </c>
      <c r="E1040" s="4">
        <v>45713.722222222219</v>
      </c>
      <c r="F1040" s="4">
        <v>45713.704861111109</v>
      </c>
      <c r="G1040" s="4">
        <v>45713.75277777778</v>
      </c>
      <c r="H1040" s="5">
        <v>56</v>
      </c>
      <c r="I1040" s="3" t="s">
        <v>95</v>
      </c>
      <c r="J1040" s="3" t="s">
        <v>150</v>
      </c>
      <c r="K1040" s="5">
        <v>39</v>
      </c>
      <c r="L1040" s="5">
        <v>5</v>
      </c>
      <c r="M1040" s="3" t="s">
        <v>63</v>
      </c>
      <c r="O1040" s="5">
        <v>0</v>
      </c>
      <c r="P1040" s="3" t="s">
        <v>80</v>
      </c>
      <c r="Q1040" s="2">
        <v>170.73</v>
      </c>
      <c r="R1040" s="3" t="s">
        <v>58</v>
      </c>
      <c r="S1040">
        <f>COUNTIF(A:A,A1040)</f>
        <v>1</v>
      </c>
      <c r="T1040" t="str">
        <f>IF(OR(H1040="",LOWER(TRIM(H1040&amp;""))="missing",LOWER(TRIM(H1040&amp;""))=""),"Missing/",IFERROR(IF(OR(VALUE(H1040)&lt;0,VALUE(H1040)&gt;110),"Invalid","Valid"),"Check Format"))</f>
        <v>Valid</v>
      </c>
      <c r="U1040">
        <f>IF(Raw_Data[[#This Row],[Age_Check]]="Valid",H1040,"")</f>
        <v>56</v>
      </c>
      <c r="V1040" t="str">
        <f>IF(OR(K1040="",UPPER(TRIM(K1040&amp;""))="",LOWER(TRIM(K1040&amp;""))="",LOWER(TRIM(K1040&amp;""))="",LOWER(TRIM(K1040&amp;""))="missing"),"Missing/",IFERROR(IF(VALUE(K1040)&lt;0,"Invalid","Valid"),"Check Format"))</f>
        <v>Valid</v>
      </c>
      <c r="W1040" t="str">
        <f>IF(OR(E1040="",F1040=""),"Missing Date/Time",IFERROR(IF(F1040&gt;E1040,"Arrival After Appointment","OK"),"Check Format"))</f>
        <v>OK</v>
      </c>
      <c r="X1040" t="str">
        <f>IF(OR(F1040="",G1040=""),"Missing Date/Time",IFERROR(IF(G1040&lt;F1040,"Discharge Before Arrival","OK"),"Check Format"))</f>
        <v>OK</v>
      </c>
    </row>
    <row r="1041" spans="1:24" x14ac:dyDescent="0.25">
      <c r="A1041" s="2" t="s">
        <v>1663</v>
      </c>
      <c r="B1041" s="2" t="s">
        <v>1160</v>
      </c>
      <c r="C1041" s="3" t="s">
        <v>29</v>
      </c>
      <c r="D1041" s="3" t="s">
        <v>47</v>
      </c>
      <c r="E1041" s="4">
        <v>45739.618055555555</v>
      </c>
      <c r="F1041" s="4">
        <v>45739.607638888891</v>
      </c>
      <c r="G1041" s="4">
        <v>45739.722916666666</v>
      </c>
      <c r="H1041" s="5">
        <v>45</v>
      </c>
      <c r="I1041" s="3" t="s">
        <v>39</v>
      </c>
      <c r="J1041" s="3" t="s">
        <v>62</v>
      </c>
      <c r="K1041" s="5">
        <v>119</v>
      </c>
      <c r="L1041" s="5">
        <v>32</v>
      </c>
      <c r="M1041" s="3" t="s">
        <v>68</v>
      </c>
      <c r="N1041" t="s">
        <v>69</v>
      </c>
      <c r="P1041" s="3" t="s">
        <v>25</v>
      </c>
      <c r="Q1041" s="2">
        <v>163.02000000000001</v>
      </c>
      <c r="R1041" s="3" t="s">
        <v>75</v>
      </c>
      <c r="S1041">
        <f>COUNTIF(A:A,A1041)</f>
        <v>1</v>
      </c>
      <c r="T1041" t="str">
        <f>IF(OR(H1041="",LOWER(TRIM(H1041&amp;""))="missing",LOWER(TRIM(H1041&amp;""))=""),"Missing/",IFERROR(IF(OR(VALUE(H1041)&lt;0,VALUE(H1041)&gt;110),"Invalid","Valid"),"Check Format"))</f>
        <v>Valid</v>
      </c>
      <c r="U1041">
        <f>IF(Raw_Data[[#This Row],[Age_Check]]="Valid",H1041,"")</f>
        <v>45</v>
      </c>
      <c r="V1041" t="str">
        <f>IF(OR(K1041="",UPPER(TRIM(K1041&amp;""))="",LOWER(TRIM(K1041&amp;""))="",LOWER(TRIM(K1041&amp;""))="",LOWER(TRIM(K1041&amp;""))="missing"),"Missing/",IFERROR(IF(VALUE(K1041)&lt;0,"Invalid","Valid"),"Check Format"))</f>
        <v>Valid</v>
      </c>
      <c r="W1041" t="str">
        <f>IF(OR(E1041="",F1041=""),"Missing Date/Time",IFERROR(IF(F1041&gt;E1041,"Arrival After Appointment","OK"),"Check Format"))</f>
        <v>OK</v>
      </c>
      <c r="X1041" t="str">
        <f>IF(OR(F1041="",G1041=""),"Missing Date/Time",IFERROR(IF(G1041&lt;F1041,"Discharge Before Arrival","OK"),"Check Format"))</f>
        <v>OK</v>
      </c>
    </row>
    <row r="1042" spans="1:24" x14ac:dyDescent="0.25">
      <c r="A1042" s="2" t="s">
        <v>1281</v>
      </c>
      <c r="B1042" s="2" t="s">
        <v>45</v>
      </c>
      <c r="D1042" s="3" t="s">
        <v>106</v>
      </c>
      <c r="E1042" s="4">
        <v>45902.506944444445</v>
      </c>
      <c r="F1042" s="4">
        <v>45902.501388888886</v>
      </c>
      <c r="G1042" s="4">
        <v>45902.592361111114</v>
      </c>
      <c r="J1042" s="3" t="s">
        <v>62</v>
      </c>
      <c r="K1042" s="5">
        <v>74</v>
      </c>
      <c r="L1042" s="5">
        <v>49</v>
      </c>
      <c r="M1042" s="3" t="s">
        <v>41</v>
      </c>
      <c r="N1042" t="s">
        <v>69</v>
      </c>
      <c r="O1042" s="5">
        <v>2</v>
      </c>
      <c r="R1042" s="3" t="s">
        <v>58</v>
      </c>
      <c r="S1042">
        <f>COUNTIF(A:A,A1042)</f>
        <v>2</v>
      </c>
      <c r="T1042" t="str">
        <f>IF(OR(H1042="",LOWER(TRIM(H1042&amp;""))="missing",LOWER(TRIM(H1042&amp;""))=""),"Missing/",IFERROR(IF(OR(VALUE(H1042)&lt;0,VALUE(H1042)&gt;110),"Invalid","Valid"),"Check Format"))</f>
        <v>Missing/</v>
      </c>
      <c r="U1042" t="str">
        <f>IF(Raw_Data[[#This Row],[Age_Check]]="Valid",H1042,"")</f>
        <v/>
      </c>
      <c r="V1042" t="str">
        <f>IF(OR(K1042="",UPPER(TRIM(K1042&amp;""))="",LOWER(TRIM(K1042&amp;""))="",LOWER(TRIM(K1042&amp;""))="",LOWER(TRIM(K1042&amp;""))="missing"),"Missing/",IFERROR(IF(VALUE(K1042)&lt;0,"Invalid","Valid"),"Check Format"))</f>
        <v>Valid</v>
      </c>
      <c r="W1042" t="str">
        <f>IF(OR(E1042="",F1042=""),"Missing Date/Time",IFERROR(IF(F1042&gt;E1042,"Arrival After Appointment","OK"),"Check Format"))</f>
        <v>OK</v>
      </c>
      <c r="X1042" t="str">
        <f>IF(OR(F1042="",G1042=""),"Missing Date/Time",IFERROR(IF(G1042&lt;F1042,"Discharge Before Arrival","OK"),"Check Format"))</f>
        <v>OK</v>
      </c>
    </row>
    <row r="1043" spans="1:24" x14ac:dyDescent="0.25">
      <c r="A1043" s="2" t="s">
        <v>1409</v>
      </c>
      <c r="B1043" s="2" t="s">
        <v>741</v>
      </c>
      <c r="C1043" s="3" t="s">
        <v>46</v>
      </c>
      <c r="D1043" s="3" t="s">
        <v>149</v>
      </c>
      <c r="E1043" s="4" t="s">
        <v>1410</v>
      </c>
      <c r="F1043" s="4">
        <v>45740.534722222219</v>
      </c>
      <c r="G1043" s="4">
        <v>45740.574305555558</v>
      </c>
      <c r="H1043" s="5">
        <v>10</v>
      </c>
      <c r="I1043" s="3" t="s">
        <v>73</v>
      </c>
      <c r="J1043" s="3" t="s">
        <v>62</v>
      </c>
      <c r="K1043" s="5">
        <v>30</v>
      </c>
      <c r="L1043" s="5">
        <v>7</v>
      </c>
      <c r="M1043" s="3" t="s">
        <v>63</v>
      </c>
      <c r="N1043" t="s">
        <v>24</v>
      </c>
      <c r="O1043" s="5">
        <v>2</v>
      </c>
      <c r="P1043" s="3" t="s">
        <v>80</v>
      </c>
      <c r="Q1043" s="2">
        <v>169.31</v>
      </c>
      <c r="R1043" s="3" t="s">
        <v>43</v>
      </c>
      <c r="S1043">
        <f>COUNTIF(A:A,A1043)</f>
        <v>2</v>
      </c>
      <c r="T1043" t="str">
        <f>IF(OR(H1043="",LOWER(TRIM(H1043&amp;""))="missing",LOWER(TRIM(H1043&amp;""))=""),"Missing/",IFERROR(IF(OR(VALUE(H1043)&lt;0,VALUE(H1043)&gt;110),"Invalid","Valid"),"Check Format"))</f>
        <v>Valid</v>
      </c>
      <c r="U1043">
        <f>IF(Raw_Data[[#This Row],[Age_Check]]="Valid",H1043,"")</f>
        <v>10</v>
      </c>
      <c r="V1043" t="str">
        <f>IF(OR(K1043="",UPPER(TRIM(K1043&amp;""))="",LOWER(TRIM(K1043&amp;""))="",LOWER(TRIM(K1043&amp;""))="",LOWER(TRIM(K1043&amp;""))="missing"),"Missing/",IFERROR(IF(VALUE(K1043)&lt;0,"Invalid","Valid"),"Check Format"))</f>
        <v>Valid</v>
      </c>
      <c r="W1043" t="str">
        <f>IF(OR(E1043="",F1043=""),"Missing Date/Time",IFERROR(IF(F1043&gt;E1043,"Arrival After Appointment","OK"),"Check Format"))</f>
        <v>OK</v>
      </c>
      <c r="X1043" t="str">
        <f>IF(OR(F1043="",G1043=""),"Missing Date/Time",IFERROR(IF(G1043&lt;F1043,"Discharge Before Arrival","OK"),"Check Format"))</f>
        <v>OK</v>
      </c>
    </row>
    <row r="1044" spans="1:24" x14ac:dyDescent="0.25">
      <c r="A1044" s="2" t="s">
        <v>1409</v>
      </c>
      <c r="B1044" s="2" t="s">
        <v>1160</v>
      </c>
      <c r="C1044" s="3" t="s">
        <v>94</v>
      </c>
      <c r="D1044" s="3" t="s">
        <v>174</v>
      </c>
      <c r="E1044" s="4">
        <v>45887.75</v>
      </c>
      <c r="F1044" s="4">
        <v>45887.730555555558</v>
      </c>
      <c r="G1044" s="4">
        <v>45887.826388888891</v>
      </c>
      <c r="I1044" s="3" t="s">
        <v>90</v>
      </c>
      <c r="J1044" s="3" t="s">
        <v>62</v>
      </c>
      <c r="K1044" s="5">
        <v>83</v>
      </c>
      <c r="L1044" s="5">
        <v>27</v>
      </c>
      <c r="M1044" s="3" t="s">
        <v>32</v>
      </c>
      <c r="N1044" t="s">
        <v>100</v>
      </c>
      <c r="Q1044" s="2">
        <v>261.26</v>
      </c>
      <c r="R1044" s="3" t="s">
        <v>58</v>
      </c>
      <c r="S1044">
        <f>COUNTIF(A:A,A1044)</f>
        <v>2</v>
      </c>
      <c r="T1044" t="str">
        <f>IF(OR(H1044="",LOWER(TRIM(H1044&amp;""))="missing",LOWER(TRIM(H1044&amp;""))=""),"Missing/",IFERROR(IF(OR(VALUE(H1044)&lt;0,VALUE(H1044)&gt;110),"Invalid","Valid"),"Check Format"))</f>
        <v>Missing/</v>
      </c>
      <c r="U1044" t="str">
        <f>IF(Raw_Data[[#This Row],[Age_Check]]="Valid",H1044,"")</f>
        <v/>
      </c>
      <c r="V1044" t="str">
        <f>IF(OR(K1044="",UPPER(TRIM(K1044&amp;""))="",LOWER(TRIM(K1044&amp;""))="",LOWER(TRIM(K1044&amp;""))="",LOWER(TRIM(K1044&amp;""))="missing"),"Missing/",IFERROR(IF(VALUE(K1044)&lt;0,"Invalid","Valid"),"Check Format"))</f>
        <v>Valid</v>
      </c>
      <c r="W1044" t="str">
        <f>IF(OR(E1044="",F1044=""),"Missing Date/Time",IFERROR(IF(F1044&gt;E1044,"Arrival After Appointment","OK"),"Check Format"))</f>
        <v>OK</v>
      </c>
      <c r="X1044" t="str">
        <f>IF(OR(F1044="",G1044=""),"Missing Date/Time",IFERROR(IF(G1044&lt;F1044,"Discharge Before Arrival","OK"),"Check Format"))</f>
        <v>OK</v>
      </c>
    </row>
    <row r="1045" spans="1:24" x14ac:dyDescent="0.25">
      <c r="A1045" s="2" t="s">
        <v>1668</v>
      </c>
      <c r="B1045" s="2" t="s">
        <v>1117</v>
      </c>
      <c r="C1045" s="3" t="s">
        <v>19</v>
      </c>
      <c r="D1045" s="3" t="s">
        <v>30</v>
      </c>
      <c r="E1045" s="4">
        <v>45965.354166666664</v>
      </c>
      <c r="F1045" s="4">
        <v>45965.334722222222</v>
      </c>
      <c r="G1045" s="4">
        <v>45965.418749999997</v>
      </c>
      <c r="I1045" s="3" t="s">
        <v>73</v>
      </c>
      <c r="J1045" s="3" t="s">
        <v>62</v>
      </c>
      <c r="K1045" s="5">
        <v>66</v>
      </c>
      <c r="L1045" s="5">
        <v>27</v>
      </c>
      <c r="M1045" s="3" t="s">
        <v>23</v>
      </c>
      <c r="N1045" t="s">
        <v>74</v>
      </c>
      <c r="O1045" s="5">
        <v>0</v>
      </c>
      <c r="Q1045" s="2">
        <v>241.04</v>
      </c>
      <c r="R1045" s="3" t="s">
        <v>43</v>
      </c>
      <c r="S1045">
        <f>COUNTIF(A:A,A1045)</f>
        <v>1</v>
      </c>
      <c r="T1045" t="str">
        <f>IF(OR(H1045="",LOWER(TRIM(H1045&amp;""))="missing",LOWER(TRIM(H1045&amp;""))=""),"Missing/",IFERROR(IF(OR(VALUE(H1045)&lt;0,VALUE(H1045)&gt;110),"Invalid","Valid"),"Check Format"))</f>
        <v>Missing/</v>
      </c>
      <c r="U1045" t="str">
        <f>IF(Raw_Data[[#This Row],[Age_Check]]="Valid",H1045,"")</f>
        <v/>
      </c>
      <c r="V1045" t="str">
        <f>IF(OR(K1045="",UPPER(TRIM(K1045&amp;""))="",LOWER(TRIM(K1045&amp;""))="",LOWER(TRIM(K1045&amp;""))="",LOWER(TRIM(K1045&amp;""))="missing"),"Missing/",IFERROR(IF(VALUE(K1045)&lt;0,"Invalid","Valid"),"Check Format"))</f>
        <v>Valid</v>
      </c>
      <c r="W1045" t="str">
        <f>IF(OR(E1045="",F1045=""),"Missing Date/Time",IFERROR(IF(F1045&gt;E1045,"Arrival After Appointment","OK"),"Check Format"))</f>
        <v>OK</v>
      </c>
      <c r="X1045" t="str">
        <f>IF(OR(F1045="",G1045=""),"Missing Date/Time",IFERROR(IF(G1045&lt;F1045,"Discharge Before Arrival","OK"),"Check Format"))</f>
        <v>OK</v>
      </c>
    </row>
    <row r="1046" spans="1:24" x14ac:dyDescent="0.25">
      <c r="A1046" s="2" t="s">
        <v>1669</v>
      </c>
      <c r="B1046" s="2" t="s">
        <v>1528</v>
      </c>
      <c r="C1046" s="3" t="s">
        <v>46</v>
      </c>
      <c r="D1046" s="3" t="s">
        <v>149</v>
      </c>
      <c r="E1046" s="4">
        <v>45296.347222222219</v>
      </c>
      <c r="F1046" s="4">
        <v>45296.344444444447</v>
      </c>
      <c r="G1046" s="4">
        <v>45296.393750000003</v>
      </c>
      <c r="H1046" s="5">
        <v>73</v>
      </c>
      <c r="I1046" s="3" t="s">
        <v>73</v>
      </c>
      <c r="K1046" s="5">
        <v>62</v>
      </c>
      <c r="L1046" s="5">
        <v>5</v>
      </c>
      <c r="M1046" s="3" t="s">
        <v>68</v>
      </c>
      <c r="N1046" t="s">
        <v>100</v>
      </c>
      <c r="O1046" s="5">
        <v>4</v>
      </c>
      <c r="P1046" s="3" t="s">
        <v>25</v>
      </c>
      <c r="Q1046" s="2">
        <v>55.63</v>
      </c>
      <c r="R1046" s="3" t="s">
        <v>58</v>
      </c>
      <c r="S1046">
        <f>COUNTIF(A:A,A1046)</f>
        <v>1</v>
      </c>
      <c r="T1046" t="str">
        <f>IF(OR(H1046="",LOWER(TRIM(H1046&amp;""))="missing",LOWER(TRIM(H1046&amp;""))=""),"Missing/",IFERROR(IF(OR(VALUE(H1046)&lt;0,VALUE(H1046)&gt;110),"Invalid","Valid"),"Check Format"))</f>
        <v>Valid</v>
      </c>
      <c r="U1046">
        <f>IF(Raw_Data[[#This Row],[Age_Check]]="Valid",H1046,"")</f>
        <v>73</v>
      </c>
      <c r="V1046" t="str">
        <f>IF(OR(K1046="",UPPER(TRIM(K1046&amp;""))="",LOWER(TRIM(K1046&amp;""))="",LOWER(TRIM(K1046&amp;""))="",LOWER(TRIM(K1046&amp;""))="missing"),"Missing/",IFERROR(IF(VALUE(K1046)&lt;0,"Invalid","Valid"),"Check Format"))</f>
        <v>Valid</v>
      </c>
      <c r="W1046" t="str">
        <f>IF(OR(E1046="",F1046=""),"Missing Date/Time",IFERROR(IF(F1046&gt;E1046,"Arrival After Appointment","OK"),"Check Format"))</f>
        <v>OK</v>
      </c>
      <c r="X1046" t="str">
        <f>IF(OR(F1046="",G1046=""),"Missing Date/Time",IFERROR(IF(G1046&lt;F1046,"Discharge Before Arrival","OK"),"Check Format"))</f>
        <v>OK</v>
      </c>
    </row>
    <row r="1047" spans="1:24" x14ac:dyDescent="0.25">
      <c r="A1047" s="2" t="s">
        <v>1670</v>
      </c>
      <c r="B1047" s="2" t="s">
        <v>1094</v>
      </c>
      <c r="C1047" s="3" t="s">
        <v>94</v>
      </c>
      <c r="D1047" s="3" t="s">
        <v>72</v>
      </c>
      <c r="E1047" s="4" t="s">
        <v>1671</v>
      </c>
      <c r="F1047" s="4">
        <v>45439.763194444444</v>
      </c>
      <c r="G1047" s="4">
        <v>45439.842361111114</v>
      </c>
      <c r="H1047" s="5">
        <v>58</v>
      </c>
      <c r="J1047" s="3" t="s">
        <v>171</v>
      </c>
      <c r="K1047" s="5">
        <v>51</v>
      </c>
      <c r="L1047" s="5">
        <v>37</v>
      </c>
      <c r="M1047" s="3" t="s">
        <v>63</v>
      </c>
      <c r="N1047" t="s">
        <v>74</v>
      </c>
      <c r="O1047" s="5">
        <v>6</v>
      </c>
      <c r="P1047" s="3" t="s">
        <v>25</v>
      </c>
      <c r="Q1047" s="2">
        <v>140.47</v>
      </c>
      <c r="R1047" s="3" t="s">
        <v>58</v>
      </c>
      <c r="S1047">
        <f>COUNTIF(A:A,A1047)</f>
        <v>1</v>
      </c>
      <c r="T1047" t="str">
        <f>IF(OR(H1047="",LOWER(TRIM(H1047&amp;""))="missing",LOWER(TRIM(H1047&amp;""))=""),"Missing/",IFERROR(IF(OR(VALUE(H1047)&lt;0,VALUE(H1047)&gt;110),"Invalid","Valid"),"Check Format"))</f>
        <v>Valid</v>
      </c>
      <c r="U1047">
        <f>IF(Raw_Data[[#This Row],[Age_Check]]="Valid",H1047,"")</f>
        <v>58</v>
      </c>
      <c r="V1047" t="str">
        <f>IF(OR(K1047="",UPPER(TRIM(K1047&amp;""))="",LOWER(TRIM(K1047&amp;""))="",LOWER(TRIM(K1047&amp;""))="",LOWER(TRIM(K1047&amp;""))="missing"),"Missing/",IFERROR(IF(VALUE(K1047)&lt;0,"Invalid","Valid"),"Check Format"))</f>
        <v>Valid</v>
      </c>
      <c r="W1047" t="str">
        <f>IF(OR(E1047="",F1047=""),"Missing Date/Time",IFERROR(IF(F1047&gt;E1047,"Arrival After Appointment","OK"),"Check Format"))</f>
        <v>OK</v>
      </c>
      <c r="X1047" t="str">
        <f>IF(OR(F1047="",G1047=""),"Missing Date/Time",IFERROR(IF(G1047&lt;F1047,"Discharge Before Arrival","OK"),"Check Format"))</f>
        <v>OK</v>
      </c>
    </row>
    <row r="1048" spans="1:24" x14ac:dyDescent="0.25">
      <c r="A1048" s="2" t="s">
        <v>1672</v>
      </c>
      <c r="B1048" s="2" t="s">
        <v>657</v>
      </c>
      <c r="C1048" s="3" t="s">
        <v>94</v>
      </c>
      <c r="D1048" s="3" t="s">
        <v>149</v>
      </c>
      <c r="E1048" s="4">
        <v>46011.579861111109</v>
      </c>
      <c r="F1048" s="4">
        <v>46011.56527777778</v>
      </c>
      <c r="H1048" s="5">
        <v>70</v>
      </c>
      <c r="I1048" s="3" t="s">
        <v>73</v>
      </c>
      <c r="J1048" s="3" t="s">
        <v>22</v>
      </c>
      <c r="K1048" s="5">
        <v>100</v>
      </c>
      <c r="L1048" s="5">
        <v>5</v>
      </c>
      <c r="M1048" s="3" t="s">
        <v>41</v>
      </c>
      <c r="N1048" t="s">
        <v>24</v>
      </c>
      <c r="O1048" s="5">
        <v>5</v>
      </c>
      <c r="P1048" s="3" t="s">
        <v>25</v>
      </c>
      <c r="Q1048" s="2">
        <v>156.49</v>
      </c>
      <c r="R1048" s="3" t="s">
        <v>58</v>
      </c>
      <c r="S1048">
        <f>COUNTIF(A:A,A1048)</f>
        <v>1</v>
      </c>
      <c r="T1048" t="str">
        <f>IF(OR(H1048="",LOWER(TRIM(H1048&amp;""))="missing",LOWER(TRIM(H1048&amp;""))=""),"Missing/",IFERROR(IF(OR(VALUE(H1048)&lt;0,VALUE(H1048)&gt;110),"Invalid","Valid"),"Check Format"))</f>
        <v>Valid</v>
      </c>
      <c r="U1048">
        <f>IF(Raw_Data[[#This Row],[Age_Check]]="Valid",H1048,"")</f>
        <v>70</v>
      </c>
      <c r="V1048" t="str">
        <f>IF(OR(K1048="",UPPER(TRIM(K1048&amp;""))="",LOWER(TRIM(K1048&amp;""))="",LOWER(TRIM(K1048&amp;""))="",LOWER(TRIM(K1048&amp;""))="missing"),"Missing/",IFERROR(IF(VALUE(K1048)&lt;0,"Invalid","Valid"),"Check Format"))</f>
        <v>Valid</v>
      </c>
      <c r="W1048" t="str">
        <f>IF(OR(E1048="",F1048=""),"Missing Date/Time",IFERROR(IF(F1048&gt;E1048,"Arrival After Appointment","OK"),"Check Format"))</f>
        <v>OK</v>
      </c>
      <c r="X1048" t="str">
        <f>IF(OR(F1048="",G1048=""),"Missing Date/Time",IFERROR(IF(G1048&lt;F1048,"Discharge Before Arrival","OK"),"Check Format"))</f>
        <v>Missing Date/Time</v>
      </c>
    </row>
    <row r="1049" spans="1:24" x14ac:dyDescent="0.25">
      <c r="A1049" s="2" t="s">
        <v>1673</v>
      </c>
      <c r="B1049" s="2" t="s">
        <v>1006</v>
      </c>
      <c r="C1049" s="3" t="s">
        <v>46</v>
      </c>
      <c r="D1049" s="3" t="s">
        <v>149</v>
      </c>
      <c r="E1049" s="4" t="s">
        <v>1674</v>
      </c>
      <c r="F1049" s="4">
        <v>45408.578472222223</v>
      </c>
      <c r="G1049" s="4">
        <v>45408.611111111109</v>
      </c>
      <c r="I1049" s="3" t="s">
        <v>73</v>
      </c>
      <c r="J1049" s="3" t="s">
        <v>2639</v>
      </c>
      <c r="K1049" s="5">
        <v>0</v>
      </c>
      <c r="L1049" s="5">
        <v>45</v>
      </c>
      <c r="M1049" s="3" t="s">
        <v>32</v>
      </c>
      <c r="N1049" t="s">
        <v>69</v>
      </c>
      <c r="P1049" s="3" t="s">
        <v>25</v>
      </c>
      <c r="Q1049" s="2">
        <v>137.44</v>
      </c>
      <c r="R1049" s="3" t="s">
        <v>58</v>
      </c>
      <c r="S1049">
        <f>COUNTIF(A:A,A1049)</f>
        <v>1</v>
      </c>
      <c r="T1049" t="str">
        <f>IF(OR(H1049="",LOWER(TRIM(H1049&amp;""))="missing",LOWER(TRIM(H1049&amp;""))=""),"Missing/",IFERROR(IF(OR(VALUE(H1049)&lt;0,VALUE(H1049)&gt;110),"Invalid","Valid"),"Check Format"))</f>
        <v>Missing/</v>
      </c>
      <c r="U1049" t="str">
        <f>IF(Raw_Data[[#This Row],[Age_Check]]="Valid",H1049,"")</f>
        <v/>
      </c>
      <c r="V1049" t="str">
        <f>IF(OR(K1049="",UPPER(TRIM(K1049&amp;""))="",LOWER(TRIM(K1049&amp;""))="",LOWER(TRIM(K1049&amp;""))="",LOWER(TRIM(K1049&amp;""))="missing"),"Missing/",IFERROR(IF(VALUE(K1049)&lt;0,"Invalid","Valid"),"Check Format"))</f>
        <v>Valid</v>
      </c>
      <c r="W1049" t="str">
        <f>IF(OR(E1049="",F1049=""),"Missing Date/Time",IFERROR(IF(F1049&gt;E1049,"Arrival After Appointment","OK"),"Check Format"))</f>
        <v>OK</v>
      </c>
      <c r="X1049" t="str">
        <f>IF(OR(F1049="",G1049=""),"Missing Date/Time",IFERROR(IF(G1049&lt;F1049,"Discharge Before Arrival","OK"),"Check Format"))</f>
        <v>OK</v>
      </c>
    </row>
    <row r="1050" spans="1:24" x14ac:dyDescent="0.25">
      <c r="A1050" s="2" t="s">
        <v>1675</v>
      </c>
      <c r="B1050" s="2" t="s">
        <v>994</v>
      </c>
      <c r="C1050" s="3" t="s">
        <v>37</v>
      </c>
      <c r="D1050" s="3" t="s">
        <v>66</v>
      </c>
      <c r="E1050" s="4">
        <v>45999.461805555555</v>
      </c>
      <c r="G1050" s="4">
        <v>45999.522916666669</v>
      </c>
      <c r="H1050" s="5">
        <v>69</v>
      </c>
      <c r="I1050" s="3" t="s">
        <v>95</v>
      </c>
      <c r="J1050" s="3" t="s">
        <v>67</v>
      </c>
      <c r="K1050" s="5">
        <v>72</v>
      </c>
      <c r="L1050" s="5">
        <v>16</v>
      </c>
      <c r="M1050" s="3" t="s">
        <v>87</v>
      </c>
      <c r="N1050" t="s">
        <v>103</v>
      </c>
      <c r="P1050" s="3" t="s">
        <v>42</v>
      </c>
      <c r="Q1050" s="2">
        <v>247.36</v>
      </c>
      <c r="R1050" s="3" t="s">
        <v>58</v>
      </c>
      <c r="S1050">
        <f>COUNTIF(A:A,A1050)</f>
        <v>1</v>
      </c>
      <c r="T1050" t="str">
        <f>IF(OR(H1050="",LOWER(TRIM(H1050&amp;""))="missing",LOWER(TRIM(H1050&amp;""))=""),"Missing/",IFERROR(IF(OR(VALUE(H1050)&lt;0,VALUE(H1050)&gt;110),"Invalid","Valid"),"Check Format"))</f>
        <v>Valid</v>
      </c>
      <c r="U1050">
        <f>IF(Raw_Data[[#This Row],[Age_Check]]="Valid",H1050,"")</f>
        <v>69</v>
      </c>
      <c r="V1050" t="str">
        <f>IF(OR(K1050="",UPPER(TRIM(K1050&amp;""))="",LOWER(TRIM(K1050&amp;""))="",LOWER(TRIM(K1050&amp;""))="",LOWER(TRIM(K1050&amp;""))="missing"),"Missing/",IFERROR(IF(VALUE(K1050)&lt;0,"Invalid","Valid"),"Check Format"))</f>
        <v>Valid</v>
      </c>
      <c r="W1050" t="str">
        <f>IF(OR(E1050="",F1050=""),"Missing Date/Time",IFERROR(IF(F1050&gt;E1050,"Arrival After Appointment","OK"),"Check Format"))</f>
        <v>Missing Date/Time</v>
      </c>
      <c r="X1050" t="str">
        <f>IF(OR(F1050="",G1050=""),"Missing Date/Time",IFERROR(IF(G1050&lt;F1050,"Discharge Before Arrival","OK"),"Check Format"))</f>
        <v>Missing Date/Time</v>
      </c>
    </row>
    <row r="1051" spans="1:24" x14ac:dyDescent="0.25">
      <c r="A1051" s="2" t="s">
        <v>1676</v>
      </c>
      <c r="B1051" s="2" t="s">
        <v>623</v>
      </c>
      <c r="C1051" s="3" t="s">
        <v>94</v>
      </c>
      <c r="D1051" s="3" t="s">
        <v>115</v>
      </c>
      <c r="E1051" s="4">
        <v>45457.298611111109</v>
      </c>
      <c r="F1051" s="4">
        <v>45457.29791666667</v>
      </c>
      <c r="G1051" s="4">
        <v>45457.393055555556</v>
      </c>
      <c r="H1051" s="5">
        <v>145</v>
      </c>
      <c r="I1051" s="3" t="s">
        <v>95</v>
      </c>
      <c r="K1051" s="5">
        <v>94</v>
      </c>
      <c r="L1051" s="5">
        <v>42</v>
      </c>
      <c r="M1051" s="3" t="s">
        <v>50</v>
      </c>
      <c r="N1051" t="s">
        <v>103</v>
      </c>
      <c r="O1051" s="5">
        <v>1</v>
      </c>
      <c r="P1051" s="3" t="s">
        <v>25</v>
      </c>
      <c r="Q1051" s="2">
        <v>134.63999999999999</v>
      </c>
      <c r="R1051" s="3" t="s">
        <v>75</v>
      </c>
      <c r="S1051">
        <f>COUNTIF(A:A,A1051)</f>
        <v>1</v>
      </c>
      <c r="T1051" t="str">
        <f>IF(OR(H1051="",LOWER(TRIM(H1051&amp;""))="missing",LOWER(TRIM(H1051&amp;""))=""),"Missing/",IFERROR(IF(OR(VALUE(H1051)&lt;0,VALUE(H1051)&gt;110),"Invalid","Valid"),"Check Format"))</f>
        <v>Invalid</v>
      </c>
      <c r="U1051" t="str">
        <f>IF(Raw_Data[[#This Row],[Age_Check]]="Valid",H1051,"")</f>
        <v/>
      </c>
      <c r="V1051" t="str">
        <f>IF(OR(K1051="",UPPER(TRIM(K1051&amp;""))="",LOWER(TRIM(K1051&amp;""))="",LOWER(TRIM(K1051&amp;""))="",LOWER(TRIM(K1051&amp;""))="missing"),"Missing/",IFERROR(IF(VALUE(K1051)&lt;0,"Invalid","Valid"),"Check Format"))</f>
        <v>Valid</v>
      </c>
      <c r="W1051" t="str">
        <f>IF(OR(E1051="",F1051=""),"Missing Date/Time",IFERROR(IF(F1051&gt;E1051,"Arrival After Appointment","OK"),"Check Format"))</f>
        <v>OK</v>
      </c>
      <c r="X1051" t="str">
        <f>IF(OR(F1051="",G1051=""),"Missing Date/Time",IFERROR(IF(G1051&lt;F1051,"Discharge Before Arrival","OK"),"Check Format"))</f>
        <v>OK</v>
      </c>
    </row>
    <row r="1052" spans="1:24" x14ac:dyDescent="0.25">
      <c r="A1052" s="2" t="s">
        <v>1677</v>
      </c>
      <c r="B1052" s="2" t="s">
        <v>348</v>
      </c>
      <c r="D1052" s="3" t="s">
        <v>66</v>
      </c>
      <c r="E1052" s="4">
        <v>45353.434027777781</v>
      </c>
      <c r="F1052" s="4">
        <v>45353.419444444444</v>
      </c>
      <c r="H1052" s="5">
        <v>12</v>
      </c>
      <c r="J1052" s="3" t="s">
        <v>2639</v>
      </c>
      <c r="K1052" s="5">
        <v>78</v>
      </c>
      <c r="L1052" s="5">
        <v>19</v>
      </c>
      <c r="N1052" t="s">
        <v>74</v>
      </c>
      <c r="O1052" s="5">
        <v>0</v>
      </c>
      <c r="P1052" s="3" t="s">
        <v>25</v>
      </c>
      <c r="Q1052" s="2">
        <v>213.44</v>
      </c>
      <c r="R1052" s="3" t="s">
        <v>58</v>
      </c>
      <c r="S1052">
        <f>COUNTIF(A:A,A1052)</f>
        <v>1</v>
      </c>
      <c r="T1052" t="str">
        <f>IF(OR(H1052="",LOWER(TRIM(H1052&amp;""))="missing",LOWER(TRIM(H1052&amp;""))=""),"Missing/",IFERROR(IF(OR(VALUE(H1052)&lt;0,VALUE(H1052)&gt;110),"Invalid","Valid"),"Check Format"))</f>
        <v>Valid</v>
      </c>
      <c r="U1052">
        <f>IF(Raw_Data[[#This Row],[Age_Check]]="Valid",H1052,"")</f>
        <v>12</v>
      </c>
      <c r="V1052" t="str">
        <f>IF(OR(K1052="",UPPER(TRIM(K1052&amp;""))="",LOWER(TRIM(K1052&amp;""))="",LOWER(TRIM(K1052&amp;""))="",LOWER(TRIM(K1052&amp;""))="missing"),"Missing/",IFERROR(IF(VALUE(K1052)&lt;0,"Invalid","Valid"),"Check Format"))</f>
        <v>Valid</v>
      </c>
      <c r="W1052" t="str">
        <f>IF(OR(E1052="",F1052=""),"Missing Date/Time",IFERROR(IF(F1052&gt;E1052,"Arrival After Appointment","OK"),"Check Format"))</f>
        <v>OK</v>
      </c>
      <c r="X1052" t="str">
        <f>IF(OR(F1052="",G1052=""),"Missing Date/Time",IFERROR(IF(G1052&lt;F1052,"Discharge Before Arrival","OK"),"Check Format"))</f>
        <v>Missing Date/Time</v>
      </c>
    </row>
    <row r="1053" spans="1:24" x14ac:dyDescent="0.25">
      <c r="A1053" s="2" t="s">
        <v>1678</v>
      </c>
      <c r="B1053" s="2" t="s">
        <v>143</v>
      </c>
      <c r="D1053" s="3" t="s">
        <v>209</v>
      </c>
      <c r="E1053" s="4">
        <v>46014.364583333336</v>
      </c>
      <c r="F1053" s="4">
        <v>46014.364583333336</v>
      </c>
      <c r="G1053" s="4">
        <v>46014.479861111111</v>
      </c>
      <c r="I1053" s="3" t="s">
        <v>73</v>
      </c>
      <c r="J1053" s="3" t="s">
        <v>22</v>
      </c>
      <c r="K1053" s="5">
        <v>115</v>
      </c>
      <c r="L1053" s="5">
        <v>51</v>
      </c>
      <c r="M1053" s="3" t="s">
        <v>63</v>
      </c>
      <c r="N1053" t="s">
        <v>100</v>
      </c>
      <c r="O1053" s="5">
        <v>6</v>
      </c>
      <c r="P1053" s="3" t="s">
        <v>80</v>
      </c>
      <c r="Q1053" s="2">
        <v>86.63</v>
      </c>
      <c r="R1053" s="3" t="s">
        <v>75</v>
      </c>
      <c r="S1053">
        <f>COUNTIF(A:A,A1053)</f>
        <v>1</v>
      </c>
      <c r="T1053" t="str">
        <f>IF(OR(H1053="",LOWER(TRIM(H1053&amp;""))="missing",LOWER(TRIM(H1053&amp;""))=""),"Missing/",IFERROR(IF(OR(VALUE(H1053)&lt;0,VALUE(H1053)&gt;110),"Invalid","Valid"),"Check Format"))</f>
        <v>Missing/</v>
      </c>
      <c r="U1053" t="str">
        <f>IF(Raw_Data[[#This Row],[Age_Check]]="Valid",H1053,"")</f>
        <v/>
      </c>
      <c r="V1053" t="str">
        <f>IF(OR(K1053="",UPPER(TRIM(K1053&amp;""))="",LOWER(TRIM(K1053&amp;""))="",LOWER(TRIM(K1053&amp;""))="",LOWER(TRIM(K1053&amp;""))="missing"),"Missing/",IFERROR(IF(VALUE(K1053)&lt;0,"Invalid","Valid"),"Check Format"))</f>
        <v>Valid</v>
      </c>
      <c r="W1053" t="str">
        <f>IF(OR(E1053="",F1053=""),"Missing Date/Time",IFERROR(IF(F1053&gt;E1053,"Arrival After Appointment","OK"),"Check Format"))</f>
        <v>OK</v>
      </c>
      <c r="X1053" t="str">
        <f>IF(OR(F1053="",G1053=""),"Missing Date/Time",IFERROR(IF(G1053&lt;F1053,"Discharge Before Arrival","OK"),"Check Format"))</f>
        <v>OK</v>
      </c>
    </row>
    <row r="1054" spans="1:24" x14ac:dyDescent="0.25">
      <c r="A1054" s="2" t="s">
        <v>1679</v>
      </c>
      <c r="B1054" s="2" t="s">
        <v>123</v>
      </c>
      <c r="C1054" s="3" t="s">
        <v>46</v>
      </c>
      <c r="D1054" s="3" t="s">
        <v>174</v>
      </c>
      <c r="E1054" s="4" t="s">
        <v>1680</v>
      </c>
      <c r="F1054" s="4">
        <v>45368.67291666667</v>
      </c>
      <c r="G1054" s="4">
        <v>45368.731249999997</v>
      </c>
      <c r="H1054" s="5">
        <v>30</v>
      </c>
      <c r="I1054" s="3" t="s">
        <v>95</v>
      </c>
      <c r="J1054" s="3" t="s">
        <v>67</v>
      </c>
      <c r="K1054" s="5">
        <v>70</v>
      </c>
      <c r="L1054" s="5">
        <v>8</v>
      </c>
      <c r="M1054" s="3" t="s">
        <v>32</v>
      </c>
      <c r="N1054" t="s">
        <v>103</v>
      </c>
      <c r="P1054" s="3" t="s">
        <v>80</v>
      </c>
      <c r="Q1054" s="2">
        <v>190.79</v>
      </c>
      <c r="R1054" s="3" t="s">
        <v>26</v>
      </c>
      <c r="S1054">
        <f>COUNTIF(A:A,A1054)</f>
        <v>1</v>
      </c>
      <c r="T1054" t="str">
        <f>IF(OR(H1054="",LOWER(TRIM(H1054&amp;""))="missing",LOWER(TRIM(H1054&amp;""))=""),"Missing/",IFERROR(IF(OR(VALUE(H1054)&lt;0,VALUE(H1054)&gt;110),"Invalid","Valid"),"Check Format"))</f>
        <v>Valid</v>
      </c>
      <c r="U1054">
        <f>IF(Raw_Data[[#This Row],[Age_Check]]="Valid",H1054,"")</f>
        <v>30</v>
      </c>
      <c r="V1054" t="str">
        <f>IF(OR(K1054="",UPPER(TRIM(K1054&amp;""))="",LOWER(TRIM(K1054&amp;""))="",LOWER(TRIM(K1054&amp;""))="",LOWER(TRIM(K1054&amp;""))="missing"),"Missing/",IFERROR(IF(VALUE(K1054)&lt;0,"Invalid","Valid"),"Check Format"))</f>
        <v>Valid</v>
      </c>
      <c r="W1054" t="str">
        <f>IF(OR(E1054="",F1054=""),"Missing Date/Time",IFERROR(IF(F1054&gt;E1054,"Arrival After Appointment","OK"),"Check Format"))</f>
        <v>OK</v>
      </c>
      <c r="X1054" t="str">
        <f>IF(OR(F1054="",G1054=""),"Missing Date/Time",IFERROR(IF(G1054&lt;F1054,"Discharge Before Arrival","OK"),"Check Format"))</f>
        <v>OK</v>
      </c>
    </row>
    <row r="1055" spans="1:24" x14ac:dyDescent="0.25">
      <c r="A1055" s="2" t="s">
        <v>1681</v>
      </c>
      <c r="B1055" s="2" t="s">
        <v>1193</v>
      </c>
      <c r="C1055" s="3" t="s">
        <v>37</v>
      </c>
      <c r="D1055" s="3" t="s">
        <v>66</v>
      </c>
      <c r="E1055" s="4">
        <v>45413.513888888891</v>
      </c>
      <c r="F1055" s="4">
        <v>45413.504861111112</v>
      </c>
      <c r="G1055" s="4">
        <v>45413.568055555559</v>
      </c>
      <c r="H1055" s="5">
        <v>84</v>
      </c>
      <c r="I1055" s="3" t="s">
        <v>95</v>
      </c>
      <c r="J1055" s="3" t="s">
        <v>67</v>
      </c>
      <c r="K1055" s="5">
        <v>73</v>
      </c>
      <c r="L1055" s="5">
        <v>5</v>
      </c>
      <c r="M1055" s="3" t="s">
        <v>23</v>
      </c>
      <c r="N1055" t="s">
        <v>69</v>
      </c>
      <c r="P1055" s="3" t="s">
        <v>25</v>
      </c>
      <c r="Q1055" s="2">
        <v>52.06</v>
      </c>
      <c r="R1055" s="3" t="s">
        <v>75</v>
      </c>
      <c r="S1055">
        <f>COUNTIF(A:A,A1055)</f>
        <v>1</v>
      </c>
      <c r="T1055" t="str">
        <f>IF(OR(H1055="",LOWER(TRIM(H1055&amp;""))="missing",LOWER(TRIM(H1055&amp;""))=""),"Missing/",IFERROR(IF(OR(VALUE(H1055)&lt;0,VALUE(H1055)&gt;110),"Invalid","Valid"),"Check Format"))</f>
        <v>Valid</v>
      </c>
      <c r="U1055">
        <f>IF(Raw_Data[[#This Row],[Age_Check]]="Valid",H1055,"")</f>
        <v>84</v>
      </c>
      <c r="V1055" t="str">
        <f>IF(OR(K1055="",UPPER(TRIM(K1055&amp;""))="",LOWER(TRIM(K1055&amp;""))="",LOWER(TRIM(K1055&amp;""))="",LOWER(TRIM(K1055&amp;""))="missing"),"Missing/",IFERROR(IF(VALUE(K1055)&lt;0,"Invalid","Valid"),"Check Format"))</f>
        <v>Valid</v>
      </c>
      <c r="W1055" t="str">
        <f>IF(OR(E1055="",F1055=""),"Missing Date/Time",IFERROR(IF(F1055&gt;E1055,"Arrival After Appointment","OK"),"Check Format"))</f>
        <v>OK</v>
      </c>
      <c r="X1055" t="str">
        <f>IF(OR(F1055="",G1055=""),"Missing Date/Time",IFERROR(IF(G1055&lt;F1055,"Discharge Before Arrival","OK"),"Check Format"))</f>
        <v>OK</v>
      </c>
    </row>
    <row r="1056" spans="1:24" x14ac:dyDescent="0.25">
      <c r="A1056" s="2" t="s">
        <v>1682</v>
      </c>
      <c r="B1056" s="2" t="s">
        <v>733</v>
      </c>
      <c r="C1056" s="3" t="s">
        <v>19</v>
      </c>
      <c r="D1056" s="3" t="s">
        <v>61</v>
      </c>
      <c r="E1056" s="4">
        <v>45368.298611111109</v>
      </c>
      <c r="F1056" s="4">
        <v>45368.288888888892</v>
      </c>
      <c r="G1056" s="4">
        <v>45368.35</v>
      </c>
      <c r="H1056" s="5">
        <v>145</v>
      </c>
      <c r="I1056" s="3" t="s">
        <v>90</v>
      </c>
      <c r="J1056" s="3" t="s">
        <v>150</v>
      </c>
      <c r="K1056" s="5">
        <v>48</v>
      </c>
      <c r="L1056" s="5">
        <v>26</v>
      </c>
      <c r="M1056" s="3" t="s">
        <v>41</v>
      </c>
      <c r="N1056" t="s">
        <v>69</v>
      </c>
      <c r="P1056" s="3" t="s">
        <v>25</v>
      </c>
      <c r="Q1056" s="2">
        <v>48.24</v>
      </c>
      <c r="R1056" s="3" t="s">
        <v>26</v>
      </c>
      <c r="S1056">
        <f>COUNTIF(A:A,A1056)</f>
        <v>1</v>
      </c>
      <c r="T1056" t="str">
        <f>IF(OR(H1056="",LOWER(TRIM(H1056&amp;""))="missing",LOWER(TRIM(H1056&amp;""))=""),"Missing/",IFERROR(IF(OR(VALUE(H1056)&lt;0,VALUE(H1056)&gt;110),"Invalid","Valid"),"Check Format"))</f>
        <v>Invalid</v>
      </c>
      <c r="U1056" t="str">
        <f>IF(Raw_Data[[#This Row],[Age_Check]]="Valid",H1056,"")</f>
        <v/>
      </c>
      <c r="V1056" t="str">
        <f>IF(OR(K1056="",UPPER(TRIM(K1056&amp;""))="",LOWER(TRIM(K1056&amp;""))="",LOWER(TRIM(K1056&amp;""))="",LOWER(TRIM(K1056&amp;""))="missing"),"Missing/",IFERROR(IF(VALUE(K1056)&lt;0,"Invalid","Valid"),"Check Format"))</f>
        <v>Valid</v>
      </c>
      <c r="W1056" t="str">
        <f>IF(OR(E1056="",F1056=""),"Missing Date/Time",IFERROR(IF(F1056&gt;E1056,"Arrival After Appointment","OK"),"Check Format"))</f>
        <v>OK</v>
      </c>
      <c r="X1056" t="str">
        <f>IF(OR(F1056="",G1056=""),"Missing Date/Time",IFERROR(IF(G1056&lt;F1056,"Discharge Before Arrival","OK"),"Check Format"))</f>
        <v>OK</v>
      </c>
    </row>
    <row r="1057" spans="1:24" x14ac:dyDescent="0.25">
      <c r="A1057" s="2" t="s">
        <v>1683</v>
      </c>
      <c r="B1057" s="2" t="s">
        <v>178</v>
      </c>
      <c r="C1057" s="3" t="s">
        <v>94</v>
      </c>
      <c r="D1057" s="3" t="s">
        <v>72</v>
      </c>
      <c r="E1057" s="4">
        <v>45897.746527777781</v>
      </c>
      <c r="F1057" s="4">
        <v>45897.738888888889</v>
      </c>
      <c r="G1057" s="4">
        <v>45897.820833333331</v>
      </c>
      <c r="H1057" s="5">
        <v>18</v>
      </c>
      <c r="I1057" s="3" t="s">
        <v>73</v>
      </c>
      <c r="J1057" s="3" t="s">
        <v>150</v>
      </c>
      <c r="K1057" s="5">
        <v>71</v>
      </c>
      <c r="L1057" s="5">
        <v>36</v>
      </c>
      <c r="M1057" s="3" t="s">
        <v>23</v>
      </c>
      <c r="N1057" t="s">
        <v>24</v>
      </c>
      <c r="O1057" s="5">
        <v>0</v>
      </c>
      <c r="P1057" s="3" t="s">
        <v>80</v>
      </c>
      <c r="Q1057" s="2">
        <v>129.46</v>
      </c>
      <c r="R1057" s="3" t="s">
        <v>75</v>
      </c>
      <c r="S1057">
        <f>COUNTIF(A:A,A1057)</f>
        <v>1</v>
      </c>
      <c r="T1057" t="str">
        <f>IF(OR(H1057="",LOWER(TRIM(H1057&amp;""))="missing",LOWER(TRIM(H1057&amp;""))=""),"Missing/",IFERROR(IF(OR(VALUE(H1057)&lt;0,VALUE(H1057)&gt;110),"Invalid","Valid"),"Check Format"))</f>
        <v>Valid</v>
      </c>
      <c r="U1057">
        <f>IF(Raw_Data[[#This Row],[Age_Check]]="Valid",H1057,"")</f>
        <v>18</v>
      </c>
      <c r="V1057" t="str">
        <f>IF(OR(K1057="",UPPER(TRIM(K1057&amp;""))="",LOWER(TRIM(K1057&amp;""))="",LOWER(TRIM(K1057&amp;""))="",LOWER(TRIM(K1057&amp;""))="missing"),"Missing/",IFERROR(IF(VALUE(K1057)&lt;0,"Invalid","Valid"),"Check Format"))</f>
        <v>Valid</v>
      </c>
      <c r="W1057" t="str">
        <f>IF(OR(E1057="",F1057=""),"Missing Date/Time",IFERROR(IF(F1057&gt;E1057,"Arrival After Appointment","OK"),"Check Format"))</f>
        <v>OK</v>
      </c>
      <c r="X1057" t="str">
        <f>IF(OR(F1057="",G1057=""),"Missing Date/Time",IFERROR(IF(G1057&lt;F1057,"Discharge Before Arrival","OK"),"Check Format"))</f>
        <v>OK</v>
      </c>
    </row>
    <row r="1058" spans="1:24" x14ac:dyDescent="0.25">
      <c r="A1058" s="2" t="s">
        <v>1684</v>
      </c>
      <c r="B1058" s="2" t="s">
        <v>946</v>
      </c>
      <c r="C1058" s="3" t="s">
        <v>19</v>
      </c>
      <c r="D1058" s="3" t="s">
        <v>66</v>
      </c>
      <c r="E1058" s="4">
        <v>45536.583333333336</v>
      </c>
      <c r="F1058" s="4">
        <v>45300.583333333336</v>
      </c>
      <c r="G1058" s="4">
        <v>45300.63958333333</v>
      </c>
      <c r="I1058" s="3" t="s">
        <v>95</v>
      </c>
      <c r="J1058" s="3" t="s">
        <v>67</v>
      </c>
      <c r="L1058" s="5">
        <v>50</v>
      </c>
      <c r="M1058" s="3" t="s">
        <v>68</v>
      </c>
      <c r="N1058" t="s">
        <v>103</v>
      </c>
      <c r="O1058" s="5">
        <v>0</v>
      </c>
      <c r="Q1058" s="2">
        <v>277.43</v>
      </c>
      <c r="R1058" s="3" t="s">
        <v>58</v>
      </c>
      <c r="S1058">
        <f>COUNTIF(A:A,A1058)</f>
        <v>1</v>
      </c>
      <c r="T1058" t="str">
        <f>IF(OR(H1058="",LOWER(TRIM(H1058&amp;""))="missing",LOWER(TRIM(H1058&amp;""))=""),"Missing/",IFERROR(IF(OR(VALUE(H1058)&lt;0,VALUE(H1058)&gt;110),"Invalid","Valid"),"Check Format"))</f>
        <v>Missing/</v>
      </c>
      <c r="U1058" t="str">
        <f>IF(Raw_Data[[#This Row],[Age_Check]]="Valid",H1058,"")</f>
        <v/>
      </c>
      <c r="V1058" t="str">
        <f>IF(OR(K1058="",UPPER(TRIM(K1058&amp;""))="",LOWER(TRIM(K1058&amp;""))="",LOWER(TRIM(K1058&amp;""))="",LOWER(TRIM(K1058&amp;""))="missing"),"Missing/",IFERROR(IF(VALUE(K1058)&lt;0,"Invalid","Valid"),"Check Format"))</f>
        <v>Missing/</v>
      </c>
      <c r="W1058" t="str">
        <f>IF(OR(E1058="",F1058=""),"Missing Date/Time",IFERROR(IF(F1058&gt;E1058,"Arrival After Appointment","OK"),"Check Format"))</f>
        <v>OK</v>
      </c>
      <c r="X1058" t="str">
        <f>IF(OR(F1058="",G1058=""),"Missing Date/Time",IFERROR(IF(G1058&lt;F1058,"Discharge Before Arrival","OK"),"Check Format"))</f>
        <v>OK</v>
      </c>
    </row>
    <row r="1059" spans="1:24" x14ac:dyDescent="0.25">
      <c r="A1059" s="2" t="s">
        <v>1685</v>
      </c>
      <c r="B1059" s="2" t="s">
        <v>896</v>
      </c>
      <c r="C1059" s="3" t="s">
        <v>94</v>
      </c>
      <c r="D1059" s="3" t="s">
        <v>55</v>
      </c>
      <c r="E1059" s="4">
        <v>45980.461805555555</v>
      </c>
      <c r="F1059" s="4">
        <v>45980.450694444444</v>
      </c>
      <c r="G1059" s="4">
        <v>45980.504166666666</v>
      </c>
      <c r="I1059" s="3" t="s">
        <v>95</v>
      </c>
      <c r="J1059" s="3" t="s">
        <v>62</v>
      </c>
      <c r="K1059" s="5">
        <v>41</v>
      </c>
      <c r="L1059" s="5">
        <v>20</v>
      </c>
      <c r="M1059" s="3" t="s">
        <v>68</v>
      </c>
      <c r="N1059" t="s">
        <v>24</v>
      </c>
      <c r="O1059" s="5">
        <v>5</v>
      </c>
      <c r="P1059" s="3" t="s">
        <v>80</v>
      </c>
      <c r="Q1059" s="2">
        <v>184.3</v>
      </c>
      <c r="R1059" s="3" t="s">
        <v>43</v>
      </c>
      <c r="S1059">
        <f>COUNTIF(A:A,A1059)</f>
        <v>1</v>
      </c>
      <c r="T1059" t="str">
        <f>IF(OR(H1059="",LOWER(TRIM(H1059&amp;""))="missing",LOWER(TRIM(H1059&amp;""))=""),"Missing/",IFERROR(IF(OR(VALUE(H1059)&lt;0,VALUE(H1059)&gt;110),"Invalid","Valid"),"Check Format"))</f>
        <v>Missing/</v>
      </c>
      <c r="U1059" t="str">
        <f>IF(Raw_Data[[#This Row],[Age_Check]]="Valid",H1059,"")</f>
        <v/>
      </c>
      <c r="V1059" t="str">
        <f>IF(OR(K1059="",UPPER(TRIM(K1059&amp;""))="",LOWER(TRIM(K1059&amp;""))="",LOWER(TRIM(K1059&amp;""))="",LOWER(TRIM(K1059&amp;""))="missing"),"Missing/",IFERROR(IF(VALUE(K1059)&lt;0,"Invalid","Valid"),"Check Format"))</f>
        <v>Valid</v>
      </c>
      <c r="W1059" t="str">
        <f>IF(OR(E1059="",F1059=""),"Missing Date/Time",IFERROR(IF(F1059&gt;E1059,"Arrival After Appointment","OK"),"Check Format"))</f>
        <v>OK</v>
      </c>
      <c r="X1059" t="str">
        <f>IF(OR(F1059="",G1059=""),"Missing Date/Time",IFERROR(IF(G1059&lt;F1059,"Discharge Before Arrival","OK"),"Check Format"))</f>
        <v>OK</v>
      </c>
    </row>
    <row r="1060" spans="1:24" x14ac:dyDescent="0.25">
      <c r="A1060" s="2" t="s">
        <v>1686</v>
      </c>
      <c r="B1060" s="2" t="s">
        <v>1687</v>
      </c>
      <c r="C1060" s="3" t="s">
        <v>46</v>
      </c>
      <c r="D1060" s="3" t="s">
        <v>149</v>
      </c>
      <c r="E1060" s="4">
        <v>45510.635416666664</v>
      </c>
      <c r="F1060" s="4">
        <v>45451.619444444441</v>
      </c>
      <c r="G1060" s="4">
        <v>45451.686805555553</v>
      </c>
      <c r="H1060" s="5">
        <v>145</v>
      </c>
      <c r="I1060" s="3" t="s">
        <v>73</v>
      </c>
      <c r="J1060" s="3" t="s">
        <v>150</v>
      </c>
      <c r="K1060" s="5">
        <v>45</v>
      </c>
      <c r="L1060" s="5">
        <v>29</v>
      </c>
      <c r="M1060" s="3" t="s">
        <v>50</v>
      </c>
      <c r="N1060" t="s">
        <v>91</v>
      </c>
      <c r="O1060" s="5">
        <v>1</v>
      </c>
      <c r="P1060" s="3" t="s">
        <v>25</v>
      </c>
      <c r="Q1060" s="2">
        <v>204.17</v>
      </c>
      <c r="R1060" s="3" t="s">
        <v>75</v>
      </c>
      <c r="S1060">
        <f>COUNTIF(A:A,A1060)</f>
        <v>1</v>
      </c>
      <c r="T1060" t="str">
        <f>IF(OR(H1060="",LOWER(TRIM(H1060&amp;""))="missing",LOWER(TRIM(H1060&amp;""))=""),"Missing/",IFERROR(IF(OR(VALUE(H1060)&lt;0,VALUE(H1060)&gt;110),"Invalid","Valid"),"Check Format"))</f>
        <v>Invalid</v>
      </c>
      <c r="U1060" t="str">
        <f>IF(Raw_Data[[#This Row],[Age_Check]]="Valid",H1060,"")</f>
        <v/>
      </c>
      <c r="V1060" t="str">
        <f>IF(OR(K1060="",UPPER(TRIM(K1060&amp;""))="",LOWER(TRIM(K1060&amp;""))="",LOWER(TRIM(K1060&amp;""))="",LOWER(TRIM(K1060&amp;""))="missing"),"Missing/",IFERROR(IF(VALUE(K1060)&lt;0,"Invalid","Valid"),"Check Format"))</f>
        <v>Valid</v>
      </c>
      <c r="W1060" t="str">
        <f>IF(OR(E1060="",F1060=""),"Missing Date/Time",IFERROR(IF(F1060&gt;E1060,"Arrival After Appointment","OK"),"Check Format"))</f>
        <v>OK</v>
      </c>
      <c r="X1060" t="str">
        <f>IF(OR(F1060="",G1060=""),"Missing Date/Time",IFERROR(IF(G1060&lt;F1060,"Discharge Before Arrival","OK"),"Check Format"))</f>
        <v>OK</v>
      </c>
    </row>
    <row r="1061" spans="1:24" x14ac:dyDescent="0.25">
      <c r="A1061" s="2" t="s">
        <v>1688</v>
      </c>
      <c r="B1061" s="2" t="s">
        <v>579</v>
      </c>
      <c r="C1061" s="3" t="s">
        <v>94</v>
      </c>
      <c r="D1061" s="3" t="s">
        <v>149</v>
      </c>
      <c r="E1061" s="4">
        <v>45441.409722222219</v>
      </c>
      <c r="F1061" s="4">
        <v>45441.395833333336</v>
      </c>
      <c r="G1061" s="4">
        <v>45441.447916666664</v>
      </c>
      <c r="K1061" s="5">
        <v>0</v>
      </c>
      <c r="L1061" s="5">
        <v>55</v>
      </c>
      <c r="M1061" s="3" t="s">
        <v>87</v>
      </c>
      <c r="O1061" s="5">
        <v>5</v>
      </c>
      <c r="P1061" s="3" t="s">
        <v>25</v>
      </c>
      <c r="Q1061" s="2">
        <v>150.81</v>
      </c>
      <c r="R1061" s="3" t="s">
        <v>26</v>
      </c>
      <c r="S1061">
        <f>COUNTIF(A:A,A1061)</f>
        <v>1</v>
      </c>
      <c r="T1061" t="str">
        <f>IF(OR(H1061="",LOWER(TRIM(H1061&amp;""))="missing",LOWER(TRIM(H1061&amp;""))=""),"Missing/",IFERROR(IF(OR(VALUE(H1061)&lt;0,VALUE(H1061)&gt;110),"Invalid","Valid"),"Check Format"))</f>
        <v>Missing/</v>
      </c>
      <c r="U1061" t="str">
        <f>IF(Raw_Data[[#This Row],[Age_Check]]="Valid",H1061,"")</f>
        <v/>
      </c>
      <c r="V1061" t="str">
        <f>IF(OR(K1061="",UPPER(TRIM(K1061&amp;""))="",LOWER(TRIM(K1061&amp;""))="",LOWER(TRIM(K1061&amp;""))="",LOWER(TRIM(K1061&amp;""))="missing"),"Missing/",IFERROR(IF(VALUE(K1061)&lt;0,"Invalid","Valid"),"Check Format"))</f>
        <v>Valid</v>
      </c>
      <c r="W1061" t="str">
        <f>IF(OR(E1061="",F1061=""),"Missing Date/Time",IFERROR(IF(F1061&gt;E1061,"Arrival After Appointment","OK"),"Check Format"))</f>
        <v>OK</v>
      </c>
      <c r="X1061" t="str">
        <f>IF(OR(F1061="",G1061=""),"Missing Date/Time",IFERROR(IF(G1061&lt;F1061,"Discharge Before Arrival","OK"),"Check Format"))</f>
        <v>OK</v>
      </c>
    </row>
    <row r="1062" spans="1:24" x14ac:dyDescent="0.25">
      <c r="A1062" s="2" t="s">
        <v>1689</v>
      </c>
      <c r="B1062" s="2" t="s">
        <v>517</v>
      </c>
      <c r="C1062" s="3" t="s">
        <v>29</v>
      </c>
      <c r="D1062" s="3" t="s">
        <v>20</v>
      </c>
      <c r="E1062" s="4" t="s">
        <v>1690</v>
      </c>
      <c r="F1062" s="4">
        <v>45396.677777777775</v>
      </c>
      <c r="G1062" s="4">
        <v>45396.731249999997</v>
      </c>
      <c r="I1062" s="3" t="s">
        <v>90</v>
      </c>
      <c r="J1062" s="3" t="s">
        <v>150</v>
      </c>
      <c r="K1062" s="5">
        <v>43</v>
      </c>
      <c r="L1062" s="5">
        <v>30</v>
      </c>
      <c r="M1062" s="3" t="s">
        <v>63</v>
      </c>
      <c r="N1062" t="s">
        <v>24</v>
      </c>
      <c r="O1062" s="5">
        <v>0</v>
      </c>
      <c r="P1062" s="3" t="s">
        <v>25</v>
      </c>
      <c r="Q1062" s="2">
        <v>141.99</v>
      </c>
      <c r="R1062" s="3" t="s">
        <v>43</v>
      </c>
      <c r="S1062">
        <f>COUNTIF(A:A,A1062)</f>
        <v>1</v>
      </c>
      <c r="T1062" t="str">
        <f>IF(OR(H1062="",LOWER(TRIM(H1062&amp;""))="missing",LOWER(TRIM(H1062&amp;""))=""),"Missing/",IFERROR(IF(OR(VALUE(H1062)&lt;0,VALUE(H1062)&gt;110),"Invalid","Valid"),"Check Format"))</f>
        <v>Missing/</v>
      </c>
      <c r="U1062" t="str">
        <f>IF(Raw_Data[[#This Row],[Age_Check]]="Valid",H1062,"")</f>
        <v/>
      </c>
      <c r="V1062" t="str">
        <f>IF(OR(K1062="",UPPER(TRIM(K1062&amp;""))="",LOWER(TRIM(K1062&amp;""))="",LOWER(TRIM(K1062&amp;""))="",LOWER(TRIM(K1062&amp;""))="missing"),"Missing/",IFERROR(IF(VALUE(K1062)&lt;0,"Invalid","Valid"),"Check Format"))</f>
        <v>Valid</v>
      </c>
      <c r="W1062" t="str">
        <f>IF(OR(E1062="",F1062=""),"Missing Date/Time",IFERROR(IF(F1062&gt;E1062,"Arrival After Appointment","OK"),"Check Format"))</f>
        <v>OK</v>
      </c>
      <c r="X1062" t="str">
        <f>IF(OR(F1062="",G1062=""),"Missing Date/Time",IFERROR(IF(G1062&lt;F1062,"Discharge Before Arrival","OK"),"Check Format"))</f>
        <v>OK</v>
      </c>
    </row>
    <row r="1063" spans="1:24" x14ac:dyDescent="0.25">
      <c r="A1063" s="2" t="s">
        <v>1691</v>
      </c>
      <c r="B1063" s="2" t="s">
        <v>154</v>
      </c>
      <c r="C1063" s="3" t="s">
        <v>29</v>
      </c>
      <c r="D1063" s="3" t="s">
        <v>23</v>
      </c>
      <c r="E1063" s="4">
        <v>45982.65625</v>
      </c>
      <c r="F1063" s="4">
        <v>45982.636111111111</v>
      </c>
      <c r="G1063" s="4">
        <v>45982.696527777778</v>
      </c>
      <c r="I1063" s="3" t="s">
        <v>73</v>
      </c>
      <c r="J1063" s="3" t="s">
        <v>2639</v>
      </c>
      <c r="K1063" s="5">
        <v>0</v>
      </c>
      <c r="L1063" s="5">
        <v>58</v>
      </c>
      <c r="M1063" s="3" t="s">
        <v>32</v>
      </c>
      <c r="P1063" s="3" t="s">
        <v>80</v>
      </c>
      <c r="Q1063" s="2">
        <v>148.31</v>
      </c>
      <c r="R1063" s="3" t="s">
        <v>26</v>
      </c>
      <c r="S1063">
        <f>COUNTIF(A:A,A1063)</f>
        <v>1</v>
      </c>
      <c r="T1063" t="str">
        <f>IF(OR(H1063="",LOWER(TRIM(H1063&amp;""))="missing",LOWER(TRIM(H1063&amp;""))=""),"Missing/",IFERROR(IF(OR(VALUE(H1063)&lt;0,VALUE(H1063)&gt;110),"Invalid","Valid"),"Check Format"))</f>
        <v>Missing/</v>
      </c>
      <c r="U1063" t="str">
        <f>IF(Raw_Data[[#This Row],[Age_Check]]="Valid",H1063,"")</f>
        <v/>
      </c>
      <c r="V1063" t="str">
        <f>IF(OR(K1063="",UPPER(TRIM(K1063&amp;""))="",LOWER(TRIM(K1063&amp;""))="",LOWER(TRIM(K1063&amp;""))="",LOWER(TRIM(K1063&amp;""))="missing"),"Missing/",IFERROR(IF(VALUE(K1063)&lt;0,"Invalid","Valid"),"Check Format"))</f>
        <v>Valid</v>
      </c>
      <c r="W1063" t="str">
        <f>IF(OR(E1063="",F1063=""),"Missing Date/Time",IFERROR(IF(F1063&gt;E1063,"Arrival After Appointment","OK"),"Check Format"))</f>
        <v>OK</v>
      </c>
      <c r="X1063" t="str">
        <f>IF(OR(F1063="",G1063=""),"Missing Date/Time",IFERROR(IF(G1063&lt;F1063,"Discharge Before Arrival","OK"),"Check Format"))</f>
        <v>OK</v>
      </c>
    </row>
    <row r="1064" spans="1:24" x14ac:dyDescent="0.25">
      <c r="A1064" s="2" t="s">
        <v>1692</v>
      </c>
      <c r="B1064" s="2" t="s">
        <v>749</v>
      </c>
      <c r="C1064" s="3" t="s">
        <v>29</v>
      </c>
      <c r="D1064" s="3" t="s">
        <v>30</v>
      </c>
      <c r="E1064" s="4">
        <v>45331.770833333336</v>
      </c>
      <c r="F1064" s="4">
        <v>45537.753472222219</v>
      </c>
      <c r="G1064" s="4">
        <v>45537.855555555558</v>
      </c>
      <c r="I1064" s="3" t="s">
        <v>95</v>
      </c>
      <c r="J1064" s="3" t="s">
        <v>67</v>
      </c>
      <c r="K1064" s="5">
        <v>73</v>
      </c>
      <c r="L1064" s="5">
        <v>49</v>
      </c>
      <c r="M1064" s="3" t="s">
        <v>63</v>
      </c>
      <c r="N1064" t="s">
        <v>69</v>
      </c>
      <c r="O1064" s="5">
        <v>0</v>
      </c>
      <c r="P1064" s="3" t="s">
        <v>25</v>
      </c>
      <c r="Q1064" s="2">
        <v>63.31</v>
      </c>
      <c r="R1064" s="3" t="s">
        <v>26</v>
      </c>
      <c r="S1064">
        <f>COUNTIF(A:A,A1064)</f>
        <v>1</v>
      </c>
      <c r="T1064" t="str">
        <f>IF(OR(H1064="",LOWER(TRIM(H1064&amp;""))="missing",LOWER(TRIM(H1064&amp;""))=""),"Missing/",IFERROR(IF(OR(VALUE(H1064)&lt;0,VALUE(H1064)&gt;110),"Invalid","Valid"),"Check Format"))</f>
        <v>Missing/</v>
      </c>
      <c r="U1064" t="str">
        <f>IF(Raw_Data[[#This Row],[Age_Check]]="Valid",H1064,"")</f>
        <v/>
      </c>
      <c r="V1064" t="str">
        <f>IF(OR(K1064="",UPPER(TRIM(K1064&amp;""))="",LOWER(TRIM(K1064&amp;""))="",LOWER(TRIM(K1064&amp;""))="",LOWER(TRIM(K1064&amp;""))="missing"),"Missing/",IFERROR(IF(VALUE(K1064)&lt;0,"Invalid","Valid"),"Check Format"))</f>
        <v>Valid</v>
      </c>
      <c r="W1064" t="str">
        <f>IF(OR(E1064="",F1064=""),"Missing Date/Time",IFERROR(IF(F1064&gt;E1064,"Arrival After Appointment","OK"),"Check Format"))</f>
        <v>Arrival After Appointment</v>
      </c>
      <c r="X1064" t="str">
        <f>IF(OR(F1064="",G1064=""),"Missing Date/Time",IFERROR(IF(G1064&lt;F1064,"Discharge Before Arrival","OK"),"Check Format"))</f>
        <v>OK</v>
      </c>
    </row>
    <row r="1065" spans="1:24" x14ac:dyDescent="0.25">
      <c r="A1065" s="2" t="s">
        <v>1693</v>
      </c>
      <c r="B1065" s="2" t="s">
        <v>1694</v>
      </c>
      <c r="C1065" s="3" t="s">
        <v>46</v>
      </c>
      <c r="D1065" s="3" t="s">
        <v>72</v>
      </c>
      <c r="E1065" s="4">
        <v>45448.65625</v>
      </c>
      <c r="F1065" s="4">
        <v>45448.647222222222</v>
      </c>
      <c r="G1065" s="4">
        <v>45448.726388888892</v>
      </c>
      <c r="I1065" s="3" t="s">
        <v>39</v>
      </c>
      <c r="K1065" s="5">
        <v>74</v>
      </c>
      <c r="L1065" s="5">
        <v>27</v>
      </c>
      <c r="M1065" s="3" t="s">
        <v>32</v>
      </c>
      <c r="N1065" t="s">
        <v>74</v>
      </c>
      <c r="P1065" s="3" t="s">
        <v>80</v>
      </c>
      <c r="Q1065" s="2">
        <v>212.74</v>
      </c>
      <c r="R1065" s="3" t="s">
        <v>58</v>
      </c>
      <c r="S1065">
        <f>COUNTIF(A:A,A1065)</f>
        <v>1</v>
      </c>
      <c r="T1065" t="str">
        <f>IF(OR(H1065="",LOWER(TRIM(H1065&amp;""))="missing",LOWER(TRIM(H1065&amp;""))=""),"Missing/",IFERROR(IF(OR(VALUE(H1065)&lt;0,VALUE(H1065)&gt;110),"Invalid","Valid"),"Check Format"))</f>
        <v>Missing/</v>
      </c>
      <c r="U1065" t="str">
        <f>IF(Raw_Data[[#This Row],[Age_Check]]="Valid",H1065,"")</f>
        <v/>
      </c>
      <c r="V1065" t="str">
        <f>IF(OR(K1065="",UPPER(TRIM(K1065&amp;""))="",LOWER(TRIM(K1065&amp;""))="",LOWER(TRIM(K1065&amp;""))="",LOWER(TRIM(K1065&amp;""))="missing"),"Missing/",IFERROR(IF(VALUE(K1065)&lt;0,"Invalid","Valid"),"Check Format"))</f>
        <v>Valid</v>
      </c>
      <c r="W1065" t="str">
        <f>IF(OR(E1065="",F1065=""),"Missing Date/Time",IFERROR(IF(F1065&gt;E1065,"Arrival After Appointment","OK"),"Check Format"))</f>
        <v>OK</v>
      </c>
      <c r="X1065" t="str">
        <f>IF(OR(F1065="",G1065=""),"Missing Date/Time",IFERROR(IF(G1065&lt;F1065,"Discharge Before Arrival","OK"),"Check Format"))</f>
        <v>OK</v>
      </c>
    </row>
    <row r="1066" spans="1:24" x14ac:dyDescent="0.25">
      <c r="A1066" s="2" t="s">
        <v>1695</v>
      </c>
      <c r="B1066" s="2" t="s">
        <v>1046</v>
      </c>
      <c r="C1066" s="3" t="s">
        <v>46</v>
      </c>
      <c r="D1066" s="3" t="s">
        <v>55</v>
      </c>
      <c r="F1066" s="4">
        <v>45598.69027777778</v>
      </c>
      <c r="G1066" s="4">
        <v>45598.715277777781</v>
      </c>
      <c r="H1066" s="5">
        <v>145</v>
      </c>
      <c r="I1066" s="3" t="s">
        <v>95</v>
      </c>
      <c r="J1066" s="3" t="s">
        <v>67</v>
      </c>
      <c r="K1066" s="5">
        <v>0</v>
      </c>
      <c r="L1066" s="5">
        <v>30</v>
      </c>
      <c r="N1066" t="s">
        <v>103</v>
      </c>
      <c r="O1066" s="5">
        <v>0</v>
      </c>
      <c r="Q1066" s="2">
        <v>96.77</v>
      </c>
      <c r="R1066" s="3" t="s">
        <v>43</v>
      </c>
      <c r="S1066">
        <f>COUNTIF(A:A,A1066)</f>
        <v>1</v>
      </c>
      <c r="T1066" t="str">
        <f>IF(OR(H1066="",LOWER(TRIM(H1066&amp;""))="missing",LOWER(TRIM(H1066&amp;""))=""),"Missing/",IFERROR(IF(OR(VALUE(H1066)&lt;0,VALUE(H1066)&gt;110),"Invalid","Valid"),"Check Format"))</f>
        <v>Invalid</v>
      </c>
      <c r="U1066" t="str">
        <f>IF(Raw_Data[[#This Row],[Age_Check]]="Valid",H1066,"")</f>
        <v/>
      </c>
      <c r="V1066" t="str">
        <f>IF(OR(K1066="",UPPER(TRIM(K1066&amp;""))="",LOWER(TRIM(K1066&amp;""))="",LOWER(TRIM(K1066&amp;""))="",LOWER(TRIM(K1066&amp;""))="missing"),"Missing/",IFERROR(IF(VALUE(K1066)&lt;0,"Invalid","Valid"),"Check Format"))</f>
        <v>Valid</v>
      </c>
      <c r="W1066" t="str">
        <f>IF(OR(E1066="",F1066=""),"Missing Date/Time",IFERROR(IF(F1066&gt;E1066,"Arrival After Appointment","OK"),"Check Format"))</f>
        <v>Missing Date/Time</v>
      </c>
      <c r="X1066" t="str">
        <f>IF(OR(F1066="",G1066=""),"Missing Date/Time",IFERROR(IF(G1066&lt;F1066,"Discharge Before Arrival","OK"),"Check Format"))</f>
        <v>OK</v>
      </c>
    </row>
    <row r="1067" spans="1:24" x14ac:dyDescent="0.25">
      <c r="A1067" s="2" t="s">
        <v>1696</v>
      </c>
      <c r="B1067" s="2" t="s">
        <v>165</v>
      </c>
      <c r="C1067" s="3" t="s">
        <v>37</v>
      </c>
      <c r="D1067" s="3" t="s">
        <v>99</v>
      </c>
      <c r="E1067" s="4">
        <v>45580.715277777781</v>
      </c>
      <c r="F1067" s="4">
        <v>45580.715277777781</v>
      </c>
      <c r="G1067" s="4">
        <v>45580.793749999997</v>
      </c>
      <c r="I1067" s="3" t="s">
        <v>95</v>
      </c>
      <c r="J1067" s="3" t="s">
        <v>2639</v>
      </c>
      <c r="K1067" s="5">
        <v>73</v>
      </c>
      <c r="L1067" s="5">
        <v>40</v>
      </c>
      <c r="M1067" s="3" t="s">
        <v>63</v>
      </c>
      <c r="N1067" t="s">
        <v>100</v>
      </c>
      <c r="O1067" s="5">
        <v>3</v>
      </c>
      <c r="Q1067" s="2">
        <v>88.39</v>
      </c>
      <c r="R1067" s="3" t="s">
        <v>58</v>
      </c>
      <c r="S1067">
        <f>COUNTIF(A:A,A1067)</f>
        <v>1</v>
      </c>
      <c r="T1067" t="str">
        <f>IF(OR(H1067="",LOWER(TRIM(H1067&amp;""))="missing",LOWER(TRIM(H1067&amp;""))=""),"Missing/",IFERROR(IF(OR(VALUE(H1067)&lt;0,VALUE(H1067)&gt;110),"Invalid","Valid"),"Check Format"))</f>
        <v>Missing/</v>
      </c>
      <c r="U1067" t="str">
        <f>IF(Raw_Data[[#This Row],[Age_Check]]="Valid",H1067,"")</f>
        <v/>
      </c>
      <c r="V1067" t="str">
        <f>IF(OR(K1067="",UPPER(TRIM(K1067&amp;""))="",LOWER(TRIM(K1067&amp;""))="",LOWER(TRIM(K1067&amp;""))="",LOWER(TRIM(K1067&amp;""))="missing"),"Missing/",IFERROR(IF(VALUE(K1067)&lt;0,"Invalid","Valid"),"Check Format"))</f>
        <v>Valid</v>
      </c>
      <c r="W1067" t="str">
        <f>IF(OR(E1067="",F1067=""),"Missing Date/Time",IFERROR(IF(F1067&gt;E1067,"Arrival After Appointment","OK"),"Check Format"))</f>
        <v>OK</v>
      </c>
      <c r="X1067" t="str">
        <f>IF(OR(F1067="",G1067=""),"Missing Date/Time",IFERROR(IF(G1067&lt;F1067,"Discharge Before Arrival","OK"),"Check Format"))</f>
        <v>OK</v>
      </c>
    </row>
    <row r="1068" spans="1:24" x14ac:dyDescent="0.25">
      <c r="A1068" s="2" t="s">
        <v>1697</v>
      </c>
      <c r="B1068" s="2" t="s">
        <v>733</v>
      </c>
      <c r="C1068" s="3" t="s">
        <v>94</v>
      </c>
      <c r="D1068" s="3" t="s">
        <v>106</v>
      </c>
      <c r="E1068" s="4">
        <v>45890.3125</v>
      </c>
      <c r="G1068" s="4">
        <v>45890.356249999997</v>
      </c>
      <c r="H1068" s="5">
        <v>47</v>
      </c>
      <c r="I1068" s="3" t="s">
        <v>73</v>
      </c>
      <c r="J1068" s="3" t="s">
        <v>171</v>
      </c>
      <c r="K1068" s="5">
        <v>33</v>
      </c>
      <c r="L1068" s="5">
        <v>30</v>
      </c>
      <c r="M1068" s="3" t="s">
        <v>50</v>
      </c>
      <c r="N1068" t="s">
        <v>24</v>
      </c>
      <c r="P1068" s="3" t="s">
        <v>42</v>
      </c>
      <c r="Q1068" s="2">
        <v>73.27</v>
      </c>
      <c r="R1068" s="3" t="s">
        <v>75</v>
      </c>
      <c r="S1068">
        <f>COUNTIF(A:A,A1068)</f>
        <v>1</v>
      </c>
      <c r="T1068" t="str">
        <f>IF(OR(H1068="",LOWER(TRIM(H1068&amp;""))="missing",LOWER(TRIM(H1068&amp;""))=""),"Missing/",IFERROR(IF(OR(VALUE(H1068)&lt;0,VALUE(H1068)&gt;110),"Invalid","Valid"),"Check Format"))</f>
        <v>Valid</v>
      </c>
      <c r="U1068">
        <f>IF(Raw_Data[[#This Row],[Age_Check]]="Valid",H1068,"")</f>
        <v>47</v>
      </c>
      <c r="V1068" t="str">
        <f>IF(OR(K1068="",UPPER(TRIM(K1068&amp;""))="",LOWER(TRIM(K1068&amp;""))="",LOWER(TRIM(K1068&amp;""))="",LOWER(TRIM(K1068&amp;""))="missing"),"Missing/",IFERROR(IF(VALUE(K1068)&lt;0,"Invalid","Valid"),"Check Format"))</f>
        <v>Valid</v>
      </c>
      <c r="W1068" t="str">
        <f>IF(OR(E1068="",F1068=""),"Missing Date/Time",IFERROR(IF(F1068&gt;E1068,"Arrival After Appointment","OK"),"Check Format"))</f>
        <v>Missing Date/Time</v>
      </c>
      <c r="X1068" t="str">
        <f>IF(OR(F1068="",G1068=""),"Missing Date/Time",IFERROR(IF(G1068&lt;F1068,"Discharge Before Arrival","OK"),"Check Format"))</f>
        <v>Missing Date/Time</v>
      </c>
    </row>
    <row r="1069" spans="1:24" x14ac:dyDescent="0.25">
      <c r="A1069" s="2" t="s">
        <v>1698</v>
      </c>
      <c r="B1069" s="2" t="s">
        <v>807</v>
      </c>
      <c r="C1069" s="3" t="s">
        <v>46</v>
      </c>
      <c r="D1069" s="3" t="s">
        <v>72</v>
      </c>
      <c r="E1069" s="4">
        <v>45947.631944444445</v>
      </c>
      <c r="F1069" s="4">
        <v>45947.629166666666</v>
      </c>
      <c r="G1069" s="4">
        <v>45947.709722222222</v>
      </c>
      <c r="K1069" s="5">
        <v>87</v>
      </c>
      <c r="L1069" s="5">
        <v>25</v>
      </c>
      <c r="M1069" s="3" t="s">
        <v>23</v>
      </c>
      <c r="N1069" t="s">
        <v>24</v>
      </c>
      <c r="O1069" s="5">
        <v>0</v>
      </c>
      <c r="P1069" s="3" t="s">
        <v>25</v>
      </c>
      <c r="Q1069" s="2">
        <v>0</v>
      </c>
      <c r="R1069" s="3" t="s">
        <v>26</v>
      </c>
      <c r="S1069">
        <f>COUNTIF(A:A,A1069)</f>
        <v>1</v>
      </c>
      <c r="T1069" t="str">
        <f>IF(OR(H1069="",LOWER(TRIM(H1069&amp;""))="missing",LOWER(TRIM(H1069&amp;""))=""),"Missing/",IFERROR(IF(OR(VALUE(H1069)&lt;0,VALUE(H1069)&gt;110),"Invalid","Valid"),"Check Format"))</f>
        <v>Missing/</v>
      </c>
      <c r="U1069" t="str">
        <f>IF(Raw_Data[[#This Row],[Age_Check]]="Valid",H1069,"")</f>
        <v/>
      </c>
      <c r="V1069" t="str">
        <f>IF(OR(K1069="",UPPER(TRIM(K1069&amp;""))="",LOWER(TRIM(K1069&amp;""))="",LOWER(TRIM(K1069&amp;""))="",LOWER(TRIM(K1069&amp;""))="missing"),"Missing/",IFERROR(IF(VALUE(K1069)&lt;0,"Invalid","Valid"),"Check Format"))</f>
        <v>Valid</v>
      </c>
      <c r="W1069" t="str">
        <f>IF(OR(E1069="",F1069=""),"Missing Date/Time",IFERROR(IF(F1069&gt;E1069,"Arrival After Appointment","OK"),"Check Format"))</f>
        <v>OK</v>
      </c>
      <c r="X1069" t="str">
        <f>IF(OR(F1069="",G1069=""),"Missing Date/Time",IFERROR(IF(G1069&lt;F1069,"Discharge Before Arrival","OK"),"Check Format"))</f>
        <v>OK</v>
      </c>
    </row>
    <row r="1070" spans="1:24" x14ac:dyDescent="0.25">
      <c r="A1070" s="2" t="s">
        <v>1699</v>
      </c>
      <c r="B1070" s="2" t="s">
        <v>1010</v>
      </c>
      <c r="C1070" s="3" t="s">
        <v>37</v>
      </c>
      <c r="D1070" s="3" t="s">
        <v>209</v>
      </c>
      <c r="E1070" s="4">
        <v>45709.611111111109</v>
      </c>
      <c r="F1070" s="4">
        <v>45709.591666666667</v>
      </c>
      <c r="G1070" s="4">
        <v>45709.650694444441</v>
      </c>
      <c r="I1070" s="3" t="s">
        <v>95</v>
      </c>
      <c r="J1070" s="3" t="s">
        <v>171</v>
      </c>
      <c r="K1070" s="5">
        <v>44</v>
      </c>
      <c r="L1070" s="5">
        <v>13</v>
      </c>
      <c r="N1070" t="s">
        <v>24</v>
      </c>
      <c r="O1070" s="5">
        <v>2</v>
      </c>
      <c r="P1070" s="3" t="s">
        <v>80</v>
      </c>
      <c r="Q1070" s="2">
        <v>14.5</v>
      </c>
      <c r="R1070" s="3" t="s">
        <v>43</v>
      </c>
      <c r="S1070">
        <f>COUNTIF(A:A,A1070)</f>
        <v>1</v>
      </c>
      <c r="T1070" t="str">
        <f>IF(OR(H1070="",LOWER(TRIM(H1070&amp;""))="missing",LOWER(TRIM(H1070&amp;""))=""),"Missing/",IFERROR(IF(OR(VALUE(H1070)&lt;0,VALUE(H1070)&gt;110),"Invalid","Valid"),"Check Format"))</f>
        <v>Missing/</v>
      </c>
      <c r="U1070" t="str">
        <f>IF(Raw_Data[[#This Row],[Age_Check]]="Valid",H1070,"")</f>
        <v/>
      </c>
      <c r="V1070" t="str">
        <f>IF(OR(K1070="",UPPER(TRIM(K1070&amp;""))="",LOWER(TRIM(K1070&amp;""))="",LOWER(TRIM(K1070&amp;""))="",LOWER(TRIM(K1070&amp;""))="missing"),"Missing/",IFERROR(IF(VALUE(K1070)&lt;0,"Invalid","Valid"),"Check Format"))</f>
        <v>Valid</v>
      </c>
      <c r="W1070" t="str">
        <f>IF(OR(E1070="",F1070=""),"Missing Date/Time",IFERROR(IF(F1070&gt;E1070,"Arrival After Appointment","OK"),"Check Format"))</f>
        <v>OK</v>
      </c>
      <c r="X1070" t="str">
        <f>IF(OR(F1070="",G1070=""),"Missing Date/Time",IFERROR(IF(G1070&lt;F1070,"Discharge Before Arrival","OK"),"Check Format"))</f>
        <v>OK</v>
      </c>
    </row>
    <row r="1071" spans="1:24" x14ac:dyDescent="0.25">
      <c r="A1071" s="2" t="s">
        <v>1700</v>
      </c>
      <c r="B1071" s="2" t="s">
        <v>364</v>
      </c>
      <c r="C1071" s="3" t="s">
        <v>46</v>
      </c>
      <c r="D1071" s="3" t="s">
        <v>23</v>
      </c>
      <c r="E1071" s="4">
        <v>45658.298611111109</v>
      </c>
      <c r="F1071" s="4">
        <v>45658.293749999997</v>
      </c>
      <c r="G1071" s="4">
        <v>45658.331250000003</v>
      </c>
      <c r="H1071" s="5">
        <v>145</v>
      </c>
      <c r="I1071" s="3" t="s">
        <v>73</v>
      </c>
      <c r="J1071" s="3" t="s">
        <v>171</v>
      </c>
      <c r="K1071" s="5">
        <v>14</v>
      </c>
      <c r="L1071" s="5">
        <v>33</v>
      </c>
      <c r="M1071" s="3" t="s">
        <v>32</v>
      </c>
      <c r="O1071" s="5">
        <v>6</v>
      </c>
      <c r="P1071" s="3" t="s">
        <v>25</v>
      </c>
      <c r="R1071" s="3" t="s">
        <v>58</v>
      </c>
      <c r="S1071">
        <f>COUNTIF(A:A,A1071)</f>
        <v>1</v>
      </c>
      <c r="T1071" t="str">
        <f>IF(OR(H1071="",LOWER(TRIM(H1071&amp;""))="missing",LOWER(TRIM(H1071&amp;""))=""),"Missing/",IFERROR(IF(OR(VALUE(H1071)&lt;0,VALUE(H1071)&gt;110),"Invalid","Valid"),"Check Format"))</f>
        <v>Invalid</v>
      </c>
      <c r="U1071" t="str">
        <f>IF(Raw_Data[[#This Row],[Age_Check]]="Valid",H1071,"")</f>
        <v/>
      </c>
      <c r="V1071" t="str">
        <f>IF(OR(K1071="",UPPER(TRIM(K1071&amp;""))="",LOWER(TRIM(K1071&amp;""))="",LOWER(TRIM(K1071&amp;""))="",LOWER(TRIM(K1071&amp;""))="missing"),"Missing/",IFERROR(IF(VALUE(K1071)&lt;0,"Invalid","Valid"),"Check Format"))</f>
        <v>Valid</v>
      </c>
      <c r="W1071" t="str">
        <f>IF(OR(E1071="",F1071=""),"Missing Date/Time",IFERROR(IF(F1071&gt;E1071,"Arrival After Appointment","OK"),"Check Format"))</f>
        <v>OK</v>
      </c>
      <c r="X1071" t="str">
        <f>IF(OR(F1071="",G1071=""),"Missing Date/Time",IFERROR(IF(G1071&lt;F1071,"Discharge Before Arrival","OK"),"Check Format"))</f>
        <v>OK</v>
      </c>
    </row>
    <row r="1072" spans="1:24" x14ac:dyDescent="0.25">
      <c r="A1072" s="2" t="s">
        <v>1701</v>
      </c>
      <c r="B1072" s="2" t="s">
        <v>156</v>
      </c>
      <c r="C1072" s="3" t="s">
        <v>46</v>
      </c>
      <c r="D1072" s="3" t="s">
        <v>106</v>
      </c>
      <c r="E1072" s="4">
        <v>45600.548611111109</v>
      </c>
      <c r="F1072" s="4">
        <v>45393.547222222223</v>
      </c>
      <c r="G1072" s="4">
        <v>45393.646527777775</v>
      </c>
      <c r="H1072" s="5">
        <v>145</v>
      </c>
      <c r="I1072" s="3" t="s">
        <v>90</v>
      </c>
      <c r="J1072" s="3" t="s">
        <v>171</v>
      </c>
      <c r="K1072" s="5">
        <v>104</v>
      </c>
      <c r="L1072" s="5">
        <v>37</v>
      </c>
      <c r="M1072" s="3" t="s">
        <v>87</v>
      </c>
      <c r="N1072" t="s">
        <v>24</v>
      </c>
      <c r="O1072" s="5">
        <v>5</v>
      </c>
      <c r="P1072" s="3" t="s">
        <v>80</v>
      </c>
      <c r="R1072" s="3" t="s">
        <v>75</v>
      </c>
      <c r="S1072">
        <f>COUNTIF(A:A,A1072)</f>
        <v>1</v>
      </c>
      <c r="T1072" t="str">
        <f>IF(OR(H1072="",LOWER(TRIM(H1072&amp;""))="missing",LOWER(TRIM(H1072&amp;""))=""),"Missing/",IFERROR(IF(OR(VALUE(H1072)&lt;0,VALUE(H1072)&gt;110),"Invalid","Valid"),"Check Format"))</f>
        <v>Invalid</v>
      </c>
      <c r="U1072" t="str">
        <f>IF(Raw_Data[[#This Row],[Age_Check]]="Valid",H1072,"")</f>
        <v/>
      </c>
      <c r="V1072" t="str">
        <f>IF(OR(K1072="",UPPER(TRIM(K1072&amp;""))="",LOWER(TRIM(K1072&amp;""))="",LOWER(TRIM(K1072&amp;""))="",LOWER(TRIM(K1072&amp;""))="missing"),"Missing/",IFERROR(IF(VALUE(K1072)&lt;0,"Invalid","Valid"),"Check Format"))</f>
        <v>Valid</v>
      </c>
      <c r="W1072" t="str">
        <f>IF(OR(E1072="",F1072=""),"Missing Date/Time",IFERROR(IF(F1072&gt;E1072,"Arrival After Appointment","OK"),"Check Format"))</f>
        <v>OK</v>
      </c>
      <c r="X1072" t="str">
        <f>IF(OR(F1072="",G1072=""),"Missing Date/Time",IFERROR(IF(G1072&lt;F1072,"Discharge Before Arrival","OK"),"Check Format"))</f>
        <v>OK</v>
      </c>
    </row>
    <row r="1073" spans="1:24" x14ac:dyDescent="0.25">
      <c r="A1073" s="2" t="s">
        <v>1702</v>
      </c>
      <c r="B1073" s="2" t="s">
        <v>1359</v>
      </c>
      <c r="C1073" s="3" t="s">
        <v>94</v>
      </c>
      <c r="D1073" s="3" t="s">
        <v>174</v>
      </c>
      <c r="E1073" s="4">
        <v>45531.354166666664</v>
      </c>
      <c r="F1073" s="4">
        <v>45531.338194444441</v>
      </c>
      <c r="G1073" s="4">
        <v>45531.406944444447</v>
      </c>
      <c r="H1073" s="5">
        <v>31</v>
      </c>
      <c r="I1073" s="3" t="s">
        <v>73</v>
      </c>
      <c r="J1073" s="3" t="s">
        <v>62</v>
      </c>
      <c r="K1073" s="5">
        <v>36</v>
      </c>
      <c r="L1073" s="5">
        <v>40</v>
      </c>
      <c r="M1073" s="3" t="s">
        <v>63</v>
      </c>
      <c r="N1073" t="s">
        <v>91</v>
      </c>
      <c r="P1073" s="3" t="s">
        <v>25</v>
      </c>
      <c r="Q1073" s="2">
        <v>108.27</v>
      </c>
      <c r="R1073" s="3" t="s">
        <v>58</v>
      </c>
      <c r="S1073">
        <f>COUNTIF(A:A,A1073)</f>
        <v>1</v>
      </c>
      <c r="T1073" t="str">
        <f>IF(OR(H1073="",LOWER(TRIM(H1073&amp;""))="missing",LOWER(TRIM(H1073&amp;""))=""),"Missing/",IFERROR(IF(OR(VALUE(H1073)&lt;0,VALUE(H1073)&gt;110),"Invalid","Valid"),"Check Format"))</f>
        <v>Valid</v>
      </c>
      <c r="U1073">
        <f>IF(Raw_Data[[#This Row],[Age_Check]]="Valid",H1073,"")</f>
        <v>31</v>
      </c>
      <c r="V1073" t="str">
        <f>IF(OR(K1073="",UPPER(TRIM(K1073&amp;""))="",LOWER(TRIM(K1073&amp;""))="",LOWER(TRIM(K1073&amp;""))="",LOWER(TRIM(K1073&amp;""))="missing"),"Missing/",IFERROR(IF(VALUE(K1073)&lt;0,"Invalid","Valid"),"Check Format"))</f>
        <v>Valid</v>
      </c>
      <c r="W1073" t="str">
        <f>IF(OR(E1073="",F1073=""),"Missing Date/Time",IFERROR(IF(F1073&gt;E1073,"Arrival After Appointment","OK"),"Check Format"))</f>
        <v>OK</v>
      </c>
      <c r="X1073" t="str">
        <f>IF(OR(F1073="",G1073=""),"Missing Date/Time",IFERROR(IF(G1073&lt;F1073,"Discharge Before Arrival","OK"),"Check Format"))</f>
        <v>OK</v>
      </c>
    </row>
    <row r="1074" spans="1:24" x14ac:dyDescent="0.25">
      <c r="A1074" s="2" t="s">
        <v>1703</v>
      </c>
      <c r="B1074" s="2" t="s">
        <v>542</v>
      </c>
      <c r="C1074" s="3" t="s">
        <v>94</v>
      </c>
      <c r="D1074" s="3" t="s">
        <v>55</v>
      </c>
      <c r="E1074" s="4">
        <v>45730.5</v>
      </c>
      <c r="F1074" s="4">
        <v>45730.5</v>
      </c>
      <c r="G1074" s="4">
        <v>45730.530555555553</v>
      </c>
      <c r="H1074" s="5">
        <v>20</v>
      </c>
      <c r="I1074" s="3" t="s">
        <v>39</v>
      </c>
      <c r="J1074" s="3" t="s">
        <v>150</v>
      </c>
      <c r="K1074" s="5">
        <v>33</v>
      </c>
      <c r="L1074" s="5">
        <v>11</v>
      </c>
      <c r="M1074" s="3" t="s">
        <v>32</v>
      </c>
      <c r="P1074" s="3" t="s">
        <v>25</v>
      </c>
      <c r="Q1074" s="2">
        <v>4.8499999999999996</v>
      </c>
      <c r="R1074" s="3" t="s">
        <v>26</v>
      </c>
      <c r="S1074">
        <f>COUNTIF(A:A,A1074)</f>
        <v>1</v>
      </c>
      <c r="T1074" t="str">
        <f>IF(OR(H1074="",LOWER(TRIM(H1074&amp;""))="missing",LOWER(TRIM(H1074&amp;""))=""),"Missing/",IFERROR(IF(OR(VALUE(H1074)&lt;0,VALUE(H1074)&gt;110),"Invalid","Valid"),"Check Format"))</f>
        <v>Valid</v>
      </c>
      <c r="U1074">
        <f>IF(Raw_Data[[#This Row],[Age_Check]]="Valid",H1074,"")</f>
        <v>20</v>
      </c>
      <c r="V1074" t="str">
        <f>IF(OR(K1074="",UPPER(TRIM(K1074&amp;""))="",LOWER(TRIM(K1074&amp;""))="",LOWER(TRIM(K1074&amp;""))="",LOWER(TRIM(K1074&amp;""))="missing"),"Missing/",IFERROR(IF(VALUE(K1074)&lt;0,"Invalid","Valid"),"Check Format"))</f>
        <v>Valid</v>
      </c>
      <c r="W1074" t="str">
        <f>IF(OR(E1074="",F1074=""),"Missing Date/Time",IFERROR(IF(F1074&gt;E1074,"Arrival After Appointment","OK"),"Check Format"))</f>
        <v>OK</v>
      </c>
      <c r="X1074" t="str">
        <f>IF(OR(F1074="",G1074=""),"Missing Date/Time",IFERROR(IF(G1074&lt;F1074,"Discharge Before Arrival","OK"),"Check Format"))</f>
        <v>OK</v>
      </c>
    </row>
    <row r="1075" spans="1:24" x14ac:dyDescent="0.25">
      <c r="A1075" s="2" t="s">
        <v>1704</v>
      </c>
      <c r="B1075" s="2" t="s">
        <v>735</v>
      </c>
      <c r="D1075" s="3" t="s">
        <v>47</v>
      </c>
      <c r="E1075" s="4">
        <v>45408.565972222219</v>
      </c>
      <c r="F1075" s="4">
        <v>45408.561805555553</v>
      </c>
      <c r="G1075" s="4">
        <v>45408.620138888888</v>
      </c>
      <c r="H1075" s="5">
        <v>19</v>
      </c>
      <c r="I1075" s="3" t="s">
        <v>73</v>
      </c>
      <c r="K1075" s="5">
        <v>44</v>
      </c>
      <c r="L1075" s="5">
        <v>34</v>
      </c>
      <c r="M1075" s="3" t="s">
        <v>23</v>
      </c>
      <c r="O1075" s="5">
        <v>5</v>
      </c>
      <c r="P1075" s="3" t="s">
        <v>25</v>
      </c>
      <c r="Q1075" s="2">
        <v>137.27000000000001</v>
      </c>
      <c r="R1075" s="3" t="s">
        <v>58</v>
      </c>
      <c r="S1075">
        <f>COUNTIF(A:A,A1075)</f>
        <v>1</v>
      </c>
      <c r="T1075" t="str">
        <f>IF(OR(H1075="",LOWER(TRIM(H1075&amp;""))="missing",LOWER(TRIM(H1075&amp;""))=""),"Missing/",IFERROR(IF(OR(VALUE(H1075)&lt;0,VALUE(H1075)&gt;110),"Invalid","Valid"),"Check Format"))</f>
        <v>Valid</v>
      </c>
      <c r="U1075">
        <f>IF(Raw_Data[[#This Row],[Age_Check]]="Valid",H1075,"")</f>
        <v>19</v>
      </c>
      <c r="V1075" t="str">
        <f>IF(OR(K1075="",UPPER(TRIM(K1075&amp;""))="",LOWER(TRIM(K1075&amp;""))="",LOWER(TRIM(K1075&amp;""))="",LOWER(TRIM(K1075&amp;""))="missing"),"Missing/",IFERROR(IF(VALUE(K1075)&lt;0,"Invalid","Valid"),"Check Format"))</f>
        <v>Valid</v>
      </c>
      <c r="W1075" t="str">
        <f>IF(OR(E1075="",F1075=""),"Missing Date/Time",IFERROR(IF(F1075&gt;E1075,"Arrival After Appointment","OK"),"Check Format"))</f>
        <v>OK</v>
      </c>
      <c r="X1075" t="str">
        <f>IF(OR(F1075="",G1075=""),"Missing Date/Time",IFERROR(IF(G1075&lt;F1075,"Discharge Before Arrival","OK"),"Check Format"))</f>
        <v>OK</v>
      </c>
    </row>
    <row r="1076" spans="1:24" x14ac:dyDescent="0.25">
      <c r="A1076" s="2" t="s">
        <v>1705</v>
      </c>
      <c r="B1076" s="2" t="s">
        <v>1706</v>
      </c>
      <c r="C1076" s="3" t="s">
        <v>46</v>
      </c>
      <c r="D1076" s="3" t="s">
        <v>209</v>
      </c>
      <c r="E1076" s="4">
        <v>45816.520833333336</v>
      </c>
      <c r="F1076" s="4">
        <v>45816.507638888892</v>
      </c>
      <c r="G1076" s="4">
        <v>45816.560416666667</v>
      </c>
      <c r="H1076" s="5">
        <v>2</v>
      </c>
      <c r="I1076" s="3" t="s">
        <v>73</v>
      </c>
      <c r="J1076" s="3" t="s">
        <v>2639</v>
      </c>
      <c r="K1076" s="5">
        <v>43</v>
      </c>
      <c r="L1076" s="5">
        <v>14</v>
      </c>
      <c r="M1076" s="3" t="s">
        <v>32</v>
      </c>
      <c r="N1076" t="s">
        <v>91</v>
      </c>
      <c r="O1076" s="5">
        <v>6</v>
      </c>
      <c r="P1076" s="3" t="s">
        <v>25</v>
      </c>
      <c r="Q1076" s="2">
        <v>193.66</v>
      </c>
      <c r="R1076" s="3" t="s">
        <v>43</v>
      </c>
      <c r="S1076">
        <f>COUNTIF(A:A,A1076)</f>
        <v>1</v>
      </c>
      <c r="T1076" t="str">
        <f>IF(OR(H1076="",LOWER(TRIM(H1076&amp;""))="missing",LOWER(TRIM(H1076&amp;""))=""),"Missing/",IFERROR(IF(OR(VALUE(H1076)&lt;0,VALUE(H1076)&gt;110),"Invalid","Valid"),"Check Format"))</f>
        <v>Valid</v>
      </c>
      <c r="U1076">
        <f>IF(Raw_Data[[#This Row],[Age_Check]]="Valid",H1076,"")</f>
        <v>2</v>
      </c>
      <c r="V1076" t="str">
        <f>IF(OR(K1076="",UPPER(TRIM(K1076&amp;""))="",LOWER(TRIM(K1076&amp;""))="",LOWER(TRIM(K1076&amp;""))="",LOWER(TRIM(K1076&amp;""))="missing"),"Missing/",IFERROR(IF(VALUE(K1076)&lt;0,"Invalid","Valid"),"Check Format"))</f>
        <v>Valid</v>
      </c>
      <c r="W1076" t="str">
        <f>IF(OR(E1076="",F1076=""),"Missing Date/Time",IFERROR(IF(F1076&gt;E1076,"Arrival After Appointment","OK"),"Check Format"))</f>
        <v>OK</v>
      </c>
      <c r="X1076" t="str">
        <f>IF(OR(F1076="",G1076=""),"Missing Date/Time",IFERROR(IF(G1076&lt;F1076,"Discharge Before Arrival","OK"),"Check Format"))</f>
        <v>OK</v>
      </c>
    </row>
    <row r="1077" spans="1:24" x14ac:dyDescent="0.25">
      <c r="A1077" s="2" t="s">
        <v>1707</v>
      </c>
      <c r="B1077" s="2" t="s">
        <v>517</v>
      </c>
      <c r="C1077" s="3" t="s">
        <v>37</v>
      </c>
      <c r="D1077" s="3" t="s">
        <v>149</v>
      </c>
      <c r="E1077" s="4">
        <v>45438.479166666664</v>
      </c>
      <c r="F1077" s="4">
        <v>45438.46875</v>
      </c>
      <c r="G1077" s="4">
        <v>45438.518055555556</v>
      </c>
      <c r="I1077" s="3" t="s">
        <v>73</v>
      </c>
      <c r="J1077" s="3" t="s">
        <v>150</v>
      </c>
      <c r="K1077" s="5">
        <v>11</v>
      </c>
      <c r="L1077" s="5">
        <v>45</v>
      </c>
      <c r="M1077" s="3" t="s">
        <v>32</v>
      </c>
      <c r="O1077" s="5">
        <v>0</v>
      </c>
      <c r="P1077" s="3" t="s">
        <v>25</v>
      </c>
      <c r="Q1077" s="2">
        <v>64.819999999999993</v>
      </c>
      <c r="R1077" s="3" t="s">
        <v>75</v>
      </c>
      <c r="S1077">
        <f>COUNTIF(A:A,A1077)</f>
        <v>1</v>
      </c>
      <c r="T1077" t="str">
        <f>IF(OR(H1077="",LOWER(TRIM(H1077&amp;""))="missing",LOWER(TRIM(H1077&amp;""))=""),"Missing/",IFERROR(IF(OR(VALUE(H1077)&lt;0,VALUE(H1077)&gt;110),"Invalid","Valid"),"Check Format"))</f>
        <v>Missing/</v>
      </c>
      <c r="U1077" t="str">
        <f>IF(Raw_Data[[#This Row],[Age_Check]]="Valid",H1077,"")</f>
        <v/>
      </c>
      <c r="V1077" t="str">
        <f>IF(OR(K1077="",UPPER(TRIM(K1077&amp;""))="",LOWER(TRIM(K1077&amp;""))="",LOWER(TRIM(K1077&amp;""))="",LOWER(TRIM(K1077&amp;""))="missing"),"Missing/",IFERROR(IF(VALUE(K1077)&lt;0,"Invalid","Valid"),"Check Format"))</f>
        <v>Valid</v>
      </c>
      <c r="W1077" t="str">
        <f>IF(OR(E1077="",F1077=""),"Missing Date/Time",IFERROR(IF(F1077&gt;E1077,"Arrival After Appointment","OK"),"Check Format"))</f>
        <v>OK</v>
      </c>
      <c r="X1077" t="str">
        <f>IF(OR(F1077="",G1077=""),"Missing Date/Time",IFERROR(IF(G1077&lt;F1077,"Discharge Before Arrival","OK"),"Check Format"))</f>
        <v>OK</v>
      </c>
    </row>
    <row r="1078" spans="1:24" x14ac:dyDescent="0.25">
      <c r="A1078" s="2" t="s">
        <v>1708</v>
      </c>
      <c r="B1078" s="2" t="s">
        <v>515</v>
      </c>
      <c r="C1078" s="3" t="s">
        <v>94</v>
      </c>
      <c r="D1078" s="3" t="s">
        <v>106</v>
      </c>
      <c r="E1078" s="4">
        <v>45388.347222222219</v>
      </c>
      <c r="F1078" s="4">
        <v>45388.34375</v>
      </c>
      <c r="G1078" s="4">
        <v>45388.37222222222</v>
      </c>
      <c r="H1078" s="5">
        <v>28</v>
      </c>
      <c r="I1078" s="3" t="s">
        <v>95</v>
      </c>
      <c r="J1078" s="3" t="s">
        <v>67</v>
      </c>
      <c r="K1078" s="5">
        <v>31</v>
      </c>
      <c r="L1078" s="5">
        <v>5</v>
      </c>
      <c r="M1078" s="3" t="s">
        <v>32</v>
      </c>
      <c r="N1078" t="s">
        <v>69</v>
      </c>
      <c r="P1078" s="3" t="s">
        <v>80</v>
      </c>
      <c r="Q1078" s="2">
        <v>104.89</v>
      </c>
      <c r="R1078" s="3" t="s">
        <v>43</v>
      </c>
      <c r="S1078">
        <f>COUNTIF(A:A,A1078)</f>
        <v>1</v>
      </c>
      <c r="T1078" t="str">
        <f>IF(OR(H1078="",LOWER(TRIM(H1078&amp;""))="missing",LOWER(TRIM(H1078&amp;""))=""),"Missing/",IFERROR(IF(OR(VALUE(H1078)&lt;0,VALUE(H1078)&gt;110),"Invalid","Valid"),"Check Format"))</f>
        <v>Valid</v>
      </c>
      <c r="U1078">
        <f>IF(Raw_Data[[#This Row],[Age_Check]]="Valid",H1078,"")</f>
        <v>28</v>
      </c>
      <c r="V1078" t="str">
        <f>IF(OR(K1078="",UPPER(TRIM(K1078&amp;""))="",LOWER(TRIM(K1078&amp;""))="",LOWER(TRIM(K1078&amp;""))="",LOWER(TRIM(K1078&amp;""))="missing"),"Missing/",IFERROR(IF(VALUE(K1078)&lt;0,"Invalid","Valid"),"Check Format"))</f>
        <v>Valid</v>
      </c>
      <c r="W1078" t="str">
        <f>IF(OR(E1078="",F1078=""),"Missing Date/Time",IFERROR(IF(F1078&gt;E1078,"Arrival After Appointment","OK"),"Check Format"))</f>
        <v>OK</v>
      </c>
      <c r="X1078" t="str">
        <f>IF(OR(F1078="",G1078=""),"Missing Date/Time",IFERROR(IF(G1078&lt;F1078,"Discharge Before Arrival","OK"),"Check Format"))</f>
        <v>OK</v>
      </c>
    </row>
    <row r="1079" spans="1:24" x14ac:dyDescent="0.25">
      <c r="A1079" s="2" t="s">
        <v>1709</v>
      </c>
      <c r="B1079" s="2" t="s">
        <v>745</v>
      </c>
      <c r="C1079" s="3" t="s">
        <v>46</v>
      </c>
      <c r="D1079" s="3" t="s">
        <v>72</v>
      </c>
      <c r="E1079" s="4" t="s">
        <v>1710</v>
      </c>
      <c r="F1079" s="4">
        <v>45613.569444444445</v>
      </c>
      <c r="G1079" s="4">
        <v>45613.665277777778</v>
      </c>
      <c r="I1079" s="3" t="s">
        <v>39</v>
      </c>
      <c r="J1079" s="3" t="s">
        <v>62</v>
      </c>
      <c r="K1079" s="5">
        <v>92</v>
      </c>
      <c r="L1079" s="5">
        <v>41</v>
      </c>
      <c r="M1079" s="3" t="s">
        <v>23</v>
      </c>
      <c r="N1079" t="s">
        <v>74</v>
      </c>
      <c r="P1079" s="3" t="s">
        <v>80</v>
      </c>
      <c r="Q1079" s="2">
        <v>223.27</v>
      </c>
      <c r="R1079" s="3" t="s">
        <v>58</v>
      </c>
      <c r="S1079">
        <f>COUNTIF(A:A,A1079)</f>
        <v>1</v>
      </c>
      <c r="T1079" t="str">
        <f>IF(OR(H1079="",LOWER(TRIM(H1079&amp;""))="missing",LOWER(TRIM(H1079&amp;""))=""),"Missing/",IFERROR(IF(OR(VALUE(H1079)&lt;0,VALUE(H1079)&gt;110),"Invalid","Valid"),"Check Format"))</f>
        <v>Missing/</v>
      </c>
      <c r="U1079" t="str">
        <f>IF(Raw_Data[[#This Row],[Age_Check]]="Valid",H1079,"")</f>
        <v/>
      </c>
      <c r="V1079" t="str">
        <f>IF(OR(K1079="",UPPER(TRIM(K1079&amp;""))="",LOWER(TRIM(K1079&amp;""))="",LOWER(TRIM(K1079&amp;""))="",LOWER(TRIM(K1079&amp;""))="missing"),"Missing/",IFERROR(IF(VALUE(K1079)&lt;0,"Invalid","Valid"),"Check Format"))</f>
        <v>Valid</v>
      </c>
      <c r="W1079" t="str">
        <f>IF(OR(E1079="",F1079=""),"Missing Date/Time",IFERROR(IF(F1079&gt;E1079,"Arrival After Appointment","OK"),"Check Format"))</f>
        <v>OK</v>
      </c>
      <c r="X1079" t="str">
        <f>IF(OR(F1079="",G1079=""),"Missing Date/Time",IFERROR(IF(G1079&lt;F1079,"Discharge Before Arrival","OK"),"Check Format"))</f>
        <v>OK</v>
      </c>
    </row>
    <row r="1080" spans="1:24" x14ac:dyDescent="0.25">
      <c r="A1080" s="2" t="s">
        <v>1711</v>
      </c>
      <c r="B1080" s="2" t="s">
        <v>444</v>
      </c>
      <c r="C1080" s="3" t="s">
        <v>94</v>
      </c>
      <c r="D1080" s="3" t="s">
        <v>55</v>
      </c>
      <c r="E1080" s="4">
        <v>45684.642361111109</v>
      </c>
      <c r="F1080" s="4">
        <v>45684.622916666667</v>
      </c>
      <c r="G1080" s="4">
        <v>45684.703472222223</v>
      </c>
      <c r="H1080" s="5">
        <v>145</v>
      </c>
      <c r="I1080" s="3" t="s">
        <v>73</v>
      </c>
      <c r="J1080" s="3" t="s">
        <v>62</v>
      </c>
      <c r="K1080" s="5">
        <v>76</v>
      </c>
      <c r="L1080" s="5">
        <v>12</v>
      </c>
      <c r="M1080" s="3" t="s">
        <v>41</v>
      </c>
      <c r="N1080" t="s">
        <v>74</v>
      </c>
      <c r="O1080" s="5">
        <v>6</v>
      </c>
      <c r="Q1080" s="2">
        <v>118.54</v>
      </c>
      <c r="R1080" s="3" t="s">
        <v>75</v>
      </c>
      <c r="S1080">
        <f>COUNTIF(A:A,A1080)</f>
        <v>1</v>
      </c>
      <c r="T1080" t="str">
        <f>IF(OR(H1080="",LOWER(TRIM(H1080&amp;""))="missing",LOWER(TRIM(H1080&amp;""))=""),"Missing/",IFERROR(IF(OR(VALUE(H1080)&lt;0,VALUE(H1080)&gt;110),"Invalid","Valid"),"Check Format"))</f>
        <v>Invalid</v>
      </c>
      <c r="U1080" t="str">
        <f>IF(Raw_Data[[#This Row],[Age_Check]]="Valid",H1080,"")</f>
        <v/>
      </c>
      <c r="V1080" t="str">
        <f>IF(OR(K1080="",UPPER(TRIM(K1080&amp;""))="",LOWER(TRIM(K1080&amp;""))="",LOWER(TRIM(K1080&amp;""))="",LOWER(TRIM(K1080&amp;""))="missing"),"Missing/",IFERROR(IF(VALUE(K1080)&lt;0,"Invalid","Valid"),"Check Format"))</f>
        <v>Valid</v>
      </c>
      <c r="W1080" t="str">
        <f>IF(OR(E1080="",F1080=""),"Missing Date/Time",IFERROR(IF(F1080&gt;E1080,"Arrival After Appointment","OK"),"Check Format"))</f>
        <v>OK</v>
      </c>
      <c r="X1080" t="str">
        <f>IF(OR(F1080="",G1080=""),"Missing Date/Time",IFERROR(IF(G1080&lt;F1080,"Discharge Before Arrival","OK"),"Check Format"))</f>
        <v>OK</v>
      </c>
    </row>
    <row r="1081" spans="1:24" x14ac:dyDescent="0.25">
      <c r="A1081" s="2" t="s">
        <v>1712</v>
      </c>
      <c r="B1081" s="2" t="s">
        <v>1549</v>
      </c>
      <c r="C1081" s="3" t="s">
        <v>37</v>
      </c>
      <c r="D1081" s="3" t="s">
        <v>209</v>
      </c>
      <c r="E1081" s="4">
        <v>45600.576388888891</v>
      </c>
      <c r="F1081" s="4">
        <v>45600.565972222219</v>
      </c>
      <c r="G1081" s="4">
        <v>45600.635416666664</v>
      </c>
      <c r="I1081" s="3" t="s">
        <v>95</v>
      </c>
      <c r="J1081" s="3" t="s">
        <v>150</v>
      </c>
      <c r="K1081" s="5">
        <v>30</v>
      </c>
      <c r="L1081" s="5">
        <v>55</v>
      </c>
      <c r="M1081" s="3" t="s">
        <v>63</v>
      </c>
      <c r="N1081" t="s">
        <v>91</v>
      </c>
      <c r="O1081" s="5">
        <v>0</v>
      </c>
      <c r="Q1081" s="2">
        <v>49.26</v>
      </c>
      <c r="R1081" s="3" t="s">
        <v>75</v>
      </c>
      <c r="S1081">
        <f>COUNTIF(A:A,A1081)</f>
        <v>1</v>
      </c>
      <c r="T1081" t="str">
        <f>IF(OR(H1081="",LOWER(TRIM(H1081&amp;""))="missing",LOWER(TRIM(H1081&amp;""))=""),"Missing/",IFERROR(IF(OR(VALUE(H1081)&lt;0,VALUE(H1081)&gt;110),"Invalid","Valid"),"Check Format"))</f>
        <v>Missing/</v>
      </c>
      <c r="U1081" t="str">
        <f>IF(Raw_Data[[#This Row],[Age_Check]]="Valid",H1081,"")</f>
        <v/>
      </c>
      <c r="V1081" t="str">
        <f>IF(OR(K1081="",UPPER(TRIM(K1081&amp;""))="",LOWER(TRIM(K1081&amp;""))="",LOWER(TRIM(K1081&amp;""))="",LOWER(TRIM(K1081&amp;""))="missing"),"Missing/",IFERROR(IF(VALUE(K1081)&lt;0,"Invalid","Valid"),"Check Format"))</f>
        <v>Valid</v>
      </c>
      <c r="W1081" t="str">
        <f>IF(OR(E1081="",F1081=""),"Missing Date/Time",IFERROR(IF(F1081&gt;E1081,"Arrival After Appointment","OK"),"Check Format"))</f>
        <v>OK</v>
      </c>
      <c r="X1081" t="str">
        <f>IF(OR(F1081="",G1081=""),"Missing Date/Time",IFERROR(IF(G1081&lt;F1081,"Discharge Before Arrival","OK"),"Check Format"))</f>
        <v>OK</v>
      </c>
    </row>
    <row r="1082" spans="1:24" x14ac:dyDescent="0.25">
      <c r="A1082" s="2" t="s">
        <v>1713</v>
      </c>
      <c r="B1082" s="2" t="s">
        <v>312</v>
      </c>
      <c r="D1082" s="3" t="s">
        <v>20</v>
      </c>
      <c r="E1082" s="4">
        <v>45345.583333333336</v>
      </c>
      <c r="F1082" s="4">
        <v>45345.56527777778</v>
      </c>
      <c r="G1082" s="4">
        <v>45345.678472222222</v>
      </c>
      <c r="H1082" s="5">
        <v>31</v>
      </c>
      <c r="I1082" s="3" t="s">
        <v>73</v>
      </c>
      <c r="J1082" s="3" t="s">
        <v>2639</v>
      </c>
      <c r="K1082" s="5">
        <v>89</v>
      </c>
      <c r="L1082" s="5">
        <v>48</v>
      </c>
      <c r="M1082" s="3" t="s">
        <v>68</v>
      </c>
      <c r="N1082" t="s">
        <v>74</v>
      </c>
      <c r="P1082" s="3" t="s">
        <v>25</v>
      </c>
      <c r="Q1082" s="2">
        <v>291.37</v>
      </c>
      <c r="R1082" s="3" t="s">
        <v>58</v>
      </c>
      <c r="S1082">
        <f>COUNTIF(A:A,A1082)</f>
        <v>1</v>
      </c>
      <c r="T1082" t="str">
        <f>IF(OR(H1082="",LOWER(TRIM(H1082&amp;""))="missing",LOWER(TRIM(H1082&amp;""))=""),"Missing/",IFERROR(IF(OR(VALUE(H1082)&lt;0,VALUE(H1082)&gt;110),"Invalid","Valid"),"Check Format"))</f>
        <v>Valid</v>
      </c>
      <c r="U1082">
        <f>IF(Raw_Data[[#This Row],[Age_Check]]="Valid",H1082,"")</f>
        <v>31</v>
      </c>
      <c r="V1082" t="str">
        <f>IF(OR(K1082="",UPPER(TRIM(K1082&amp;""))="",LOWER(TRIM(K1082&amp;""))="",LOWER(TRIM(K1082&amp;""))="",LOWER(TRIM(K1082&amp;""))="missing"),"Missing/",IFERROR(IF(VALUE(K1082)&lt;0,"Invalid","Valid"),"Check Format"))</f>
        <v>Valid</v>
      </c>
      <c r="W1082" t="str">
        <f>IF(OR(E1082="",F1082=""),"Missing Date/Time",IFERROR(IF(F1082&gt;E1082,"Arrival After Appointment","OK"),"Check Format"))</f>
        <v>OK</v>
      </c>
      <c r="X1082" t="str">
        <f>IF(OR(F1082="",G1082=""),"Missing Date/Time",IFERROR(IF(G1082&lt;F1082,"Discharge Before Arrival","OK"),"Check Format"))</f>
        <v>OK</v>
      </c>
    </row>
    <row r="1083" spans="1:24" x14ac:dyDescent="0.25">
      <c r="A1083" s="2" t="s">
        <v>1714</v>
      </c>
      <c r="B1083" s="2" t="s">
        <v>1620</v>
      </c>
      <c r="C1083" s="3" t="s">
        <v>37</v>
      </c>
      <c r="D1083" s="3" t="s">
        <v>47</v>
      </c>
      <c r="E1083" s="4">
        <v>45696.4375</v>
      </c>
      <c r="H1083" s="5">
        <v>17</v>
      </c>
      <c r="I1083" s="3" t="s">
        <v>95</v>
      </c>
      <c r="J1083" s="3" t="s">
        <v>2639</v>
      </c>
      <c r="K1083" s="5">
        <v>43</v>
      </c>
      <c r="L1083" s="5">
        <v>44</v>
      </c>
      <c r="M1083" s="3" t="s">
        <v>63</v>
      </c>
      <c r="O1083" s="5">
        <v>0</v>
      </c>
      <c r="Q1083" s="2">
        <v>327.52999999999997</v>
      </c>
      <c r="R1083" s="3" t="s">
        <v>26</v>
      </c>
      <c r="S1083">
        <f>COUNTIF(A:A,A1083)</f>
        <v>1</v>
      </c>
      <c r="T1083" t="str">
        <f>IF(OR(H1083="",LOWER(TRIM(H1083&amp;""))="missing",LOWER(TRIM(H1083&amp;""))=""),"Missing/",IFERROR(IF(OR(VALUE(H1083)&lt;0,VALUE(H1083)&gt;110),"Invalid","Valid"),"Check Format"))</f>
        <v>Valid</v>
      </c>
      <c r="U1083">
        <f>IF(Raw_Data[[#This Row],[Age_Check]]="Valid",H1083,"")</f>
        <v>17</v>
      </c>
      <c r="V1083" t="str">
        <f>IF(OR(K1083="",UPPER(TRIM(K1083&amp;""))="",LOWER(TRIM(K1083&amp;""))="",LOWER(TRIM(K1083&amp;""))="",LOWER(TRIM(K1083&amp;""))="missing"),"Missing/",IFERROR(IF(VALUE(K1083)&lt;0,"Invalid","Valid"),"Check Format"))</f>
        <v>Valid</v>
      </c>
      <c r="W1083" t="str">
        <f>IF(OR(E1083="",F1083=""),"Missing Date/Time",IFERROR(IF(F1083&gt;E1083,"Arrival After Appointment","OK"),"Check Format"))</f>
        <v>Missing Date/Time</v>
      </c>
      <c r="X1083" t="str">
        <f>IF(OR(F1083="",G1083=""),"Missing Date/Time",IFERROR(IF(G1083&lt;F1083,"Discharge Before Arrival","OK"),"Check Format"))</f>
        <v>Missing Date/Time</v>
      </c>
    </row>
    <row r="1084" spans="1:24" x14ac:dyDescent="0.25">
      <c r="A1084" s="2" t="s">
        <v>1715</v>
      </c>
      <c r="B1084" s="2" t="s">
        <v>82</v>
      </c>
      <c r="C1084" s="3" t="s">
        <v>94</v>
      </c>
      <c r="D1084" s="3" t="s">
        <v>23</v>
      </c>
      <c r="E1084" s="4">
        <v>45754.739583333336</v>
      </c>
      <c r="F1084" s="4">
        <v>45754.723611111112</v>
      </c>
      <c r="G1084" s="4">
        <v>45754.768055555556</v>
      </c>
      <c r="I1084" s="3" t="s">
        <v>95</v>
      </c>
      <c r="J1084" s="3" t="s">
        <v>67</v>
      </c>
      <c r="K1084" s="5">
        <v>36</v>
      </c>
      <c r="L1084" s="5">
        <v>5</v>
      </c>
      <c r="M1084" s="3" t="s">
        <v>41</v>
      </c>
      <c r="N1084" t="s">
        <v>103</v>
      </c>
      <c r="O1084" s="5">
        <v>0</v>
      </c>
      <c r="P1084" s="3" t="s">
        <v>25</v>
      </c>
      <c r="Q1084" s="2">
        <v>0</v>
      </c>
      <c r="R1084" s="3" t="s">
        <v>26</v>
      </c>
      <c r="S1084">
        <f>COUNTIF(A:A,A1084)</f>
        <v>1</v>
      </c>
      <c r="T1084" t="str">
        <f>IF(OR(H1084="",LOWER(TRIM(H1084&amp;""))="missing",LOWER(TRIM(H1084&amp;""))=""),"Missing/",IFERROR(IF(OR(VALUE(H1084)&lt;0,VALUE(H1084)&gt;110),"Invalid","Valid"),"Check Format"))</f>
        <v>Missing/</v>
      </c>
      <c r="U1084" t="str">
        <f>IF(Raw_Data[[#This Row],[Age_Check]]="Valid",H1084,"")</f>
        <v/>
      </c>
      <c r="V1084" t="str">
        <f>IF(OR(K1084="",UPPER(TRIM(K1084&amp;""))="",LOWER(TRIM(K1084&amp;""))="",LOWER(TRIM(K1084&amp;""))="",LOWER(TRIM(K1084&amp;""))="missing"),"Missing/",IFERROR(IF(VALUE(K1084)&lt;0,"Invalid","Valid"),"Check Format"))</f>
        <v>Valid</v>
      </c>
      <c r="W1084" t="str">
        <f>IF(OR(E1084="",F1084=""),"Missing Date/Time",IFERROR(IF(F1084&gt;E1084,"Arrival After Appointment","OK"),"Check Format"))</f>
        <v>OK</v>
      </c>
      <c r="X1084" t="str">
        <f>IF(OR(F1084="",G1084=""),"Missing Date/Time",IFERROR(IF(G1084&lt;F1084,"Discharge Before Arrival","OK"),"Check Format"))</f>
        <v>OK</v>
      </c>
    </row>
    <row r="1085" spans="1:24" x14ac:dyDescent="0.25">
      <c r="A1085" s="2" t="s">
        <v>1716</v>
      </c>
      <c r="B1085" s="2" t="s">
        <v>125</v>
      </c>
      <c r="C1085" s="3" t="s">
        <v>37</v>
      </c>
      <c r="D1085" s="3" t="s">
        <v>61</v>
      </c>
      <c r="E1085" s="4" t="s">
        <v>1717</v>
      </c>
      <c r="F1085" s="4">
        <v>45345.325694444444</v>
      </c>
      <c r="G1085" s="4">
        <v>45345.404166666667</v>
      </c>
      <c r="H1085" s="5">
        <v>0</v>
      </c>
      <c r="I1085" s="3" t="s">
        <v>39</v>
      </c>
      <c r="J1085" s="3" t="s">
        <v>171</v>
      </c>
      <c r="K1085" s="5">
        <v>82</v>
      </c>
      <c r="L1085" s="5">
        <v>5</v>
      </c>
      <c r="M1085" s="3" t="s">
        <v>63</v>
      </c>
      <c r="N1085" t="s">
        <v>69</v>
      </c>
      <c r="Q1085" s="2">
        <v>115.21</v>
      </c>
      <c r="R1085" s="3" t="s">
        <v>58</v>
      </c>
      <c r="S1085">
        <f>COUNTIF(A:A,A1085)</f>
        <v>1</v>
      </c>
      <c r="T1085" t="str">
        <f>IF(OR(H1085="",LOWER(TRIM(H1085&amp;""))="missing",LOWER(TRIM(H1085&amp;""))=""),"Missing/",IFERROR(IF(OR(VALUE(H1085)&lt;0,VALUE(H1085)&gt;110),"Invalid","Valid"),"Check Format"))</f>
        <v>Valid</v>
      </c>
      <c r="U1085">
        <f>IF(Raw_Data[[#This Row],[Age_Check]]="Valid",H1085,"")</f>
        <v>0</v>
      </c>
      <c r="V1085" t="str">
        <f>IF(OR(K1085="",UPPER(TRIM(K1085&amp;""))="",LOWER(TRIM(K1085&amp;""))="",LOWER(TRIM(K1085&amp;""))="",LOWER(TRIM(K1085&amp;""))="missing"),"Missing/",IFERROR(IF(VALUE(K1085)&lt;0,"Invalid","Valid"),"Check Format"))</f>
        <v>Valid</v>
      </c>
      <c r="W1085" t="str">
        <f>IF(OR(E1085="",F1085=""),"Missing Date/Time",IFERROR(IF(F1085&gt;E1085,"Arrival After Appointment","OK"),"Check Format"))</f>
        <v>OK</v>
      </c>
      <c r="X1085" t="str">
        <f>IF(OR(F1085="",G1085=""),"Missing Date/Time",IFERROR(IF(G1085&lt;F1085,"Discharge Before Arrival","OK"),"Check Format"))</f>
        <v>OK</v>
      </c>
    </row>
    <row r="1086" spans="1:24" x14ac:dyDescent="0.25">
      <c r="A1086" s="2" t="s">
        <v>1718</v>
      </c>
      <c r="B1086" s="2" t="s">
        <v>1694</v>
      </c>
      <c r="C1086" s="3" t="s">
        <v>46</v>
      </c>
      <c r="D1086" s="3" t="s">
        <v>61</v>
      </c>
      <c r="E1086" s="4">
        <v>45783.701388888891</v>
      </c>
      <c r="F1086" s="4">
        <v>45813.695833333331</v>
      </c>
      <c r="G1086" s="4">
        <v>45813.776388888888</v>
      </c>
      <c r="J1086" s="3" t="s">
        <v>67</v>
      </c>
      <c r="K1086" s="5">
        <v>73</v>
      </c>
      <c r="L1086" s="5">
        <v>35</v>
      </c>
      <c r="M1086" s="3" t="s">
        <v>41</v>
      </c>
      <c r="N1086" t="s">
        <v>100</v>
      </c>
      <c r="O1086" s="5">
        <v>3</v>
      </c>
      <c r="P1086" s="3" t="s">
        <v>25</v>
      </c>
      <c r="Q1086" s="2">
        <v>179.04</v>
      </c>
      <c r="R1086" s="3" t="s">
        <v>58</v>
      </c>
      <c r="S1086">
        <f>COUNTIF(A:A,A1086)</f>
        <v>1</v>
      </c>
      <c r="T1086" t="str">
        <f>IF(OR(H1086="",LOWER(TRIM(H1086&amp;""))="missing",LOWER(TRIM(H1086&amp;""))=""),"Missing/",IFERROR(IF(OR(VALUE(H1086)&lt;0,VALUE(H1086)&gt;110),"Invalid","Valid"),"Check Format"))</f>
        <v>Missing/</v>
      </c>
      <c r="U1086" t="str">
        <f>IF(Raw_Data[[#This Row],[Age_Check]]="Valid",H1086,"")</f>
        <v/>
      </c>
      <c r="V1086" t="str">
        <f>IF(OR(K1086="",UPPER(TRIM(K1086&amp;""))="",LOWER(TRIM(K1086&amp;""))="",LOWER(TRIM(K1086&amp;""))="",LOWER(TRIM(K1086&amp;""))="missing"),"Missing/",IFERROR(IF(VALUE(K1086)&lt;0,"Invalid","Valid"),"Check Format"))</f>
        <v>Valid</v>
      </c>
      <c r="W1086" t="str">
        <f>IF(OR(E1086="",F1086=""),"Missing Date/Time",IFERROR(IF(F1086&gt;E1086,"Arrival After Appointment","OK"),"Check Format"))</f>
        <v>Arrival After Appointment</v>
      </c>
      <c r="X1086" t="str">
        <f>IF(OR(F1086="",G1086=""),"Missing Date/Time",IFERROR(IF(G1086&lt;F1086,"Discharge Before Arrival","OK"),"Check Format"))</f>
        <v>OK</v>
      </c>
    </row>
    <row r="1087" spans="1:24" x14ac:dyDescent="0.25">
      <c r="A1087" s="2" t="s">
        <v>1719</v>
      </c>
      <c r="B1087" s="2" t="s">
        <v>561</v>
      </c>
      <c r="C1087" s="3" t="s">
        <v>46</v>
      </c>
      <c r="D1087" s="3" t="s">
        <v>23</v>
      </c>
      <c r="E1087" s="4">
        <v>45761.517361111109</v>
      </c>
      <c r="F1087" s="4">
        <v>45761.509027777778</v>
      </c>
      <c r="G1087" s="4">
        <v>45761.600694444445</v>
      </c>
      <c r="I1087" s="3" t="s">
        <v>73</v>
      </c>
      <c r="K1087" s="5">
        <v>65</v>
      </c>
      <c r="L1087" s="5">
        <v>55</v>
      </c>
      <c r="M1087" s="3" t="s">
        <v>23</v>
      </c>
      <c r="N1087" t="s">
        <v>24</v>
      </c>
      <c r="P1087" s="3" t="s">
        <v>25</v>
      </c>
      <c r="Q1087" s="2">
        <v>68.81</v>
      </c>
      <c r="R1087" s="3" t="s">
        <v>26</v>
      </c>
      <c r="S1087">
        <f>COUNTIF(A:A,A1087)</f>
        <v>1</v>
      </c>
      <c r="T1087" t="str">
        <f>IF(OR(H1087="",LOWER(TRIM(H1087&amp;""))="missing",LOWER(TRIM(H1087&amp;""))=""),"Missing/",IFERROR(IF(OR(VALUE(H1087)&lt;0,VALUE(H1087)&gt;110),"Invalid","Valid"),"Check Format"))</f>
        <v>Missing/</v>
      </c>
      <c r="U1087" t="str">
        <f>IF(Raw_Data[[#This Row],[Age_Check]]="Valid",H1087,"")</f>
        <v/>
      </c>
      <c r="V1087" t="str">
        <f>IF(OR(K1087="",UPPER(TRIM(K1087&amp;""))="",LOWER(TRIM(K1087&amp;""))="",LOWER(TRIM(K1087&amp;""))="",LOWER(TRIM(K1087&amp;""))="missing"),"Missing/",IFERROR(IF(VALUE(K1087)&lt;0,"Invalid","Valid"),"Check Format"))</f>
        <v>Valid</v>
      </c>
      <c r="W1087" t="str">
        <f>IF(OR(E1087="",F1087=""),"Missing Date/Time",IFERROR(IF(F1087&gt;E1087,"Arrival After Appointment","OK"),"Check Format"))</f>
        <v>OK</v>
      </c>
      <c r="X1087" t="str">
        <f>IF(OR(F1087="",G1087=""),"Missing Date/Time",IFERROR(IF(G1087&lt;F1087,"Discharge Before Arrival","OK"),"Check Format"))</f>
        <v>OK</v>
      </c>
    </row>
    <row r="1088" spans="1:24" x14ac:dyDescent="0.25">
      <c r="A1088" s="2" t="s">
        <v>1720</v>
      </c>
      <c r="B1088" s="2" t="s">
        <v>206</v>
      </c>
      <c r="C1088" s="3" t="s">
        <v>19</v>
      </c>
      <c r="D1088" s="3" t="s">
        <v>99</v>
      </c>
      <c r="E1088" s="4">
        <v>45964.354166666664</v>
      </c>
      <c r="F1088" s="4">
        <v>45964.352083333331</v>
      </c>
      <c r="G1088" s="4">
        <v>45964.390277777777</v>
      </c>
      <c r="H1088" s="5">
        <v>145</v>
      </c>
      <c r="I1088" s="3" t="s">
        <v>95</v>
      </c>
      <c r="K1088" s="5">
        <v>34</v>
      </c>
      <c r="L1088" s="5">
        <v>18</v>
      </c>
      <c r="M1088" s="3" t="s">
        <v>23</v>
      </c>
      <c r="N1088" t="s">
        <v>100</v>
      </c>
      <c r="O1088" s="5">
        <v>0</v>
      </c>
      <c r="Q1088" s="2">
        <v>211.42</v>
      </c>
      <c r="R1088" s="3" t="s">
        <v>58</v>
      </c>
      <c r="S1088">
        <f>COUNTIF(A:A,A1088)</f>
        <v>1</v>
      </c>
      <c r="T1088" t="str">
        <f>IF(OR(H1088="",LOWER(TRIM(H1088&amp;""))="missing",LOWER(TRIM(H1088&amp;""))=""),"Missing/",IFERROR(IF(OR(VALUE(H1088)&lt;0,VALUE(H1088)&gt;110),"Invalid","Valid"),"Check Format"))</f>
        <v>Invalid</v>
      </c>
      <c r="U1088" t="str">
        <f>IF(Raw_Data[[#This Row],[Age_Check]]="Valid",H1088,"")</f>
        <v/>
      </c>
      <c r="V1088" t="str">
        <f>IF(OR(K1088="",UPPER(TRIM(K1088&amp;""))="",LOWER(TRIM(K1088&amp;""))="",LOWER(TRIM(K1088&amp;""))="",LOWER(TRIM(K1088&amp;""))="missing"),"Missing/",IFERROR(IF(VALUE(K1088)&lt;0,"Invalid","Valid"),"Check Format"))</f>
        <v>Valid</v>
      </c>
      <c r="W1088" t="str">
        <f>IF(OR(E1088="",F1088=""),"Missing Date/Time",IFERROR(IF(F1088&gt;E1088,"Arrival After Appointment","OK"),"Check Format"))</f>
        <v>OK</v>
      </c>
      <c r="X1088" t="str">
        <f>IF(OR(F1088="",G1088=""),"Missing Date/Time",IFERROR(IF(G1088&lt;F1088,"Discharge Before Arrival","OK"),"Check Format"))</f>
        <v>OK</v>
      </c>
    </row>
    <row r="1089" spans="1:24" x14ac:dyDescent="0.25">
      <c r="A1089" s="2" t="s">
        <v>1721</v>
      </c>
      <c r="B1089" s="2" t="s">
        <v>397</v>
      </c>
      <c r="C1089" s="3" t="s">
        <v>29</v>
      </c>
      <c r="D1089" s="3" t="s">
        <v>66</v>
      </c>
      <c r="E1089" s="4">
        <v>45971.423611111109</v>
      </c>
      <c r="F1089" s="4">
        <v>45971.416666666664</v>
      </c>
      <c r="G1089" s="4">
        <v>45971.513194444444</v>
      </c>
      <c r="I1089" s="3" t="s">
        <v>73</v>
      </c>
      <c r="J1089" s="3" t="s">
        <v>67</v>
      </c>
      <c r="K1089" s="5">
        <v>89</v>
      </c>
      <c r="L1089" s="5">
        <v>40</v>
      </c>
      <c r="M1089" s="3" t="s">
        <v>63</v>
      </c>
      <c r="N1089" t="s">
        <v>91</v>
      </c>
      <c r="O1089" s="5">
        <v>6</v>
      </c>
      <c r="P1089" s="3" t="s">
        <v>25</v>
      </c>
      <c r="Q1089" s="2">
        <v>239.68</v>
      </c>
      <c r="R1089" s="3" t="s">
        <v>58</v>
      </c>
      <c r="S1089">
        <f>COUNTIF(A:A,A1089)</f>
        <v>1</v>
      </c>
      <c r="T1089" t="str">
        <f>IF(OR(H1089="",LOWER(TRIM(H1089&amp;""))="missing",LOWER(TRIM(H1089&amp;""))=""),"Missing/",IFERROR(IF(OR(VALUE(H1089)&lt;0,VALUE(H1089)&gt;110),"Invalid","Valid"),"Check Format"))</f>
        <v>Missing/</v>
      </c>
      <c r="U1089" t="str">
        <f>IF(Raw_Data[[#This Row],[Age_Check]]="Valid",H1089,"")</f>
        <v/>
      </c>
      <c r="V1089" t="str">
        <f>IF(OR(K1089="",UPPER(TRIM(K1089&amp;""))="",LOWER(TRIM(K1089&amp;""))="",LOWER(TRIM(K1089&amp;""))="",LOWER(TRIM(K1089&amp;""))="missing"),"Missing/",IFERROR(IF(VALUE(K1089)&lt;0,"Invalid","Valid"),"Check Format"))</f>
        <v>Valid</v>
      </c>
      <c r="W1089" t="str">
        <f>IF(OR(E1089="",F1089=""),"Missing Date/Time",IFERROR(IF(F1089&gt;E1089,"Arrival After Appointment","OK"),"Check Format"))</f>
        <v>OK</v>
      </c>
      <c r="X1089" t="str">
        <f>IF(OR(F1089="",G1089=""),"Missing Date/Time",IFERROR(IF(G1089&lt;F1089,"Discharge Before Arrival","OK"),"Check Format"))</f>
        <v>OK</v>
      </c>
    </row>
    <row r="1090" spans="1:24" x14ac:dyDescent="0.25">
      <c r="A1090" s="2" t="s">
        <v>1722</v>
      </c>
      <c r="B1090" s="2" t="s">
        <v>410</v>
      </c>
      <c r="C1090" s="3" t="s">
        <v>94</v>
      </c>
      <c r="D1090" s="3" t="s">
        <v>55</v>
      </c>
      <c r="E1090" s="4">
        <v>45331.447916666664</v>
      </c>
      <c r="F1090" s="4">
        <v>45537.445833333331</v>
      </c>
      <c r="G1090" s="4">
        <v>45537.502083333333</v>
      </c>
      <c r="K1090" s="5">
        <v>16</v>
      </c>
      <c r="L1090" s="5">
        <v>62</v>
      </c>
      <c r="M1090" s="3" t="s">
        <v>87</v>
      </c>
      <c r="N1090" t="s">
        <v>100</v>
      </c>
      <c r="P1090" s="3" t="s">
        <v>80</v>
      </c>
      <c r="Q1090" s="2">
        <v>266.86</v>
      </c>
      <c r="R1090" s="3" t="s">
        <v>58</v>
      </c>
      <c r="S1090">
        <f>COUNTIF(A:A,A1090)</f>
        <v>1</v>
      </c>
      <c r="T1090" t="str">
        <f>IF(OR(H1090="",LOWER(TRIM(H1090&amp;""))="missing",LOWER(TRIM(H1090&amp;""))=""),"Missing/",IFERROR(IF(OR(VALUE(H1090)&lt;0,VALUE(H1090)&gt;110),"Invalid","Valid"),"Check Format"))</f>
        <v>Missing/</v>
      </c>
      <c r="U1090" t="str">
        <f>IF(Raw_Data[[#This Row],[Age_Check]]="Valid",H1090,"")</f>
        <v/>
      </c>
      <c r="V1090" t="str">
        <f>IF(OR(K1090="",UPPER(TRIM(K1090&amp;""))="",LOWER(TRIM(K1090&amp;""))="",LOWER(TRIM(K1090&amp;""))="",LOWER(TRIM(K1090&amp;""))="missing"),"Missing/",IFERROR(IF(VALUE(K1090)&lt;0,"Invalid","Valid"),"Check Format"))</f>
        <v>Valid</v>
      </c>
      <c r="W1090" t="str">
        <f>IF(OR(E1090="",F1090=""),"Missing Date/Time",IFERROR(IF(F1090&gt;E1090,"Arrival After Appointment","OK"),"Check Format"))</f>
        <v>Arrival After Appointment</v>
      </c>
      <c r="X1090" t="str">
        <f>IF(OR(F1090="",G1090=""),"Missing Date/Time",IFERROR(IF(G1090&lt;F1090,"Discharge Before Arrival","OK"),"Check Format"))</f>
        <v>OK</v>
      </c>
    </row>
    <row r="1091" spans="1:24" x14ac:dyDescent="0.25">
      <c r="A1091" s="2" t="s">
        <v>1723</v>
      </c>
      <c r="B1091" s="2" t="s">
        <v>1724</v>
      </c>
      <c r="D1091" s="3" t="s">
        <v>30</v>
      </c>
      <c r="E1091" s="4">
        <v>45499.298611111109</v>
      </c>
      <c r="F1091" s="4">
        <v>45499.281944444447</v>
      </c>
      <c r="G1091" s="4">
        <v>45499.400694444441</v>
      </c>
      <c r="I1091" s="3" t="s">
        <v>73</v>
      </c>
      <c r="K1091" s="5">
        <v>83</v>
      </c>
      <c r="L1091" s="5">
        <v>64</v>
      </c>
      <c r="M1091" s="3" t="s">
        <v>63</v>
      </c>
      <c r="N1091" t="s">
        <v>91</v>
      </c>
      <c r="P1091" s="3" t="s">
        <v>42</v>
      </c>
      <c r="R1091" s="3" t="s">
        <v>75</v>
      </c>
      <c r="S1091">
        <f>COUNTIF(A:A,A1091)</f>
        <v>1</v>
      </c>
      <c r="T1091" t="str">
        <f>IF(OR(H1091="",LOWER(TRIM(H1091&amp;""))="missing",LOWER(TRIM(H1091&amp;""))=""),"Missing/",IFERROR(IF(OR(VALUE(H1091)&lt;0,VALUE(H1091)&gt;110),"Invalid","Valid"),"Check Format"))</f>
        <v>Missing/</v>
      </c>
      <c r="U1091" t="str">
        <f>IF(Raw_Data[[#This Row],[Age_Check]]="Valid",H1091,"")</f>
        <v/>
      </c>
      <c r="V1091" t="str">
        <f>IF(OR(K1091="",UPPER(TRIM(K1091&amp;""))="",LOWER(TRIM(K1091&amp;""))="",LOWER(TRIM(K1091&amp;""))="",LOWER(TRIM(K1091&amp;""))="missing"),"Missing/",IFERROR(IF(VALUE(K1091)&lt;0,"Invalid","Valid"),"Check Format"))</f>
        <v>Valid</v>
      </c>
      <c r="W1091" t="str">
        <f>IF(OR(E1091="",F1091=""),"Missing Date/Time",IFERROR(IF(F1091&gt;E1091,"Arrival After Appointment","OK"),"Check Format"))</f>
        <v>OK</v>
      </c>
      <c r="X1091" t="str">
        <f>IF(OR(F1091="",G1091=""),"Missing Date/Time",IFERROR(IF(G1091&lt;F1091,"Discharge Before Arrival","OK"),"Check Format"))</f>
        <v>OK</v>
      </c>
    </row>
    <row r="1092" spans="1:24" x14ac:dyDescent="0.25">
      <c r="A1092" s="2" t="s">
        <v>1725</v>
      </c>
      <c r="B1092" s="2" t="s">
        <v>283</v>
      </c>
      <c r="D1092" s="3" t="s">
        <v>38</v>
      </c>
      <c r="E1092" s="4">
        <v>45728.34375</v>
      </c>
      <c r="F1092" s="4">
        <v>45728.327777777777</v>
      </c>
      <c r="G1092" s="4">
        <v>45728.359027777777</v>
      </c>
      <c r="H1092" s="5">
        <v>58</v>
      </c>
      <c r="J1092" s="3" t="s">
        <v>67</v>
      </c>
      <c r="K1092" s="5">
        <v>0</v>
      </c>
      <c r="L1092" s="5">
        <v>22</v>
      </c>
      <c r="M1092" s="3" t="s">
        <v>68</v>
      </c>
      <c r="N1092" t="s">
        <v>24</v>
      </c>
      <c r="O1092" s="5">
        <v>0</v>
      </c>
      <c r="P1092" s="3" t="s">
        <v>42</v>
      </c>
      <c r="Q1092" s="2">
        <v>86.18</v>
      </c>
      <c r="R1092" s="3" t="s">
        <v>58</v>
      </c>
      <c r="S1092">
        <f>COUNTIF(A:A,A1092)</f>
        <v>1</v>
      </c>
      <c r="T1092" t="str">
        <f>IF(OR(H1092="",LOWER(TRIM(H1092&amp;""))="missing",LOWER(TRIM(H1092&amp;""))=""),"Missing/",IFERROR(IF(OR(VALUE(H1092)&lt;0,VALUE(H1092)&gt;110),"Invalid","Valid"),"Check Format"))</f>
        <v>Valid</v>
      </c>
      <c r="U1092">
        <f>IF(Raw_Data[[#This Row],[Age_Check]]="Valid",H1092,"")</f>
        <v>58</v>
      </c>
      <c r="V1092" t="str">
        <f>IF(OR(K1092="",UPPER(TRIM(K1092&amp;""))="",LOWER(TRIM(K1092&amp;""))="",LOWER(TRIM(K1092&amp;""))="",LOWER(TRIM(K1092&amp;""))="missing"),"Missing/",IFERROR(IF(VALUE(K1092)&lt;0,"Invalid","Valid"),"Check Format"))</f>
        <v>Valid</v>
      </c>
      <c r="W1092" t="str">
        <f>IF(OR(E1092="",F1092=""),"Missing Date/Time",IFERROR(IF(F1092&gt;E1092,"Arrival After Appointment","OK"),"Check Format"))</f>
        <v>OK</v>
      </c>
      <c r="X1092" t="str">
        <f>IF(OR(F1092="",G1092=""),"Missing Date/Time",IFERROR(IF(G1092&lt;F1092,"Discharge Before Arrival","OK"),"Check Format"))</f>
        <v>OK</v>
      </c>
    </row>
    <row r="1093" spans="1:24" x14ac:dyDescent="0.25">
      <c r="A1093" s="2" t="s">
        <v>1726</v>
      </c>
      <c r="B1093" s="2" t="s">
        <v>1687</v>
      </c>
      <c r="C1093" s="3" t="s">
        <v>46</v>
      </c>
      <c r="D1093" s="3" t="s">
        <v>47</v>
      </c>
      <c r="E1093" s="4">
        <v>45618.413194444445</v>
      </c>
      <c r="G1093" s="4">
        <v>45618.479861111111</v>
      </c>
      <c r="H1093" s="5">
        <v>18</v>
      </c>
      <c r="I1093" s="3" t="s">
        <v>95</v>
      </c>
      <c r="J1093" s="3" t="s">
        <v>62</v>
      </c>
      <c r="K1093" s="5">
        <v>83</v>
      </c>
      <c r="L1093" s="5">
        <v>13</v>
      </c>
      <c r="M1093" s="3" t="s">
        <v>63</v>
      </c>
      <c r="N1093" t="s">
        <v>69</v>
      </c>
      <c r="P1093" s="3" t="s">
        <v>25</v>
      </c>
      <c r="Q1093" s="2">
        <v>205.6</v>
      </c>
      <c r="R1093" s="3" t="s">
        <v>58</v>
      </c>
      <c r="S1093">
        <f>COUNTIF(A:A,A1093)</f>
        <v>1</v>
      </c>
      <c r="T1093" t="str">
        <f>IF(OR(H1093="",LOWER(TRIM(H1093&amp;""))="missing",LOWER(TRIM(H1093&amp;""))=""),"Missing/",IFERROR(IF(OR(VALUE(H1093)&lt;0,VALUE(H1093)&gt;110),"Invalid","Valid"),"Check Format"))</f>
        <v>Valid</v>
      </c>
      <c r="U1093">
        <f>IF(Raw_Data[[#This Row],[Age_Check]]="Valid",H1093,"")</f>
        <v>18</v>
      </c>
      <c r="V1093" t="str">
        <f>IF(OR(K1093="",UPPER(TRIM(K1093&amp;""))="",LOWER(TRIM(K1093&amp;""))="",LOWER(TRIM(K1093&amp;""))="",LOWER(TRIM(K1093&amp;""))="missing"),"Missing/",IFERROR(IF(VALUE(K1093)&lt;0,"Invalid","Valid"),"Check Format"))</f>
        <v>Valid</v>
      </c>
      <c r="W1093" t="str">
        <f>IF(OR(E1093="",F1093=""),"Missing Date/Time",IFERROR(IF(F1093&gt;E1093,"Arrival After Appointment","OK"),"Check Format"))</f>
        <v>Missing Date/Time</v>
      </c>
      <c r="X1093" t="str">
        <f>IF(OR(F1093="",G1093=""),"Missing Date/Time",IFERROR(IF(G1093&lt;F1093,"Discharge Before Arrival","OK"),"Check Format"))</f>
        <v>Missing Date/Time</v>
      </c>
    </row>
    <row r="1094" spans="1:24" x14ac:dyDescent="0.25">
      <c r="A1094" s="2" t="s">
        <v>1727</v>
      </c>
      <c r="B1094" s="2" t="s">
        <v>1589</v>
      </c>
      <c r="D1094" s="3" t="s">
        <v>66</v>
      </c>
      <c r="E1094" s="4">
        <v>46000.732638888891</v>
      </c>
      <c r="F1094" s="4">
        <v>46000.724999999999</v>
      </c>
      <c r="G1094" s="4">
        <v>46000.836111111108</v>
      </c>
      <c r="I1094" s="3" t="s">
        <v>95</v>
      </c>
      <c r="J1094" s="3" t="s">
        <v>62</v>
      </c>
      <c r="K1094" s="5">
        <v>105</v>
      </c>
      <c r="L1094" s="5">
        <v>44</v>
      </c>
      <c r="M1094" s="3" t="s">
        <v>32</v>
      </c>
      <c r="N1094" t="s">
        <v>69</v>
      </c>
      <c r="O1094" s="5">
        <v>6</v>
      </c>
      <c r="P1094" s="3" t="s">
        <v>25</v>
      </c>
      <c r="Q1094" s="2">
        <v>167.7</v>
      </c>
      <c r="R1094" s="3" t="s">
        <v>58</v>
      </c>
      <c r="S1094">
        <f>COUNTIF(A:A,A1094)</f>
        <v>1</v>
      </c>
      <c r="T1094" t="str">
        <f>IF(OR(H1094="",LOWER(TRIM(H1094&amp;""))="missing",LOWER(TRIM(H1094&amp;""))=""),"Missing/",IFERROR(IF(OR(VALUE(H1094)&lt;0,VALUE(H1094)&gt;110),"Invalid","Valid"),"Check Format"))</f>
        <v>Missing/</v>
      </c>
      <c r="U1094" t="str">
        <f>IF(Raw_Data[[#This Row],[Age_Check]]="Valid",H1094,"")</f>
        <v/>
      </c>
      <c r="V1094" t="str">
        <f>IF(OR(K1094="",UPPER(TRIM(K1094&amp;""))="",LOWER(TRIM(K1094&amp;""))="",LOWER(TRIM(K1094&amp;""))="",LOWER(TRIM(K1094&amp;""))="missing"),"Missing/",IFERROR(IF(VALUE(K1094)&lt;0,"Invalid","Valid"),"Check Format"))</f>
        <v>Valid</v>
      </c>
      <c r="W1094" t="str">
        <f>IF(OR(E1094="",F1094=""),"Missing Date/Time",IFERROR(IF(F1094&gt;E1094,"Arrival After Appointment","OK"),"Check Format"))</f>
        <v>OK</v>
      </c>
      <c r="X1094" t="str">
        <f>IF(OR(F1094="",G1094=""),"Missing Date/Time",IFERROR(IF(G1094&lt;F1094,"Discharge Before Arrival","OK"),"Check Format"))</f>
        <v>OK</v>
      </c>
    </row>
    <row r="1095" spans="1:24" x14ac:dyDescent="0.25">
      <c r="A1095" s="2" t="s">
        <v>1728</v>
      </c>
      <c r="B1095" s="2" t="s">
        <v>1325</v>
      </c>
      <c r="C1095" s="3" t="s">
        <v>94</v>
      </c>
      <c r="D1095" s="3" t="s">
        <v>55</v>
      </c>
      <c r="E1095" s="4">
        <v>45564.291666666664</v>
      </c>
      <c r="F1095" s="4">
        <v>45564.28402777778</v>
      </c>
      <c r="G1095" s="4">
        <v>45564.318749999999</v>
      </c>
      <c r="H1095" s="5">
        <v>79</v>
      </c>
      <c r="I1095" s="3" t="s">
        <v>95</v>
      </c>
      <c r="J1095" s="3" t="s">
        <v>150</v>
      </c>
      <c r="K1095" s="5">
        <v>23</v>
      </c>
      <c r="L1095" s="5">
        <v>16</v>
      </c>
      <c r="M1095" s="3" t="s">
        <v>68</v>
      </c>
      <c r="N1095" t="s">
        <v>100</v>
      </c>
      <c r="P1095" s="3" t="s">
        <v>80</v>
      </c>
      <c r="Q1095" s="2">
        <v>244.97</v>
      </c>
      <c r="R1095" s="3" t="s">
        <v>58</v>
      </c>
      <c r="S1095">
        <f>COUNTIF(A:A,A1095)</f>
        <v>1</v>
      </c>
      <c r="T1095" t="str">
        <f>IF(OR(H1095="",LOWER(TRIM(H1095&amp;""))="missing",LOWER(TRIM(H1095&amp;""))=""),"Missing/",IFERROR(IF(OR(VALUE(H1095)&lt;0,VALUE(H1095)&gt;110),"Invalid","Valid"),"Check Format"))</f>
        <v>Valid</v>
      </c>
      <c r="U1095">
        <f>IF(Raw_Data[[#This Row],[Age_Check]]="Valid",H1095,"")</f>
        <v>79</v>
      </c>
      <c r="V1095" t="str">
        <f>IF(OR(K1095="",UPPER(TRIM(K1095&amp;""))="",LOWER(TRIM(K1095&amp;""))="",LOWER(TRIM(K1095&amp;""))="",LOWER(TRIM(K1095&amp;""))="missing"),"Missing/",IFERROR(IF(VALUE(K1095)&lt;0,"Invalid","Valid"),"Check Format"))</f>
        <v>Valid</v>
      </c>
      <c r="W1095" t="str">
        <f>IF(OR(E1095="",F1095=""),"Missing Date/Time",IFERROR(IF(F1095&gt;E1095,"Arrival After Appointment","OK"),"Check Format"))</f>
        <v>OK</v>
      </c>
      <c r="X1095" t="str">
        <f>IF(OR(F1095="",G1095=""),"Missing Date/Time",IFERROR(IF(G1095&lt;F1095,"Discharge Before Arrival","OK"),"Check Format"))</f>
        <v>OK</v>
      </c>
    </row>
    <row r="1096" spans="1:24" x14ac:dyDescent="0.25">
      <c r="A1096" s="2" t="s">
        <v>1729</v>
      </c>
      <c r="B1096" s="2" t="s">
        <v>708</v>
      </c>
      <c r="C1096" s="3" t="s">
        <v>19</v>
      </c>
      <c r="D1096" s="3" t="s">
        <v>38</v>
      </c>
      <c r="E1096" s="4">
        <v>45979.4375</v>
      </c>
      <c r="F1096" s="4">
        <v>45979.416666666664</v>
      </c>
      <c r="G1096" s="4">
        <v>45979.518055555556</v>
      </c>
      <c r="H1096" s="5">
        <v>95</v>
      </c>
      <c r="I1096" s="3" t="s">
        <v>95</v>
      </c>
      <c r="J1096" s="3" t="s">
        <v>67</v>
      </c>
      <c r="K1096" s="5">
        <v>85</v>
      </c>
      <c r="L1096" s="5">
        <v>31</v>
      </c>
      <c r="M1096" s="3" t="s">
        <v>23</v>
      </c>
      <c r="N1096" t="s">
        <v>69</v>
      </c>
      <c r="O1096" s="5">
        <v>2</v>
      </c>
      <c r="P1096" s="3" t="s">
        <v>25</v>
      </c>
      <c r="Q1096" s="2">
        <v>111.57</v>
      </c>
      <c r="R1096" s="3" t="s">
        <v>43</v>
      </c>
      <c r="S1096">
        <f>COUNTIF(A:A,A1096)</f>
        <v>1</v>
      </c>
      <c r="T1096" t="str">
        <f>IF(OR(H1096="",LOWER(TRIM(H1096&amp;""))="missing",LOWER(TRIM(H1096&amp;""))=""),"Missing/",IFERROR(IF(OR(VALUE(H1096)&lt;0,VALUE(H1096)&gt;110),"Invalid","Valid"),"Check Format"))</f>
        <v>Valid</v>
      </c>
      <c r="U1096">
        <f>IF(Raw_Data[[#This Row],[Age_Check]]="Valid",H1096,"")</f>
        <v>95</v>
      </c>
      <c r="V1096" t="str">
        <f>IF(OR(K1096="",UPPER(TRIM(K1096&amp;""))="",LOWER(TRIM(K1096&amp;""))="",LOWER(TRIM(K1096&amp;""))="",LOWER(TRIM(K1096&amp;""))="missing"),"Missing/",IFERROR(IF(VALUE(K1096)&lt;0,"Invalid","Valid"),"Check Format"))</f>
        <v>Valid</v>
      </c>
      <c r="W1096" t="str">
        <f>IF(OR(E1096="",F1096=""),"Missing Date/Time",IFERROR(IF(F1096&gt;E1096,"Arrival After Appointment","OK"),"Check Format"))</f>
        <v>OK</v>
      </c>
      <c r="X1096" t="str">
        <f>IF(OR(F1096="",G1096=""),"Missing Date/Time",IFERROR(IF(G1096&lt;F1096,"Discharge Before Arrival","OK"),"Check Format"))</f>
        <v>OK</v>
      </c>
    </row>
    <row r="1097" spans="1:24" x14ac:dyDescent="0.25">
      <c r="A1097" s="2" t="s">
        <v>1730</v>
      </c>
      <c r="B1097" s="2" t="s">
        <v>36</v>
      </c>
      <c r="C1097" s="3" t="s">
        <v>37</v>
      </c>
      <c r="D1097" s="3" t="s">
        <v>149</v>
      </c>
      <c r="E1097" s="4">
        <v>45977.482638888891</v>
      </c>
      <c r="F1097" s="4">
        <v>45977.476388888892</v>
      </c>
      <c r="G1097" s="4">
        <v>45977.490972222222</v>
      </c>
      <c r="I1097" s="3" t="s">
        <v>73</v>
      </c>
      <c r="J1097" s="3" t="s">
        <v>150</v>
      </c>
      <c r="K1097" s="5">
        <v>0</v>
      </c>
      <c r="L1097" s="5">
        <v>12</v>
      </c>
      <c r="M1097" s="3" t="s">
        <v>23</v>
      </c>
      <c r="P1097" s="3" t="s">
        <v>25</v>
      </c>
      <c r="Q1097" s="2">
        <v>297.91000000000003</v>
      </c>
      <c r="R1097" s="3" t="s">
        <v>26</v>
      </c>
      <c r="S1097">
        <f>COUNTIF(A:A,A1097)</f>
        <v>1</v>
      </c>
      <c r="T1097" t="str">
        <f>IF(OR(H1097="",LOWER(TRIM(H1097&amp;""))="missing",LOWER(TRIM(H1097&amp;""))=""),"Missing/",IFERROR(IF(OR(VALUE(H1097)&lt;0,VALUE(H1097)&gt;110),"Invalid","Valid"),"Check Format"))</f>
        <v>Missing/</v>
      </c>
      <c r="U1097" t="str">
        <f>IF(Raw_Data[[#This Row],[Age_Check]]="Valid",H1097,"")</f>
        <v/>
      </c>
      <c r="V1097" t="str">
        <f>IF(OR(K1097="",UPPER(TRIM(K1097&amp;""))="",LOWER(TRIM(K1097&amp;""))="",LOWER(TRIM(K1097&amp;""))="",LOWER(TRIM(K1097&amp;""))="missing"),"Missing/",IFERROR(IF(VALUE(K1097)&lt;0,"Invalid","Valid"),"Check Format"))</f>
        <v>Valid</v>
      </c>
      <c r="W1097" t="str">
        <f>IF(OR(E1097="",F1097=""),"Missing Date/Time",IFERROR(IF(F1097&gt;E1097,"Arrival After Appointment","OK"),"Check Format"))</f>
        <v>OK</v>
      </c>
      <c r="X1097" t="str">
        <f>IF(OR(F1097="",G1097=""),"Missing Date/Time",IFERROR(IF(G1097&lt;F1097,"Discharge Before Arrival","OK"),"Check Format"))</f>
        <v>OK</v>
      </c>
    </row>
    <row r="1098" spans="1:24" x14ac:dyDescent="0.25">
      <c r="A1098" s="2" t="s">
        <v>1731</v>
      </c>
      <c r="B1098" s="2" t="s">
        <v>846</v>
      </c>
      <c r="C1098" s="3" t="s">
        <v>37</v>
      </c>
      <c r="D1098" s="3" t="s">
        <v>106</v>
      </c>
      <c r="E1098" s="4" t="s">
        <v>1732</v>
      </c>
      <c r="F1098" s="4">
        <v>46019.645833333336</v>
      </c>
      <c r="G1098" s="4">
        <v>46019.679166666669</v>
      </c>
      <c r="I1098" s="3" t="s">
        <v>95</v>
      </c>
      <c r="J1098" s="3" t="s">
        <v>67</v>
      </c>
      <c r="K1098" s="5">
        <v>13</v>
      </c>
      <c r="L1098" s="5">
        <v>35</v>
      </c>
      <c r="N1098" t="s">
        <v>69</v>
      </c>
      <c r="O1098" s="5">
        <v>6</v>
      </c>
      <c r="P1098" s="3" t="s">
        <v>80</v>
      </c>
      <c r="Q1098" s="2">
        <v>225.6</v>
      </c>
      <c r="R1098" s="3" t="s">
        <v>26</v>
      </c>
      <c r="S1098">
        <f>COUNTIF(A:A,A1098)</f>
        <v>1</v>
      </c>
      <c r="T1098" t="str">
        <f>IF(OR(H1098="",LOWER(TRIM(H1098&amp;""))="missing",LOWER(TRIM(H1098&amp;""))=""),"Missing/",IFERROR(IF(OR(VALUE(H1098)&lt;0,VALUE(H1098)&gt;110),"Invalid","Valid"),"Check Format"))</f>
        <v>Missing/</v>
      </c>
      <c r="U1098" t="str">
        <f>IF(Raw_Data[[#This Row],[Age_Check]]="Valid",H1098,"")</f>
        <v/>
      </c>
      <c r="V1098" t="str">
        <f>IF(OR(K1098="",UPPER(TRIM(K1098&amp;""))="",LOWER(TRIM(K1098&amp;""))="",LOWER(TRIM(K1098&amp;""))="",LOWER(TRIM(K1098&amp;""))="missing"),"Missing/",IFERROR(IF(VALUE(K1098)&lt;0,"Invalid","Valid"),"Check Format"))</f>
        <v>Valid</v>
      </c>
      <c r="W1098" t="str">
        <f>IF(OR(E1098="",F1098=""),"Missing Date/Time",IFERROR(IF(F1098&gt;E1098,"Arrival After Appointment","OK"),"Check Format"))</f>
        <v>OK</v>
      </c>
      <c r="X1098" t="str">
        <f>IF(OR(F1098="",G1098=""),"Missing Date/Time",IFERROR(IF(G1098&lt;F1098,"Discharge Before Arrival","OK"),"Check Format"))</f>
        <v>OK</v>
      </c>
    </row>
    <row r="1099" spans="1:24" x14ac:dyDescent="0.25">
      <c r="A1099" s="2" t="s">
        <v>1733</v>
      </c>
      <c r="B1099" s="2" t="s">
        <v>1734</v>
      </c>
      <c r="C1099" s="3" t="s">
        <v>46</v>
      </c>
      <c r="D1099" s="3" t="s">
        <v>61</v>
      </c>
      <c r="E1099" s="4">
        <v>45462.774305555555</v>
      </c>
      <c r="F1099" s="4">
        <v>45462.758333333331</v>
      </c>
      <c r="G1099" s="4">
        <v>45462.808333333334</v>
      </c>
      <c r="H1099" s="5">
        <v>145</v>
      </c>
      <c r="I1099" s="3" t="s">
        <v>95</v>
      </c>
      <c r="J1099" s="3" t="s">
        <v>171</v>
      </c>
      <c r="K1099" s="5">
        <v>14</v>
      </c>
      <c r="L1099" s="5">
        <v>35</v>
      </c>
      <c r="M1099" s="3" t="s">
        <v>87</v>
      </c>
      <c r="N1099" t="s">
        <v>100</v>
      </c>
      <c r="O1099" s="5">
        <v>3</v>
      </c>
      <c r="P1099" s="3" t="s">
        <v>25</v>
      </c>
      <c r="Q1099" s="2">
        <v>220.03</v>
      </c>
      <c r="R1099" s="3" t="s">
        <v>58</v>
      </c>
      <c r="S1099">
        <f>COUNTIF(A:A,A1099)</f>
        <v>1</v>
      </c>
      <c r="T1099" t="str">
        <f>IF(OR(H1099="",LOWER(TRIM(H1099&amp;""))="missing",LOWER(TRIM(H1099&amp;""))=""),"Missing/",IFERROR(IF(OR(VALUE(H1099)&lt;0,VALUE(H1099)&gt;110),"Invalid","Valid"),"Check Format"))</f>
        <v>Invalid</v>
      </c>
      <c r="U1099" t="str">
        <f>IF(Raw_Data[[#This Row],[Age_Check]]="Valid",H1099,"")</f>
        <v/>
      </c>
      <c r="V1099" t="str">
        <f>IF(OR(K1099="",UPPER(TRIM(K1099&amp;""))="",LOWER(TRIM(K1099&amp;""))="",LOWER(TRIM(K1099&amp;""))="",LOWER(TRIM(K1099&amp;""))="missing"),"Missing/",IFERROR(IF(VALUE(K1099)&lt;0,"Invalid","Valid"),"Check Format"))</f>
        <v>Valid</v>
      </c>
      <c r="W1099" t="str">
        <f>IF(OR(E1099="",F1099=""),"Missing Date/Time",IFERROR(IF(F1099&gt;E1099,"Arrival After Appointment","OK"),"Check Format"))</f>
        <v>OK</v>
      </c>
      <c r="X1099" t="str">
        <f>IF(OR(F1099="",G1099=""),"Missing Date/Time",IFERROR(IF(G1099&lt;F1099,"Discharge Before Arrival","OK"),"Check Format"))</f>
        <v>OK</v>
      </c>
    </row>
    <row r="1100" spans="1:24" x14ac:dyDescent="0.25">
      <c r="A1100" s="2" t="s">
        <v>1735</v>
      </c>
      <c r="B1100" s="2" t="s">
        <v>267</v>
      </c>
      <c r="C1100" s="3" t="s">
        <v>37</v>
      </c>
      <c r="D1100" s="3" t="s">
        <v>47</v>
      </c>
      <c r="E1100" s="4">
        <v>45438.586805555555</v>
      </c>
      <c r="F1100" s="4">
        <v>45438.579861111109</v>
      </c>
      <c r="G1100" s="4">
        <v>45438.68472222222</v>
      </c>
      <c r="J1100" s="3" t="s">
        <v>67</v>
      </c>
      <c r="K1100" s="5">
        <v>58</v>
      </c>
      <c r="L1100" s="5">
        <v>83</v>
      </c>
      <c r="M1100" s="3" t="s">
        <v>50</v>
      </c>
      <c r="N1100" t="s">
        <v>74</v>
      </c>
      <c r="O1100" s="5">
        <v>1</v>
      </c>
      <c r="P1100" s="3" t="s">
        <v>42</v>
      </c>
      <c r="R1100" s="3" t="s">
        <v>58</v>
      </c>
      <c r="S1100">
        <f>COUNTIF(A:A,A1100)</f>
        <v>1</v>
      </c>
      <c r="T1100" t="str">
        <f>IF(OR(H1100="",LOWER(TRIM(H1100&amp;""))="missing",LOWER(TRIM(H1100&amp;""))=""),"Missing/",IFERROR(IF(OR(VALUE(H1100)&lt;0,VALUE(H1100)&gt;110),"Invalid","Valid"),"Check Format"))</f>
        <v>Missing/</v>
      </c>
      <c r="U1100" t="str">
        <f>IF(Raw_Data[[#This Row],[Age_Check]]="Valid",H1100,"")</f>
        <v/>
      </c>
      <c r="V1100" t="str">
        <f>IF(OR(K1100="",UPPER(TRIM(K1100&amp;""))="",LOWER(TRIM(K1100&amp;""))="",LOWER(TRIM(K1100&amp;""))="",LOWER(TRIM(K1100&amp;""))="missing"),"Missing/",IFERROR(IF(VALUE(K1100)&lt;0,"Invalid","Valid"),"Check Format"))</f>
        <v>Valid</v>
      </c>
      <c r="W1100" t="str">
        <f>IF(OR(E1100="",F1100=""),"Missing Date/Time",IFERROR(IF(F1100&gt;E1100,"Arrival After Appointment","OK"),"Check Format"))</f>
        <v>OK</v>
      </c>
      <c r="X1100" t="str">
        <f>IF(OR(F1100="",G1100=""),"Missing Date/Time",IFERROR(IF(G1100&lt;F1100,"Discharge Before Arrival","OK"),"Check Format"))</f>
        <v>OK</v>
      </c>
    </row>
    <row r="1101" spans="1:24" x14ac:dyDescent="0.25">
      <c r="A1101" s="2" t="s">
        <v>1736</v>
      </c>
      <c r="B1101" s="2" t="s">
        <v>36</v>
      </c>
      <c r="C1101" s="3" t="s">
        <v>46</v>
      </c>
      <c r="D1101" s="3" t="s">
        <v>99</v>
      </c>
      <c r="E1101" s="4">
        <v>45858.611111111109</v>
      </c>
      <c r="F1101" s="4">
        <v>45858.597222222219</v>
      </c>
      <c r="G1101" s="4">
        <v>45858.646527777775</v>
      </c>
      <c r="I1101" s="3" t="s">
        <v>90</v>
      </c>
      <c r="J1101" s="3" t="s">
        <v>62</v>
      </c>
      <c r="K1101" s="5">
        <v>0</v>
      </c>
      <c r="L1101" s="5">
        <v>51</v>
      </c>
      <c r="M1101" s="3" t="s">
        <v>23</v>
      </c>
      <c r="N1101" t="s">
        <v>91</v>
      </c>
      <c r="O1101" s="5">
        <v>5</v>
      </c>
      <c r="P1101" s="3" t="s">
        <v>25</v>
      </c>
      <c r="Q1101" s="2">
        <v>131.18</v>
      </c>
      <c r="R1101" s="3" t="s">
        <v>26</v>
      </c>
      <c r="S1101">
        <f>COUNTIF(A:A,A1101)</f>
        <v>1</v>
      </c>
      <c r="T1101" t="str">
        <f>IF(OR(H1101="",LOWER(TRIM(H1101&amp;""))="missing",LOWER(TRIM(H1101&amp;""))=""),"Missing/",IFERROR(IF(OR(VALUE(H1101)&lt;0,VALUE(H1101)&gt;110),"Invalid","Valid"),"Check Format"))</f>
        <v>Missing/</v>
      </c>
      <c r="U1101" t="str">
        <f>IF(Raw_Data[[#This Row],[Age_Check]]="Valid",H1101,"")</f>
        <v/>
      </c>
      <c r="V1101" t="str">
        <f>IF(OR(K1101="",UPPER(TRIM(K1101&amp;""))="",LOWER(TRIM(K1101&amp;""))="",LOWER(TRIM(K1101&amp;""))="",LOWER(TRIM(K1101&amp;""))="missing"),"Missing/",IFERROR(IF(VALUE(K1101)&lt;0,"Invalid","Valid"),"Check Format"))</f>
        <v>Valid</v>
      </c>
      <c r="W1101" t="str">
        <f>IF(OR(E1101="",F1101=""),"Missing Date/Time",IFERROR(IF(F1101&gt;E1101,"Arrival After Appointment","OK"),"Check Format"))</f>
        <v>OK</v>
      </c>
      <c r="X1101" t="str">
        <f>IF(OR(F1101="",G1101=""),"Missing Date/Time",IFERROR(IF(G1101&lt;F1101,"Discharge Before Arrival","OK"),"Check Format"))</f>
        <v>OK</v>
      </c>
    </row>
    <row r="1102" spans="1:24" x14ac:dyDescent="0.25">
      <c r="A1102" s="2" t="s">
        <v>1737</v>
      </c>
      <c r="B1102" s="2" t="s">
        <v>331</v>
      </c>
      <c r="C1102" s="3" t="s">
        <v>94</v>
      </c>
      <c r="D1102" s="3" t="s">
        <v>72</v>
      </c>
      <c r="E1102" s="4">
        <v>45517.732638888891</v>
      </c>
      <c r="F1102" s="4">
        <v>45517.720833333333</v>
      </c>
      <c r="G1102" s="4">
        <v>45517.818749999999</v>
      </c>
      <c r="H1102" s="5">
        <v>3</v>
      </c>
      <c r="I1102" s="3" t="s">
        <v>95</v>
      </c>
      <c r="J1102" s="3" t="s">
        <v>67</v>
      </c>
      <c r="K1102" s="5">
        <v>85</v>
      </c>
      <c r="L1102" s="5">
        <v>39</v>
      </c>
      <c r="M1102" s="3" t="s">
        <v>68</v>
      </c>
      <c r="N1102" t="s">
        <v>69</v>
      </c>
      <c r="Q1102" s="2">
        <v>86.35</v>
      </c>
      <c r="R1102" s="3" t="s">
        <v>26</v>
      </c>
      <c r="S1102">
        <f>COUNTIF(A:A,A1102)</f>
        <v>1</v>
      </c>
      <c r="T1102" t="str">
        <f>IF(OR(H1102="",LOWER(TRIM(H1102&amp;""))="missing",LOWER(TRIM(H1102&amp;""))=""),"Missing/",IFERROR(IF(OR(VALUE(H1102)&lt;0,VALUE(H1102)&gt;110),"Invalid","Valid"),"Check Format"))</f>
        <v>Valid</v>
      </c>
      <c r="U1102">
        <f>IF(Raw_Data[[#This Row],[Age_Check]]="Valid",H1102,"")</f>
        <v>3</v>
      </c>
      <c r="V1102" t="str">
        <f>IF(OR(K1102="",UPPER(TRIM(K1102&amp;""))="",LOWER(TRIM(K1102&amp;""))="",LOWER(TRIM(K1102&amp;""))="",LOWER(TRIM(K1102&amp;""))="missing"),"Missing/",IFERROR(IF(VALUE(K1102)&lt;0,"Invalid","Valid"),"Check Format"))</f>
        <v>Valid</v>
      </c>
      <c r="W1102" t="str">
        <f>IF(OR(E1102="",F1102=""),"Missing Date/Time",IFERROR(IF(F1102&gt;E1102,"Arrival After Appointment","OK"),"Check Format"))</f>
        <v>OK</v>
      </c>
      <c r="X1102" t="str">
        <f>IF(OR(F1102="",G1102=""),"Missing Date/Time",IFERROR(IF(G1102&lt;F1102,"Discharge Before Arrival","OK"),"Check Format"))</f>
        <v>OK</v>
      </c>
    </row>
    <row r="1103" spans="1:24" x14ac:dyDescent="0.25">
      <c r="A1103" s="2" t="s">
        <v>1738</v>
      </c>
      <c r="B1103" s="2" t="s">
        <v>671</v>
      </c>
      <c r="C1103" s="3" t="s">
        <v>19</v>
      </c>
      <c r="D1103" s="3" t="s">
        <v>209</v>
      </c>
      <c r="E1103" s="4">
        <v>45554.583333333336</v>
      </c>
      <c r="G1103" s="4">
        <v>45554.632638888892</v>
      </c>
      <c r="I1103" s="3" t="s">
        <v>73</v>
      </c>
      <c r="J1103" s="3" t="s">
        <v>150</v>
      </c>
      <c r="K1103" s="5">
        <v>66</v>
      </c>
      <c r="L1103" s="5">
        <v>5</v>
      </c>
      <c r="M1103" s="3" t="s">
        <v>87</v>
      </c>
      <c r="O1103" s="5">
        <v>4</v>
      </c>
      <c r="P1103" s="3" t="s">
        <v>25</v>
      </c>
      <c r="Q1103" s="2">
        <v>193.26</v>
      </c>
      <c r="R1103" s="3" t="s">
        <v>26</v>
      </c>
      <c r="S1103">
        <f>COUNTIF(A:A,A1103)</f>
        <v>1</v>
      </c>
      <c r="T1103" t="str">
        <f>IF(OR(H1103="",LOWER(TRIM(H1103&amp;""))="missing",LOWER(TRIM(H1103&amp;""))=""),"Missing/",IFERROR(IF(OR(VALUE(H1103)&lt;0,VALUE(H1103)&gt;110),"Invalid","Valid"),"Check Format"))</f>
        <v>Missing/</v>
      </c>
      <c r="U1103" t="str">
        <f>IF(Raw_Data[[#This Row],[Age_Check]]="Valid",H1103,"")</f>
        <v/>
      </c>
      <c r="V1103" t="str">
        <f>IF(OR(K1103="",UPPER(TRIM(K1103&amp;""))="",LOWER(TRIM(K1103&amp;""))="",LOWER(TRIM(K1103&amp;""))="",LOWER(TRIM(K1103&amp;""))="missing"),"Missing/",IFERROR(IF(VALUE(K1103)&lt;0,"Invalid","Valid"),"Check Format"))</f>
        <v>Valid</v>
      </c>
      <c r="W1103" t="str">
        <f>IF(OR(E1103="",F1103=""),"Missing Date/Time",IFERROR(IF(F1103&gt;E1103,"Arrival After Appointment","OK"),"Check Format"))</f>
        <v>Missing Date/Time</v>
      </c>
      <c r="X1103" t="str">
        <f>IF(OR(F1103="",G1103=""),"Missing Date/Time",IFERROR(IF(G1103&lt;F1103,"Discharge Before Arrival","OK"),"Check Format"))</f>
        <v>Missing Date/Time</v>
      </c>
    </row>
    <row r="1104" spans="1:24" x14ac:dyDescent="0.25">
      <c r="A1104" s="2" t="s">
        <v>1739</v>
      </c>
      <c r="B1104" s="2" t="s">
        <v>1740</v>
      </c>
      <c r="D1104" s="3" t="s">
        <v>47</v>
      </c>
      <c r="E1104" s="4">
        <v>45419.763888888891</v>
      </c>
      <c r="F1104" s="4">
        <v>45419.747916666667</v>
      </c>
      <c r="G1104" s="4">
        <v>45419.84097222222</v>
      </c>
      <c r="I1104" s="3" t="s">
        <v>73</v>
      </c>
      <c r="J1104" s="3" t="s">
        <v>171</v>
      </c>
      <c r="K1104" s="5">
        <v>68</v>
      </c>
      <c r="L1104" s="5">
        <v>43</v>
      </c>
      <c r="N1104" t="s">
        <v>24</v>
      </c>
      <c r="Q1104" s="2">
        <v>229.65</v>
      </c>
      <c r="R1104" s="3" t="s">
        <v>58</v>
      </c>
      <c r="S1104">
        <f>COUNTIF(A:A,A1104)</f>
        <v>1</v>
      </c>
      <c r="T1104" t="str">
        <f>IF(OR(H1104="",LOWER(TRIM(H1104&amp;""))="missing",LOWER(TRIM(H1104&amp;""))=""),"Missing/",IFERROR(IF(OR(VALUE(H1104)&lt;0,VALUE(H1104)&gt;110),"Invalid","Valid"),"Check Format"))</f>
        <v>Missing/</v>
      </c>
      <c r="U1104" t="str">
        <f>IF(Raw_Data[[#This Row],[Age_Check]]="Valid",H1104,"")</f>
        <v/>
      </c>
      <c r="V1104" t="str">
        <f>IF(OR(K1104="",UPPER(TRIM(K1104&amp;""))="",LOWER(TRIM(K1104&amp;""))="",LOWER(TRIM(K1104&amp;""))="",LOWER(TRIM(K1104&amp;""))="missing"),"Missing/",IFERROR(IF(VALUE(K1104)&lt;0,"Invalid","Valid"),"Check Format"))</f>
        <v>Valid</v>
      </c>
      <c r="W1104" t="str">
        <f>IF(OR(E1104="",F1104=""),"Missing Date/Time",IFERROR(IF(F1104&gt;E1104,"Arrival After Appointment","OK"),"Check Format"))</f>
        <v>OK</v>
      </c>
      <c r="X1104" t="str">
        <f>IF(OR(F1104="",G1104=""),"Missing Date/Time",IFERROR(IF(G1104&lt;F1104,"Discharge Before Arrival","OK"),"Check Format"))</f>
        <v>OK</v>
      </c>
    </row>
    <row r="1105" spans="1:24" x14ac:dyDescent="0.25">
      <c r="A1105" s="2" t="s">
        <v>1741</v>
      </c>
      <c r="B1105" s="2" t="s">
        <v>1464</v>
      </c>
      <c r="C1105" s="3" t="s">
        <v>29</v>
      </c>
      <c r="D1105" s="3" t="s">
        <v>209</v>
      </c>
      <c r="E1105" s="4">
        <v>45835.635416666664</v>
      </c>
      <c r="G1105" s="4">
        <v>45835.707638888889</v>
      </c>
      <c r="H1105" s="5">
        <v>81</v>
      </c>
      <c r="I1105" s="3" t="s">
        <v>73</v>
      </c>
      <c r="J1105" s="3" t="s">
        <v>67</v>
      </c>
      <c r="K1105" s="5">
        <v>70</v>
      </c>
      <c r="L1105" s="5">
        <v>34</v>
      </c>
      <c r="N1105" t="s">
        <v>69</v>
      </c>
      <c r="O1105" s="5">
        <v>2</v>
      </c>
      <c r="P1105" s="3" t="s">
        <v>80</v>
      </c>
      <c r="Q1105" s="2">
        <v>74.510000000000005</v>
      </c>
      <c r="R1105" s="3" t="s">
        <v>58</v>
      </c>
      <c r="S1105">
        <f>COUNTIF(A:A,A1105)</f>
        <v>1</v>
      </c>
      <c r="T1105" t="str">
        <f>IF(OR(H1105="",LOWER(TRIM(H1105&amp;""))="missing",LOWER(TRIM(H1105&amp;""))=""),"Missing/",IFERROR(IF(OR(VALUE(H1105)&lt;0,VALUE(H1105)&gt;110),"Invalid","Valid"),"Check Format"))</f>
        <v>Valid</v>
      </c>
      <c r="U1105">
        <f>IF(Raw_Data[[#This Row],[Age_Check]]="Valid",H1105,"")</f>
        <v>81</v>
      </c>
      <c r="V1105" t="str">
        <f>IF(OR(K1105="",UPPER(TRIM(K1105&amp;""))="",LOWER(TRIM(K1105&amp;""))="",LOWER(TRIM(K1105&amp;""))="",LOWER(TRIM(K1105&amp;""))="missing"),"Missing/",IFERROR(IF(VALUE(K1105)&lt;0,"Invalid","Valid"),"Check Format"))</f>
        <v>Valid</v>
      </c>
      <c r="W1105" t="str">
        <f>IF(OR(E1105="",F1105=""),"Missing Date/Time",IFERROR(IF(F1105&gt;E1105,"Arrival After Appointment","OK"),"Check Format"))</f>
        <v>Missing Date/Time</v>
      </c>
      <c r="X1105" t="str">
        <f>IF(OR(F1105="",G1105=""),"Missing Date/Time",IFERROR(IF(G1105&lt;F1105,"Discharge Before Arrival","OK"),"Check Format"))</f>
        <v>Missing Date/Time</v>
      </c>
    </row>
    <row r="1106" spans="1:24" x14ac:dyDescent="0.25">
      <c r="A1106" s="2" t="s">
        <v>1742</v>
      </c>
      <c r="B1106" s="2" t="s">
        <v>353</v>
      </c>
      <c r="C1106" s="3" t="s">
        <v>29</v>
      </c>
      <c r="D1106" s="3" t="s">
        <v>47</v>
      </c>
      <c r="E1106" s="4">
        <v>46008.760416666664</v>
      </c>
      <c r="F1106" s="4">
        <v>46008.748611111114</v>
      </c>
      <c r="G1106" s="4">
        <v>46008.820138888892</v>
      </c>
      <c r="J1106" s="3" t="s">
        <v>62</v>
      </c>
      <c r="K1106" s="5">
        <v>33</v>
      </c>
      <c r="L1106" s="5">
        <v>53</v>
      </c>
      <c r="M1106" s="3" t="s">
        <v>87</v>
      </c>
      <c r="N1106" t="s">
        <v>24</v>
      </c>
      <c r="O1106" s="5">
        <v>6</v>
      </c>
      <c r="P1106" s="3" t="s">
        <v>80</v>
      </c>
      <c r="Q1106" s="2">
        <v>259.91000000000003</v>
      </c>
      <c r="R1106" s="3" t="s">
        <v>26</v>
      </c>
      <c r="S1106">
        <f>COUNTIF(A:A,A1106)</f>
        <v>1</v>
      </c>
      <c r="T1106" t="str">
        <f>IF(OR(H1106="",LOWER(TRIM(H1106&amp;""))="missing",LOWER(TRIM(H1106&amp;""))=""),"Missing/",IFERROR(IF(OR(VALUE(H1106)&lt;0,VALUE(H1106)&gt;110),"Invalid","Valid"),"Check Format"))</f>
        <v>Missing/</v>
      </c>
      <c r="U1106" t="str">
        <f>IF(Raw_Data[[#This Row],[Age_Check]]="Valid",H1106,"")</f>
        <v/>
      </c>
      <c r="V1106" t="str">
        <f>IF(OR(K1106="",UPPER(TRIM(K1106&amp;""))="",LOWER(TRIM(K1106&amp;""))="",LOWER(TRIM(K1106&amp;""))="",LOWER(TRIM(K1106&amp;""))="missing"),"Missing/",IFERROR(IF(VALUE(K1106)&lt;0,"Invalid","Valid"),"Check Format"))</f>
        <v>Valid</v>
      </c>
      <c r="W1106" t="str">
        <f>IF(OR(E1106="",F1106=""),"Missing Date/Time",IFERROR(IF(F1106&gt;E1106,"Arrival After Appointment","OK"),"Check Format"))</f>
        <v>OK</v>
      </c>
      <c r="X1106" t="str">
        <f>IF(OR(F1106="",G1106=""),"Missing Date/Time",IFERROR(IF(G1106&lt;F1106,"Discharge Before Arrival","OK"),"Check Format"))</f>
        <v>OK</v>
      </c>
    </row>
    <row r="1107" spans="1:24" x14ac:dyDescent="0.25">
      <c r="A1107" s="2" t="s">
        <v>1743</v>
      </c>
      <c r="B1107" s="2" t="s">
        <v>996</v>
      </c>
      <c r="D1107" s="3" t="s">
        <v>72</v>
      </c>
      <c r="E1107" s="4">
        <v>45721.607638888891</v>
      </c>
      <c r="F1107" s="4">
        <v>45780.607638888891</v>
      </c>
      <c r="G1107" s="4">
        <v>45780.663888888892</v>
      </c>
      <c r="J1107" s="3" t="s">
        <v>171</v>
      </c>
      <c r="K1107" s="5">
        <v>49</v>
      </c>
      <c r="L1107" s="5">
        <v>32</v>
      </c>
      <c r="M1107" s="3" t="s">
        <v>87</v>
      </c>
      <c r="N1107" t="s">
        <v>91</v>
      </c>
      <c r="P1107" s="3" t="s">
        <v>25</v>
      </c>
      <c r="Q1107" s="2">
        <v>72.63</v>
      </c>
      <c r="R1107" s="3" t="s">
        <v>58</v>
      </c>
      <c r="S1107">
        <f>COUNTIF(A:A,A1107)</f>
        <v>1</v>
      </c>
      <c r="T1107" t="str">
        <f>IF(OR(H1107="",LOWER(TRIM(H1107&amp;""))="missing",LOWER(TRIM(H1107&amp;""))=""),"Missing/",IFERROR(IF(OR(VALUE(H1107)&lt;0,VALUE(H1107)&gt;110),"Invalid","Valid"),"Check Format"))</f>
        <v>Missing/</v>
      </c>
      <c r="U1107" t="str">
        <f>IF(Raw_Data[[#This Row],[Age_Check]]="Valid",H1107,"")</f>
        <v/>
      </c>
      <c r="V1107" t="str">
        <f>IF(OR(K1107="",UPPER(TRIM(K1107&amp;""))="",LOWER(TRIM(K1107&amp;""))="",LOWER(TRIM(K1107&amp;""))="",LOWER(TRIM(K1107&amp;""))="missing"),"Missing/",IFERROR(IF(VALUE(K1107)&lt;0,"Invalid","Valid"),"Check Format"))</f>
        <v>Valid</v>
      </c>
      <c r="W1107" t="str">
        <f>IF(OR(E1107="",F1107=""),"Missing Date/Time",IFERROR(IF(F1107&gt;E1107,"Arrival After Appointment","OK"),"Check Format"))</f>
        <v>Arrival After Appointment</v>
      </c>
      <c r="X1107" t="str">
        <f>IF(OR(F1107="",G1107=""),"Missing Date/Time",IFERROR(IF(G1107&lt;F1107,"Discharge Before Arrival","OK"),"Check Format"))</f>
        <v>OK</v>
      </c>
    </row>
    <row r="1108" spans="1:24" x14ac:dyDescent="0.25">
      <c r="A1108" s="2" t="s">
        <v>1744</v>
      </c>
      <c r="B1108" s="2" t="s">
        <v>199</v>
      </c>
      <c r="C1108" s="3" t="s">
        <v>29</v>
      </c>
      <c r="D1108" s="3" t="s">
        <v>149</v>
      </c>
      <c r="E1108" s="4">
        <v>45786.65625</v>
      </c>
      <c r="F1108" s="4">
        <v>45786.648611111108</v>
      </c>
      <c r="G1108" s="4">
        <v>45786.754861111112</v>
      </c>
      <c r="I1108" s="3" t="s">
        <v>73</v>
      </c>
      <c r="J1108" s="3" t="s">
        <v>2639</v>
      </c>
      <c r="K1108" s="5">
        <v>99</v>
      </c>
      <c r="M1108" s="3" t="s">
        <v>23</v>
      </c>
      <c r="N1108" t="s">
        <v>103</v>
      </c>
      <c r="O1108" s="5">
        <v>5</v>
      </c>
      <c r="P1108" s="3" t="s">
        <v>25</v>
      </c>
      <c r="Q1108" s="2">
        <v>300.3</v>
      </c>
      <c r="R1108" s="3" t="s">
        <v>75</v>
      </c>
      <c r="S1108">
        <f>COUNTIF(A:A,A1108)</f>
        <v>1</v>
      </c>
      <c r="T1108" t="str">
        <f>IF(OR(H1108="",LOWER(TRIM(H1108&amp;""))="missing",LOWER(TRIM(H1108&amp;""))=""),"Missing/",IFERROR(IF(OR(VALUE(H1108)&lt;0,VALUE(H1108)&gt;110),"Invalid","Valid"),"Check Format"))</f>
        <v>Missing/</v>
      </c>
      <c r="U1108" t="str">
        <f>IF(Raw_Data[[#This Row],[Age_Check]]="Valid",H1108,"")</f>
        <v/>
      </c>
      <c r="V1108" t="str">
        <f>IF(OR(K1108="",UPPER(TRIM(K1108&amp;""))="",LOWER(TRIM(K1108&amp;""))="",LOWER(TRIM(K1108&amp;""))="",LOWER(TRIM(K1108&amp;""))="missing"),"Missing/",IFERROR(IF(VALUE(K1108)&lt;0,"Invalid","Valid"),"Check Format"))</f>
        <v>Valid</v>
      </c>
      <c r="W1108" t="str">
        <f>IF(OR(E1108="",F1108=""),"Missing Date/Time",IFERROR(IF(F1108&gt;E1108,"Arrival After Appointment","OK"),"Check Format"))</f>
        <v>OK</v>
      </c>
      <c r="X1108" t="str">
        <f>IF(OR(F1108="",G1108=""),"Missing Date/Time",IFERROR(IF(G1108&lt;F1108,"Discharge Before Arrival","OK"),"Check Format"))</f>
        <v>OK</v>
      </c>
    </row>
    <row r="1109" spans="1:24" x14ac:dyDescent="0.25">
      <c r="A1109" s="2" t="s">
        <v>1745</v>
      </c>
      <c r="B1109" s="2" t="s">
        <v>1746</v>
      </c>
      <c r="D1109" s="3" t="s">
        <v>115</v>
      </c>
      <c r="E1109" s="4">
        <v>45568.704861111109</v>
      </c>
      <c r="F1109" s="4">
        <v>45568.695138888892</v>
      </c>
      <c r="G1109" s="4">
        <v>45568.740972222222</v>
      </c>
      <c r="I1109" s="3" t="s">
        <v>95</v>
      </c>
      <c r="J1109" s="3" t="s">
        <v>171</v>
      </c>
      <c r="K1109" s="5">
        <v>27</v>
      </c>
      <c r="L1109" s="5">
        <v>25</v>
      </c>
      <c r="M1109" s="3" t="s">
        <v>68</v>
      </c>
      <c r="O1109" s="5">
        <v>2</v>
      </c>
      <c r="P1109" s="3" t="s">
        <v>25</v>
      </c>
      <c r="Q1109" s="2">
        <v>163.52000000000001</v>
      </c>
      <c r="R1109" s="3" t="s">
        <v>43</v>
      </c>
      <c r="S1109">
        <f>COUNTIF(A:A,A1109)</f>
        <v>1</v>
      </c>
      <c r="T1109" t="str">
        <f>IF(OR(H1109="",LOWER(TRIM(H1109&amp;""))="missing",LOWER(TRIM(H1109&amp;""))=""),"Missing/",IFERROR(IF(OR(VALUE(H1109)&lt;0,VALUE(H1109)&gt;110),"Invalid","Valid"),"Check Format"))</f>
        <v>Missing/</v>
      </c>
      <c r="U1109" t="str">
        <f>IF(Raw_Data[[#This Row],[Age_Check]]="Valid",H1109,"")</f>
        <v/>
      </c>
      <c r="V1109" t="str">
        <f>IF(OR(K1109="",UPPER(TRIM(K1109&amp;""))="",LOWER(TRIM(K1109&amp;""))="",LOWER(TRIM(K1109&amp;""))="",LOWER(TRIM(K1109&amp;""))="missing"),"Missing/",IFERROR(IF(VALUE(K1109)&lt;0,"Invalid","Valid"),"Check Format"))</f>
        <v>Valid</v>
      </c>
      <c r="W1109" t="str">
        <f>IF(OR(E1109="",F1109=""),"Missing Date/Time",IFERROR(IF(F1109&gt;E1109,"Arrival After Appointment","OK"),"Check Format"))</f>
        <v>OK</v>
      </c>
      <c r="X1109" t="str">
        <f>IF(OR(F1109="",G1109=""),"Missing Date/Time",IFERROR(IF(G1109&lt;F1109,"Discharge Before Arrival","OK"),"Check Format"))</f>
        <v>OK</v>
      </c>
    </row>
    <row r="1110" spans="1:24" x14ac:dyDescent="0.25">
      <c r="A1110" s="2" t="s">
        <v>1747</v>
      </c>
      <c r="B1110" s="2" t="s">
        <v>54</v>
      </c>
      <c r="C1110" s="3" t="s">
        <v>46</v>
      </c>
      <c r="D1110" s="3" t="s">
        <v>61</v>
      </c>
      <c r="E1110" s="4">
        <v>45692.708333333336</v>
      </c>
      <c r="F1110" s="4">
        <v>45692.694444444445</v>
      </c>
      <c r="G1110" s="4">
        <v>45692.783333333333</v>
      </c>
      <c r="H1110" s="5">
        <v>23</v>
      </c>
      <c r="I1110" s="3" t="s">
        <v>73</v>
      </c>
      <c r="J1110" s="3" t="s">
        <v>62</v>
      </c>
      <c r="K1110" s="5">
        <v>80</v>
      </c>
      <c r="L1110" s="5">
        <v>28</v>
      </c>
      <c r="M1110" s="3" t="s">
        <v>50</v>
      </c>
      <c r="N1110" t="s">
        <v>69</v>
      </c>
      <c r="O1110" s="5">
        <v>5</v>
      </c>
      <c r="P1110" s="3" t="s">
        <v>42</v>
      </c>
      <c r="Q1110" s="2">
        <v>75.16</v>
      </c>
      <c r="R1110" s="3" t="s">
        <v>58</v>
      </c>
      <c r="S1110">
        <f>COUNTIF(A:A,A1110)</f>
        <v>1</v>
      </c>
      <c r="T1110" t="str">
        <f>IF(OR(H1110="",LOWER(TRIM(H1110&amp;""))="missing",LOWER(TRIM(H1110&amp;""))=""),"Missing/",IFERROR(IF(OR(VALUE(H1110)&lt;0,VALUE(H1110)&gt;110),"Invalid","Valid"),"Check Format"))</f>
        <v>Valid</v>
      </c>
      <c r="U1110">
        <f>IF(Raw_Data[[#This Row],[Age_Check]]="Valid",H1110,"")</f>
        <v>23</v>
      </c>
      <c r="V1110" t="str">
        <f>IF(OR(K1110="",UPPER(TRIM(K1110&amp;""))="",LOWER(TRIM(K1110&amp;""))="",LOWER(TRIM(K1110&amp;""))="",LOWER(TRIM(K1110&amp;""))="missing"),"Missing/",IFERROR(IF(VALUE(K1110)&lt;0,"Invalid","Valid"),"Check Format"))</f>
        <v>Valid</v>
      </c>
      <c r="W1110" t="str">
        <f>IF(OR(E1110="",F1110=""),"Missing Date/Time",IFERROR(IF(F1110&gt;E1110,"Arrival After Appointment","OK"),"Check Format"))</f>
        <v>OK</v>
      </c>
      <c r="X1110" t="str">
        <f>IF(OR(F1110="",G1110=""),"Missing Date/Time",IFERROR(IF(G1110&lt;F1110,"Discharge Before Arrival","OK"),"Check Format"))</f>
        <v>OK</v>
      </c>
    </row>
    <row r="1111" spans="1:24" x14ac:dyDescent="0.25">
      <c r="A1111" s="2" t="s">
        <v>1748</v>
      </c>
      <c r="B1111" s="2" t="s">
        <v>735</v>
      </c>
      <c r="C1111" s="3" t="s">
        <v>94</v>
      </c>
      <c r="D1111" s="3" t="s">
        <v>55</v>
      </c>
      <c r="E1111" s="4" t="s">
        <v>1749</v>
      </c>
      <c r="F1111" s="4">
        <v>45802.703472222223</v>
      </c>
      <c r="G1111" s="4">
        <v>45802.810416666667</v>
      </c>
      <c r="H1111" s="5">
        <v>46</v>
      </c>
      <c r="I1111" s="3" t="s">
        <v>73</v>
      </c>
      <c r="J1111" s="3" t="s">
        <v>67</v>
      </c>
      <c r="K1111" s="5">
        <v>88</v>
      </c>
      <c r="L1111" s="5">
        <v>44</v>
      </c>
      <c r="M1111" s="3" t="s">
        <v>63</v>
      </c>
      <c r="N1111" t="s">
        <v>74</v>
      </c>
      <c r="P1111" s="3" t="s">
        <v>25</v>
      </c>
      <c r="Q1111" s="2">
        <v>71.7</v>
      </c>
      <c r="R1111" s="3" t="s">
        <v>75</v>
      </c>
      <c r="S1111">
        <f>COUNTIF(A:A,A1111)</f>
        <v>1</v>
      </c>
      <c r="T1111" t="str">
        <f>IF(OR(H1111="",LOWER(TRIM(H1111&amp;""))="missing",LOWER(TRIM(H1111&amp;""))=""),"Missing/",IFERROR(IF(OR(VALUE(H1111)&lt;0,VALUE(H1111)&gt;110),"Invalid","Valid"),"Check Format"))</f>
        <v>Valid</v>
      </c>
      <c r="U1111">
        <f>IF(Raw_Data[[#This Row],[Age_Check]]="Valid",H1111,"")</f>
        <v>46</v>
      </c>
      <c r="V1111" t="str">
        <f>IF(OR(K1111="",UPPER(TRIM(K1111&amp;""))="",LOWER(TRIM(K1111&amp;""))="",LOWER(TRIM(K1111&amp;""))="",LOWER(TRIM(K1111&amp;""))="missing"),"Missing/",IFERROR(IF(VALUE(K1111)&lt;0,"Invalid","Valid"),"Check Format"))</f>
        <v>Valid</v>
      </c>
      <c r="W1111" t="str">
        <f>IF(OR(E1111="",F1111=""),"Missing Date/Time",IFERROR(IF(F1111&gt;E1111,"Arrival After Appointment","OK"),"Check Format"))</f>
        <v>OK</v>
      </c>
      <c r="X1111" t="str">
        <f>IF(OR(F1111="",G1111=""),"Missing Date/Time",IFERROR(IF(G1111&lt;F1111,"Discharge Before Arrival","OK"),"Check Format"))</f>
        <v>OK</v>
      </c>
    </row>
    <row r="1112" spans="1:24" x14ac:dyDescent="0.25">
      <c r="A1112" s="2" t="s">
        <v>1750</v>
      </c>
      <c r="B1112" s="2" t="s">
        <v>123</v>
      </c>
      <c r="D1112" s="3" t="s">
        <v>61</v>
      </c>
      <c r="E1112" s="4">
        <v>45668.576388888891</v>
      </c>
      <c r="F1112" s="4">
        <v>45668.568749999999</v>
      </c>
      <c r="G1112" s="4">
        <v>45668.686111111114</v>
      </c>
      <c r="H1112" s="5">
        <v>47</v>
      </c>
      <c r="I1112" s="3" t="s">
        <v>90</v>
      </c>
      <c r="J1112" s="3" t="s">
        <v>62</v>
      </c>
      <c r="K1112" s="5">
        <v>105</v>
      </c>
      <c r="L1112" s="5">
        <v>53</v>
      </c>
      <c r="M1112" s="3" t="s">
        <v>41</v>
      </c>
      <c r="N1112" t="s">
        <v>100</v>
      </c>
      <c r="P1112" s="3" t="s">
        <v>80</v>
      </c>
      <c r="Q1112" s="2">
        <v>155.74</v>
      </c>
      <c r="R1112" s="3" t="s">
        <v>26</v>
      </c>
      <c r="S1112">
        <f>COUNTIF(A:A,A1112)</f>
        <v>1</v>
      </c>
      <c r="T1112" t="str">
        <f>IF(OR(H1112="",LOWER(TRIM(H1112&amp;""))="missing",LOWER(TRIM(H1112&amp;""))=""),"Missing/",IFERROR(IF(OR(VALUE(H1112)&lt;0,VALUE(H1112)&gt;110),"Invalid","Valid"),"Check Format"))</f>
        <v>Valid</v>
      </c>
      <c r="U1112">
        <f>IF(Raw_Data[[#This Row],[Age_Check]]="Valid",H1112,"")</f>
        <v>47</v>
      </c>
      <c r="V1112" t="str">
        <f>IF(OR(K1112="",UPPER(TRIM(K1112&amp;""))="",LOWER(TRIM(K1112&amp;""))="",LOWER(TRIM(K1112&amp;""))="",LOWER(TRIM(K1112&amp;""))="missing"),"Missing/",IFERROR(IF(VALUE(K1112)&lt;0,"Invalid","Valid"),"Check Format"))</f>
        <v>Valid</v>
      </c>
      <c r="W1112" t="str">
        <f>IF(OR(E1112="",F1112=""),"Missing Date/Time",IFERROR(IF(F1112&gt;E1112,"Arrival After Appointment","OK"),"Check Format"))</f>
        <v>OK</v>
      </c>
      <c r="X1112" t="str">
        <f>IF(OR(F1112="",G1112=""),"Missing Date/Time",IFERROR(IF(G1112&lt;F1112,"Discharge Before Arrival","OK"),"Check Format"))</f>
        <v>OK</v>
      </c>
    </row>
    <row r="1113" spans="1:24" x14ac:dyDescent="0.25">
      <c r="A1113" s="2" t="s">
        <v>1751</v>
      </c>
      <c r="B1113" s="2" t="s">
        <v>173</v>
      </c>
      <c r="C1113" s="3" t="s">
        <v>37</v>
      </c>
      <c r="D1113" s="3" t="s">
        <v>115</v>
      </c>
      <c r="E1113" s="4">
        <v>45818.451388888891</v>
      </c>
      <c r="F1113" s="4">
        <v>45818.431250000001</v>
      </c>
      <c r="G1113" s="4">
        <v>45818.521527777775</v>
      </c>
      <c r="I1113" s="3" t="s">
        <v>95</v>
      </c>
      <c r="J1113" s="3" t="s">
        <v>22</v>
      </c>
      <c r="K1113" s="5">
        <v>60</v>
      </c>
      <c r="L1113" s="5">
        <v>41</v>
      </c>
      <c r="N1113" t="s">
        <v>24</v>
      </c>
      <c r="O1113" s="5">
        <v>0</v>
      </c>
      <c r="Q1113" s="2">
        <v>76.06</v>
      </c>
      <c r="R1113" s="3" t="s">
        <v>75</v>
      </c>
      <c r="S1113">
        <f>COUNTIF(A:A,A1113)</f>
        <v>1</v>
      </c>
      <c r="T1113" t="str">
        <f>IF(OR(H1113="",LOWER(TRIM(H1113&amp;""))="missing",LOWER(TRIM(H1113&amp;""))=""),"Missing/",IFERROR(IF(OR(VALUE(H1113)&lt;0,VALUE(H1113)&gt;110),"Invalid","Valid"),"Check Format"))</f>
        <v>Missing/</v>
      </c>
      <c r="U1113" t="str">
        <f>IF(Raw_Data[[#This Row],[Age_Check]]="Valid",H1113,"")</f>
        <v/>
      </c>
      <c r="V1113" t="str">
        <f>IF(OR(K1113="",UPPER(TRIM(K1113&amp;""))="",LOWER(TRIM(K1113&amp;""))="",LOWER(TRIM(K1113&amp;""))="",LOWER(TRIM(K1113&amp;""))="missing"),"Missing/",IFERROR(IF(VALUE(K1113)&lt;0,"Invalid","Valid"),"Check Format"))</f>
        <v>Valid</v>
      </c>
      <c r="W1113" t="str">
        <f>IF(OR(E1113="",F1113=""),"Missing Date/Time",IFERROR(IF(F1113&gt;E1113,"Arrival After Appointment","OK"),"Check Format"))</f>
        <v>OK</v>
      </c>
      <c r="X1113" t="str">
        <f>IF(OR(F1113="",G1113=""),"Missing Date/Time",IFERROR(IF(G1113&lt;F1113,"Discharge Before Arrival","OK"),"Check Format"))</f>
        <v>OK</v>
      </c>
    </row>
    <row r="1114" spans="1:24" x14ac:dyDescent="0.25">
      <c r="A1114" s="2" t="s">
        <v>1752</v>
      </c>
      <c r="B1114" s="2" t="s">
        <v>1753</v>
      </c>
      <c r="C1114" s="3" t="s">
        <v>46</v>
      </c>
      <c r="D1114" s="3" t="s">
        <v>174</v>
      </c>
      <c r="E1114" s="4">
        <v>45763.600694444445</v>
      </c>
      <c r="F1114" s="4">
        <v>45763.584027777775</v>
      </c>
      <c r="G1114" s="4">
        <v>45763.645138888889</v>
      </c>
      <c r="H1114" s="5">
        <v>145</v>
      </c>
      <c r="I1114" s="3" t="s">
        <v>73</v>
      </c>
      <c r="K1114" s="5">
        <v>59</v>
      </c>
      <c r="L1114" s="5">
        <v>5</v>
      </c>
      <c r="M1114" s="3" t="s">
        <v>63</v>
      </c>
      <c r="N1114" t="s">
        <v>103</v>
      </c>
      <c r="O1114" s="5">
        <v>6</v>
      </c>
      <c r="P1114" s="3" t="s">
        <v>42</v>
      </c>
      <c r="Q1114" s="2">
        <v>215.12</v>
      </c>
      <c r="R1114" s="3" t="s">
        <v>26</v>
      </c>
      <c r="S1114">
        <f>COUNTIF(A:A,A1114)</f>
        <v>1</v>
      </c>
      <c r="T1114" t="str">
        <f>IF(OR(H1114="",LOWER(TRIM(H1114&amp;""))="missing",LOWER(TRIM(H1114&amp;""))=""),"Missing/",IFERROR(IF(OR(VALUE(H1114)&lt;0,VALUE(H1114)&gt;110),"Invalid","Valid"),"Check Format"))</f>
        <v>Invalid</v>
      </c>
      <c r="U1114" t="str">
        <f>IF(Raw_Data[[#This Row],[Age_Check]]="Valid",H1114,"")</f>
        <v/>
      </c>
      <c r="V1114" t="str">
        <f>IF(OR(K1114="",UPPER(TRIM(K1114&amp;""))="",LOWER(TRIM(K1114&amp;""))="",LOWER(TRIM(K1114&amp;""))="",LOWER(TRIM(K1114&amp;""))="missing"),"Missing/",IFERROR(IF(VALUE(K1114)&lt;0,"Invalid","Valid"),"Check Format"))</f>
        <v>Valid</v>
      </c>
      <c r="W1114" t="str">
        <f>IF(OR(E1114="",F1114=""),"Missing Date/Time",IFERROR(IF(F1114&gt;E1114,"Arrival After Appointment","OK"),"Check Format"))</f>
        <v>OK</v>
      </c>
      <c r="X1114" t="str">
        <f>IF(OR(F1114="",G1114=""),"Missing Date/Time",IFERROR(IF(G1114&lt;F1114,"Discharge Before Arrival","OK"),"Check Format"))</f>
        <v>OK</v>
      </c>
    </row>
    <row r="1115" spans="1:24" x14ac:dyDescent="0.25">
      <c r="A1115" s="2" t="s">
        <v>1754</v>
      </c>
      <c r="B1115" s="2" t="s">
        <v>165</v>
      </c>
      <c r="C1115" s="3" t="s">
        <v>46</v>
      </c>
      <c r="D1115" s="3" t="s">
        <v>99</v>
      </c>
      <c r="E1115" s="4">
        <v>45604.5</v>
      </c>
      <c r="F1115" s="4">
        <v>45604.496527777781</v>
      </c>
      <c r="G1115" s="4">
        <v>45604.543055555558</v>
      </c>
      <c r="I1115" s="3" t="s">
        <v>73</v>
      </c>
      <c r="J1115" s="3" t="s">
        <v>150</v>
      </c>
      <c r="K1115" s="5">
        <v>3</v>
      </c>
      <c r="L1115" s="5">
        <v>59</v>
      </c>
      <c r="M1115" s="3" t="s">
        <v>63</v>
      </c>
      <c r="N1115" t="s">
        <v>69</v>
      </c>
      <c r="O1115" s="5">
        <v>6</v>
      </c>
      <c r="P1115" s="3" t="s">
        <v>25</v>
      </c>
      <c r="Q1115" s="2">
        <v>118.59</v>
      </c>
      <c r="R1115" s="3" t="s">
        <v>58</v>
      </c>
      <c r="S1115">
        <f>COUNTIF(A:A,A1115)</f>
        <v>1</v>
      </c>
      <c r="T1115" t="str">
        <f>IF(OR(H1115="",LOWER(TRIM(H1115&amp;""))="missing",LOWER(TRIM(H1115&amp;""))=""),"Missing/",IFERROR(IF(OR(VALUE(H1115)&lt;0,VALUE(H1115)&gt;110),"Invalid","Valid"),"Check Format"))</f>
        <v>Missing/</v>
      </c>
      <c r="U1115" t="str">
        <f>IF(Raw_Data[[#This Row],[Age_Check]]="Valid",H1115,"")</f>
        <v/>
      </c>
      <c r="V1115" t="str">
        <f>IF(OR(K1115="",UPPER(TRIM(K1115&amp;""))="",LOWER(TRIM(K1115&amp;""))="",LOWER(TRIM(K1115&amp;""))="",LOWER(TRIM(K1115&amp;""))="missing"),"Missing/",IFERROR(IF(VALUE(K1115)&lt;0,"Invalid","Valid"),"Check Format"))</f>
        <v>Valid</v>
      </c>
      <c r="W1115" t="str">
        <f>IF(OR(E1115="",F1115=""),"Missing Date/Time",IFERROR(IF(F1115&gt;E1115,"Arrival After Appointment","OK"),"Check Format"))</f>
        <v>OK</v>
      </c>
      <c r="X1115" t="str">
        <f>IF(OR(F1115="",G1115=""),"Missing Date/Time",IFERROR(IF(G1115&lt;F1115,"Discharge Before Arrival","OK"),"Check Format"))</f>
        <v>OK</v>
      </c>
    </row>
    <row r="1116" spans="1:24" x14ac:dyDescent="0.25">
      <c r="A1116" s="2" t="s">
        <v>1755</v>
      </c>
      <c r="B1116" s="2" t="s">
        <v>173</v>
      </c>
      <c r="C1116" s="3" t="s">
        <v>46</v>
      </c>
      <c r="D1116" s="3" t="s">
        <v>47</v>
      </c>
      <c r="E1116" s="4">
        <v>45896.513888888891</v>
      </c>
      <c r="F1116" s="4">
        <v>45896.511111111111</v>
      </c>
      <c r="G1116" s="4">
        <v>45896.5625</v>
      </c>
      <c r="I1116" s="3" t="s">
        <v>95</v>
      </c>
      <c r="J1116" s="3" t="s">
        <v>150</v>
      </c>
      <c r="K1116" s="5">
        <v>50</v>
      </c>
      <c r="L1116" s="5">
        <v>20</v>
      </c>
      <c r="M1116" s="3" t="s">
        <v>68</v>
      </c>
      <c r="N1116" t="s">
        <v>74</v>
      </c>
      <c r="O1116" s="5">
        <v>3</v>
      </c>
      <c r="P1116" s="3" t="s">
        <v>42</v>
      </c>
      <c r="Q1116" s="2">
        <v>121.96</v>
      </c>
      <c r="R1116" s="3" t="s">
        <v>26</v>
      </c>
      <c r="S1116">
        <f>COUNTIF(A:A,A1116)</f>
        <v>1</v>
      </c>
      <c r="T1116" t="str">
        <f>IF(OR(H1116="",LOWER(TRIM(H1116&amp;""))="missing",LOWER(TRIM(H1116&amp;""))=""),"Missing/",IFERROR(IF(OR(VALUE(H1116)&lt;0,VALUE(H1116)&gt;110),"Invalid","Valid"),"Check Format"))</f>
        <v>Missing/</v>
      </c>
      <c r="U1116" t="str">
        <f>IF(Raw_Data[[#This Row],[Age_Check]]="Valid",H1116,"")</f>
        <v/>
      </c>
      <c r="V1116" t="str">
        <f>IF(OR(K1116="",UPPER(TRIM(K1116&amp;""))="",LOWER(TRIM(K1116&amp;""))="",LOWER(TRIM(K1116&amp;""))="",LOWER(TRIM(K1116&amp;""))="missing"),"Missing/",IFERROR(IF(VALUE(K1116)&lt;0,"Invalid","Valid"),"Check Format"))</f>
        <v>Valid</v>
      </c>
      <c r="W1116" t="str">
        <f>IF(OR(E1116="",F1116=""),"Missing Date/Time",IFERROR(IF(F1116&gt;E1116,"Arrival After Appointment","OK"),"Check Format"))</f>
        <v>OK</v>
      </c>
      <c r="X1116" t="str">
        <f>IF(OR(F1116="",G1116=""),"Missing Date/Time",IFERROR(IF(G1116&lt;F1116,"Discharge Before Arrival","OK"),"Check Format"))</f>
        <v>OK</v>
      </c>
    </row>
    <row r="1117" spans="1:24" x14ac:dyDescent="0.25">
      <c r="A1117" s="2" t="s">
        <v>1756</v>
      </c>
      <c r="B1117" s="2" t="s">
        <v>1094</v>
      </c>
      <c r="D1117" s="3" t="s">
        <v>38</v>
      </c>
      <c r="E1117" s="4">
        <v>45358.399305555555</v>
      </c>
      <c r="F1117" s="4">
        <v>45358.381249999999</v>
      </c>
      <c r="G1117" s="4">
        <v>45358.477083333331</v>
      </c>
      <c r="I1117" s="3" t="s">
        <v>73</v>
      </c>
      <c r="J1117" s="3" t="s">
        <v>22</v>
      </c>
      <c r="K1117" s="5">
        <v>107</v>
      </c>
      <c r="L1117" s="5">
        <v>5</v>
      </c>
      <c r="M1117" s="3" t="s">
        <v>23</v>
      </c>
      <c r="N1117" t="s">
        <v>69</v>
      </c>
      <c r="O1117" s="5">
        <v>6</v>
      </c>
      <c r="P1117" s="3" t="s">
        <v>25</v>
      </c>
      <c r="Q1117" s="2">
        <v>247.16</v>
      </c>
      <c r="R1117" s="3" t="s">
        <v>43</v>
      </c>
      <c r="S1117">
        <f>COUNTIF(A:A,A1117)</f>
        <v>1</v>
      </c>
      <c r="T1117" t="str">
        <f>IF(OR(H1117="",LOWER(TRIM(H1117&amp;""))="missing",LOWER(TRIM(H1117&amp;""))=""),"Missing/",IFERROR(IF(OR(VALUE(H1117)&lt;0,VALUE(H1117)&gt;110),"Invalid","Valid"),"Check Format"))</f>
        <v>Missing/</v>
      </c>
      <c r="U1117" t="str">
        <f>IF(Raw_Data[[#This Row],[Age_Check]]="Valid",H1117,"")</f>
        <v/>
      </c>
      <c r="V1117" t="str">
        <f>IF(OR(K1117="",UPPER(TRIM(K1117&amp;""))="",LOWER(TRIM(K1117&amp;""))="",LOWER(TRIM(K1117&amp;""))="",LOWER(TRIM(K1117&amp;""))="missing"),"Missing/",IFERROR(IF(VALUE(K1117)&lt;0,"Invalid","Valid"),"Check Format"))</f>
        <v>Valid</v>
      </c>
      <c r="W1117" t="str">
        <f>IF(OR(E1117="",F1117=""),"Missing Date/Time",IFERROR(IF(F1117&gt;E1117,"Arrival After Appointment","OK"),"Check Format"))</f>
        <v>OK</v>
      </c>
      <c r="X1117" t="str">
        <f>IF(OR(F1117="",G1117=""),"Missing Date/Time",IFERROR(IF(G1117&lt;F1117,"Discharge Before Arrival","OK"),"Check Format"))</f>
        <v>OK</v>
      </c>
    </row>
    <row r="1118" spans="1:24" x14ac:dyDescent="0.25">
      <c r="A1118" s="2" t="s">
        <v>1757</v>
      </c>
      <c r="B1118" s="2" t="s">
        <v>554</v>
      </c>
      <c r="C1118" s="3" t="s">
        <v>29</v>
      </c>
      <c r="D1118" s="3" t="s">
        <v>106</v>
      </c>
      <c r="E1118" s="4">
        <v>45562.402777777781</v>
      </c>
      <c r="F1118" s="4">
        <v>45562.402083333334</v>
      </c>
      <c r="G1118" s="4">
        <v>45562.457638888889</v>
      </c>
      <c r="H1118" s="5">
        <v>145</v>
      </c>
      <c r="I1118" s="3" t="s">
        <v>73</v>
      </c>
      <c r="J1118" s="3" t="s">
        <v>67</v>
      </c>
      <c r="K1118" s="5">
        <v>69</v>
      </c>
      <c r="L1118" s="5">
        <v>10</v>
      </c>
      <c r="M1118" s="3" t="s">
        <v>41</v>
      </c>
      <c r="N1118" t="s">
        <v>91</v>
      </c>
      <c r="O1118" s="5">
        <v>3</v>
      </c>
      <c r="P1118" s="3" t="s">
        <v>25</v>
      </c>
      <c r="Q1118" s="2">
        <v>58.98</v>
      </c>
      <c r="R1118" s="3" t="s">
        <v>58</v>
      </c>
      <c r="S1118">
        <f>COUNTIF(A:A,A1118)</f>
        <v>1</v>
      </c>
      <c r="T1118" t="str">
        <f>IF(OR(H1118="",LOWER(TRIM(H1118&amp;""))="missing",LOWER(TRIM(H1118&amp;""))=""),"Missing/",IFERROR(IF(OR(VALUE(H1118)&lt;0,VALUE(H1118)&gt;110),"Invalid","Valid"),"Check Format"))</f>
        <v>Invalid</v>
      </c>
      <c r="U1118" t="str">
        <f>IF(Raw_Data[[#This Row],[Age_Check]]="Valid",H1118,"")</f>
        <v/>
      </c>
      <c r="V1118" t="str">
        <f>IF(OR(K1118="",UPPER(TRIM(K1118&amp;""))="",LOWER(TRIM(K1118&amp;""))="",LOWER(TRIM(K1118&amp;""))="",LOWER(TRIM(K1118&amp;""))="missing"),"Missing/",IFERROR(IF(VALUE(K1118)&lt;0,"Invalid","Valid"),"Check Format"))</f>
        <v>Valid</v>
      </c>
      <c r="W1118" t="str">
        <f>IF(OR(E1118="",F1118=""),"Missing Date/Time",IFERROR(IF(F1118&gt;E1118,"Arrival After Appointment","OK"),"Check Format"))</f>
        <v>OK</v>
      </c>
      <c r="X1118" t="str">
        <f>IF(OR(F1118="",G1118=""),"Missing Date/Time",IFERROR(IF(G1118&lt;F1118,"Discharge Before Arrival","OK"),"Check Format"))</f>
        <v>OK</v>
      </c>
    </row>
    <row r="1119" spans="1:24" x14ac:dyDescent="0.25">
      <c r="A1119" s="2" t="s">
        <v>1758</v>
      </c>
      <c r="B1119" s="2" t="s">
        <v>1759</v>
      </c>
      <c r="C1119" s="3" t="s">
        <v>46</v>
      </c>
      <c r="D1119" s="3" t="s">
        <v>30</v>
      </c>
      <c r="E1119" s="4">
        <v>45932.364583333336</v>
      </c>
      <c r="F1119" s="4">
        <v>45932.356944444444</v>
      </c>
      <c r="G1119" s="4">
        <v>45932.454861111109</v>
      </c>
      <c r="I1119" s="3" t="s">
        <v>73</v>
      </c>
      <c r="J1119" s="3" t="s">
        <v>2639</v>
      </c>
      <c r="K1119" s="5">
        <v>116</v>
      </c>
      <c r="L1119" s="5">
        <v>14</v>
      </c>
      <c r="M1119" s="3" t="s">
        <v>87</v>
      </c>
      <c r="N1119" t="s">
        <v>69</v>
      </c>
      <c r="O1119" s="5">
        <v>4</v>
      </c>
      <c r="P1119" s="3" t="s">
        <v>25</v>
      </c>
      <c r="Q1119" s="2">
        <v>52.73</v>
      </c>
      <c r="R1119" s="3" t="s">
        <v>58</v>
      </c>
      <c r="S1119">
        <f>COUNTIF(A:A,A1119)</f>
        <v>1</v>
      </c>
      <c r="T1119" t="str">
        <f>IF(OR(H1119="",LOWER(TRIM(H1119&amp;""))="missing",LOWER(TRIM(H1119&amp;""))=""),"Missing/",IFERROR(IF(OR(VALUE(H1119)&lt;0,VALUE(H1119)&gt;110),"Invalid","Valid"),"Check Format"))</f>
        <v>Missing/</v>
      </c>
      <c r="U1119" t="str">
        <f>IF(Raw_Data[[#This Row],[Age_Check]]="Valid",H1119,"")</f>
        <v/>
      </c>
      <c r="V1119" t="str">
        <f>IF(OR(K1119="",UPPER(TRIM(K1119&amp;""))="",LOWER(TRIM(K1119&amp;""))="",LOWER(TRIM(K1119&amp;""))="",LOWER(TRIM(K1119&amp;""))="missing"),"Missing/",IFERROR(IF(VALUE(K1119)&lt;0,"Invalid","Valid"),"Check Format"))</f>
        <v>Valid</v>
      </c>
      <c r="W1119" t="str">
        <f>IF(OR(E1119="",F1119=""),"Missing Date/Time",IFERROR(IF(F1119&gt;E1119,"Arrival After Appointment","OK"),"Check Format"))</f>
        <v>OK</v>
      </c>
      <c r="X1119" t="str">
        <f>IF(OR(F1119="",G1119=""),"Missing Date/Time",IFERROR(IF(G1119&lt;F1119,"Discharge Before Arrival","OK"),"Check Format"))</f>
        <v>OK</v>
      </c>
    </row>
    <row r="1120" spans="1:24" x14ac:dyDescent="0.25">
      <c r="A1120" s="2" t="s">
        <v>1760</v>
      </c>
      <c r="B1120" s="2" t="s">
        <v>1761</v>
      </c>
      <c r="C1120" s="3" t="s">
        <v>94</v>
      </c>
      <c r="D1120" s="3" t="s">
        <v>106</v>
      </c>
      <c r="E1120" s="4">
        <v>45389.378472222219</v>
      </c>
      <c r="F1120" s="4">
        <v>45389.372916666667</v>
      </c>
      <c r="G1120" s="4">
        <v>45389.472222222219</v>
      </c>
      <c r="H1120" s="5">
        <v>22</v>
      </c>
      <c r="J1120" s="3" t="s">
        <v>150</v>
      </c>
      <c r="K1120" s="5">
        <v>97</v>
      </c>
      <c r="L1120" s="5">
        <v>38</v>
      </c>
      <c r="M1120" s="3" t="s">
        <v>63</v>
      </c>
      <c r="P1120" s="3" t="s">
        <v>80</v>
      </c>
      <c r="Q1120" s="2">
        <v>69.97</v>
      </c>
      <c r="R1120" s="3" t="s">
        <v>58</v>
      </c>
      <c r="S1120">
        <f>COUNTIF(A:A,A1120)</f>
        <v>1</v>
      </c>
      <c r="T1120" t="str">
        <f>IF(OR(H1120="",LOWER(TRIM(H1120&amp;""))="missing",LOWER(TRIM(H1120&amp;""))=""),"Missing/",IFERROR(IF(OR(VALUE(H1120)&lt;0,VALUE(H1120)&gt;110),"Invalid","Valid"),"Check Format"))</f>
        <v>Valid</v>
      </c>
      <c r="U1120">
        <f>IF(Raw_Data[[#This Row],[Age_Check]]="Valid",H1120,"")</f>
        <v>22</v>
      </c>
      <c r="V1120" t="str">
        <f>IF(OR(K1120="",UPPER(TRIM(K1120&amp;""))="",LOWER(TRIM(K1120&amp;""))="",LOWER(TRIM(K1120&amp;""))="",LOWER(TRIM(K1120&amp;""))="missing"),"Missing/",IFERROR(IF(VALUE(K1120)&lt;0,"Invalid","Valid"),"Check Format"))</f>
        <v>Valid</v>
      </c>
      <c r="W1120" t="str">
        <f>IF(OR(E1120="",F1120=""),"Missing Date/Time",IFERROR(IF(F1120&gt;E1120,"Arrival After Appointment","OK"),"Check Format"))</f>
        <v>OK</v>
      </c>
      <c r="X1120" t="str">
        <f>IF(OR(F1120="",G1120=""),"Missing Date/Time",IFERROR(IF(G1120&lt;F1120,"Discharge Before Arrival","OK"),"Check Format"))</f>
        <v>OK</v>
      </c>
    </row>
    <row r="1121" spans="1:24" x14ac:dyDescent="0.25">
      <c r="A1121" s="2" t="s">
        <v>1762</v>
      </c>
      <c r="B1121" s="2" t="s">
        <v>307</v>
      </c>
      <c r="C1121" s="3" t="s">
        <v>29</v>
      </c>
      <c r="D1121" s="3" t="s">
        <v>20</v>
      </c>
      <c r="E1121" s="4">
        <v>45531.364583333336</v>
      </c>
      <c r="F1121" s="4">
        <v>45531.355555555558</v>
      </c>
      <c r="G1121" s="4">
        <v>45531.418749999997</v>
      </c>
      <c r="I1121" s="3" t="s">
        <v>95</v>
      </c>
      <c r="J1121" s="3" t="s">
        <v>67</v>
      </c>
      <c r="K1121" s="5">
        <v>65</v>
      </c>
      <c r="L1121" s="5">
        <v>13</v>
      </c>
      <c r="M1121" s="3" t="s">
        <v>41</v>
      </c>
      <c r="O1121" s="5">
        <v>5</v>
      </c>
      <c r="Q1121" s="2">
        <v>233.07</v>
      </c>
      <c r="R1121" s="3" t="s">
        <v>58</v>
      </c>
      <c r="S1121">
        <f>COUNTIF(A:A,A1121)</f>
        <v>1</v>
      </c>
      <c r="T1121" t="str">
        <f>IF(OR(H1121="",LOWER(TRIM(H1121&amp;""))="missing",LOWER(TRIM(H1121&amp;""))=""),"Missing/",IFERROR(IF(OR(VALUE(H1121)&lt;0,VALUE(H1121)&gt;110),"Invalid","Valid"),"Check Format"))</f>
        <v>Missing/</v>
      </c>
      <c r="U1121" t="str">
        <f>IF(Raw_Data[[#This Row],[Age_Check]]="Valid",H1121,"")</f>
        <v/>
      </c>
      <c r="V1121" t="str">
        <f>IF(OR(K1121="",UPPER(TRIM(K1121&amp;""))="",LOWER(TRIM(K1121&amp;""))="",LOWER(TRIM(K1121&amp;""))="",LOWER(TRIM(K1121&amp;""))="missing"),"Missing/",IFERROR(IF(VALUE(K1121)&lt;0,"Invalid","Valid"),"Check Format"))</f>
        <v>Valid</v>
      </c>
      <c r="W1121" t="str">
        <f>IF(OR(E1121="",F1121=""),"Missing Date/Time",IFERROR(IF(F1121&gt;E1121,"Arrival After Appointment","OK"),"Check Format"))</f>
        <v>OK</v>
      </c>
      <c r="X1121" t="str">
        <f>IF(OR(F1121="",G1121=""),"Missing Date/Time",IFERROR(IF(G1121&lt;F1121,"Discharge Before Arrival","OK"),"Check Format"))</f>
        <v>OK</v>
      </c>
    </row>
    <row r="1122" spans="1:24" x14ac:dyDescent="0.25">
      <c r="A1122" s="2" t="s">
        <v>1763</v>
      </c>
      <c r="B1122" s="2" t="s">
        <v>211</v>
      </c>
      <c r="C1122" s="3" t="s">
        <v>29</v>
      </c>
      <c r="D1122" s="3" t="s">
        <v>106</v>
      </c>
      <c r="E1122" s="4">
        <v>45469.430555555555</v>
      </c>
      <c r="F1122" s="4">
        <v>45469.429166666669</v>
      </c>
      <c r="G1122" s="4">
        <v>45469.525000000001</v>
      </c>
      <c r="H1122" s="5">
        <v>83</v>
      </c>
      <c r="I1122" s="3" t="s">
        <v>95</v>
      </c>
      <c r="J1122" s="3" t="s">
        <v>2639</v>
      </c>
      <c r="K1122" s="5">
        <v>95</v>
      </c>
      <c r="L1122" s="5">
        <v>41</v>
      </c>
      <c r="M1122" s="3" t="s">
        <v>41</v>
      </c>
      <c r="P1122" s="3" t="s">
        <v>25</v>
      </c>
      <c r="R1122" s="3" t="s">
        <v>43</v>
      </c>
      <c r="S1122">
        <f>COUNTIF(A:A,A1122)</f>
        <v>1</v>
      </c>
      <c r="T1122" t="str">
        <f>IF(OR(H1122="",LOWER(TRIM(H1122&amp;""))="missing",LOWER(TRIM(H1122&amp;""))=""),"Missing/",IFERROR(IF(OR(VALUE(H1122)&lt;0,VALUE(H1122)&gt;110),"Invalid","Valid"),"Check Format"))</f>
        <v>Valid</v>
      </c>
      <c r="U1122">
        <f>IF(Raw_Data[[#This Row],[Age_Check]]="Valid",H1122,"")</f>
        <v>83</v>
      </c>
      <c r="V1122" t="str">
        <f>IF(OR(K1122="",UPPER(TRIM(K1122&amp;""))="",LOWER(TRIM(K1122&amp;""))="",LOWER(TRIM(K1122&amp;""))="",LOWER(TRIM(K1122&amp;""))="missing"),"Missing/",IFERROR(IF(VALUE(K1122)&lt;0,"Invalid","Valid"),"Check Format"))</f>
        <v>Valid</v>
      </c>
      <c r="W1122" t="str">
        <f>IF(OR(E1122="",F1122=""),"Missing Date/Time",IFERROR(IF(F1122&gt;E1122,"Arrival After Appointment","OK"),"Check Format"))</f>
        <v>OK</v>
      </c>
      <c r="X1122" t="str">
        <f>IF(OR(F1122="",G1122=""),"Missing Date/Time",IFERROR(IF(G1122&lt;F1122,"Discharge Before Arrival","OK"),"Check Format"))</f>
        <v>OK</v>
      </c>
    </row>
    <row r="1123" spans="1:24" x14ac:dyDescent="0.25">
      <c r="A1123" s="2" t="s">
        <v>1764</v>
      </c>
      <c r="B1123" s="2" t="s">
        <v>850</v>
      </c>
      <c r="D1123" s="3" t="s">
        <v>30</v>
      </c>
      <c r="E1123" s="4">
        <v>45544.465277777781</v>
      </c>
      <c r="F1123" s="4">
        <v>45544.45208333333</v>
      </c>
      <c r="J1123" s="3" t="s">
        <v>62</v>
      </c>
      <c r="K1123" s="5">
        <v>70</v>
      </c>
      <c r="L1123" s="5">
        <v>63</v>
      </c>
      <c r="M1123" s="3" t="s">
        <v>87</v>
      </c>
      <c r="N1123" t="s">
        <v>103</v>
      </c>
      <c r="O1123" s="5">
        <v>3</v>
      </c>
      <c r="P1123" s="3" t="s">
        <v>25</v>
      </c>
      <c r="Q1123" s="2">
        <v>144.97</v>
      </c>
      <c r="R1123" s="3" t="s">
        <v>43</v>
      </c>
      <c r="S1123">
        <f>COUNTIF(A:A,A1123)</f>
        <v>1</v>
      </c>
      <c r="T1123" t="str">
        <f>IF(OR(H1123="",LOWER(TRIM(H1123&amp;""))="missing",LOWER(TRIM(H1123&amp;""))=""),"Missing/",IFERROR(IF(OR(VALUE(H1123)&lt;0,VALUE(H1123)&gt;110),"Invalid","Valid"),"Check Format"))</f>
        <v>Missing/</v>
      </c>
      <c r="U1123" t="str">
        <f>IF(Raw_Data[[#This Row],[Age_Check]]="Valid",H1123,"")</f>
        <v/>
      </c>
      <c r="V1123" t="str">
        <f>IF(OR(K1123="",UPPER(TRIM(K1123&amp;""))="",LOWER(TRIM(K1123&amp;""))="",LOWER(TRIM(K1123&amp;""))="",LOWER(TRIM(K1123&amp;""))="missing"),"Missing/",IFERROR(IF(VALUE(K1123)&lt;0,"Invalid","Valid"),"Check Format"))</f>
        <v>Valid</v>
      </c>
      <c r="W1123" t="str">
        <f>IF(OR(E1123="",F1123=""),"Missing Date/Time",IFERROR(IF(F1123&gt;E1123,"Arrival After Appointment","OK"),"Check Format"))</f>
        <v>OK</v>
      </c>
      <c r="X1123" t="str">
        <f>IF(OR(F1123="",G1123=""),"Missing Date/Time",IFERROR(IF(G1123&lt;F1123,"Discharge Before Arrival","OK"),"Check Format"))</f>
        <v>Missing Date/Time</v>
      </c>
    </row>
    <row r="1124" spans="1:24" x14ac:dyDescent="0.25">
      <c r="A1124" s="2" t="s">
        <v>1765</v>
      </c>
      <c r="B1124" s="2" t="s">
        <v>1006</v>
      </c>
      <c r="D1124" s="3" t="s">
        <v>47</v>
      </c>
      <c r="E1124" s="4">
        <v>45673.420138888891</v>
      </c>
      <c r="F1124" s="4">
        <v>45673.405555555553</v>
      </c>
      <c r="G1124" s="4">
        <v>45673.459027777775</v>
      </c>
      <c r="I1124" s="3" t="s">
        <v>95</v>
      </c>
      <c r="J1124" s="3" t="s">
        <v>67</v>
      </c>
      <c r="K1124" s="5">
        <v>16</v>
      </c>
      <c r="L1124" s="5">
        <v>40</v>
      </c>
      <c r="M1124" s="3" t="s">
        <v>23</v>
      </c>
      <c r="N1124" t="s">
        <v>24</v>
      </c>
      <c r="O1124" s="5">
        <v>0</v>
      </c>
      <c r="Q1124" s="2">
        <v>311.88</v>
      </c>
      <c r="R1124" s="3" t="s">
        <v>58</v>
      </c>
      <c r="S1124">
        <f>COUNTIF(A:A,A1124)</f>
        <v>1</v>
      </c>
      <c r="T1124" t="str">
        <f>IF(OR(H1124="",LOWER(TRIM(H1124&amp;""))="missing",LOWER(TRIM(H1124&amp;""))=""),"Missing/",IFERROR(IF(OR(VALUE(H1124)&lt;0,VALUE(H1124)&gt;110),"Invalid","Valid"),"Check Format"))</f>
        <v>Missing/</v>
      </c>
      <c r="U1124" t="str">
        <f>IF(Raw_Data[[#This Row],[Age_Check]]="Valid",H1124,"")</f>
        <v/>
      </c>
      <c r="V1124" t="str">
        <f>IF(OR(K1124="",UPPER(TRIM(K1124&amp;""))="",LOWER(TRIM(K1124&amp;""))="",LOWER(TRIM(K1124&amp;""))="",LOWER(TRIM(K1124&amp;""))="missing"),"Missing/",IFERROR(IF(VALUE(K1124)&lt;0,"Invalid","Valid"),"Check Format"))</f>
        <v>Valid</v>
      </c>
      <c r="W1124" t="str">
        <f>IF(OR(E1124="",F1124=""),"Missing Date/Time",IFERROR(IF(F1124&gt;E1124,"Arrival After Appointment","OK"),"Check Format"))</f>
        <v>OK</v>
      </c>
      <c r="X1124" t="str">
        <f>IF(OR(F1124="",G1124=""),"Missing Date/Time",IFERROR(IF(G1124&lt;F1124,"Discharge Before Arrival","OK"),"Check Format"))</f>
        <v>OK</v>
      </c>
    </row>
    <row r="1125" spans="1:24" x14ac:dyDescent="0.25">
      <c r="A1125" s="2" t="s">
        <v>1766</v>
      </c>
      <c r="B1125" s="2" t="s">
        <v>211</v>
      </c>
      <c r="D1125" s="3" t="s">
        <v>99</v>
      </c>
      <c r="E1125" s="4">
        <v>45406.548611111109</v>
      </c>
      <c r="F1125" s="4">
        <v>45406.535416666666</v>
      </c>
      <c r="G1125" s="4">
        <v>45406.581250000003</v>
      </c>
      <c r="H1125" s="5">
        <v>145</v>
      </c>
      <c r="I1125" s="3" t="s">
        <v>73</v>
      </c>
      <c r="J1125" s="3" t="s">
        <v>62</v>
      </c>
      <c r="K1125" s="5">
        <v>22</v>
      </c>
      <c r="L1125" s="5">
        <v>25</v>
      </c>
      <c r="O1125" s="5">
        <v>0</v>
      </c>
      <c r="P1125" s="3" t="s">
        <v>80</v>
      </c>
      <c r="Q1125" s="2">
        <v>178.32</v>
      </c>
      <c r="R1125" s="3" t="s">
        <v>58</v>
      </c>
      <c r="S1125">
        <f>COUNTIF(A:A,A1125)</f>
        <v>1</v>
      </c>
      <c r="T1125" t="str">
        <f>IF(OR(H1125="",LOWER(TRIM(H1125&amp;""))="missing",LOWER(TRIM(H1125&amp;""))=""),"Missing/",IFERROR(IF(OR(VALUE(H1125)&lt;0,VALUE(H1125)&gt;110),"Invalid","Valid"),"Check Format"))</f>
        <v>Invalid</v>
      </c>
      <c r="U1125" t="str">
        <f>IF(Raw_Data[[#This Row],[Age_Check]]="Valid",H1125,"")</f>
        <v/>
      </c>
      <c r="V1125" t="str">
        <f>IF(OR(K1125="",UPPER(TRIM(K1125&amp;""))="",LOWER(TRIM(K1125&amp;""))="",LOWER(TRIM(K1125&amp;""))="",LOWER(TRIM(K1125&amp;""))="missing"),"Missing/",IFERROR(IF(VALUE(K1125)&lt;0,"Invalid","Valid"),"Check Format"))</f>
        <v>Valid</v>
      </c>
      <c r="W1125" t="str">
        <f>IF(OR(E1125="",F1125=""),"Missing Date/Time",IFERROR(IF(F1125&gt;E1125,"Arrival After Appointment","OK"),"Check Format"))</f>
        <v>OK</v>
      </c>
      <c r="X1125" t="str">
        <f>IF(OR(F1125="",G1125=""),"Missing Date/Time",IFERROR(IF(G1125&lt;F1125,"Discharge Before Arrival","OK"),"Check Format"))</f>
        <v>OK</v>
      </c>
    </row>
    <row r="1126" spans="1:24" x14ac:dyDescent="0.25">
      <c r="A1126" s="2" t="s">
        <v>1767</v>
      </c>
      <c r="B1126" s="2" t="s">
        <v>858</v>
      </c>
      <c r="C1126" s="3" t="s">
        <v>46</v>
      </c>
      <c r="D1126" s="3" t="s">
        <v>174</v>
      </c>
      <c r="E1126" s="4">
        <v>45432.694444444445</v>
      </c>
      <c r="F1126" s="4">
        <v>45432.681250000001</v>
      </c>
      <c r="G1126" s="4">
        <v>45432.743055555555</v>
      </c>
      <c r="I1126" s="3" t="s">
        <v>73</v>
      </c>
      <c r="J1126" s="3" t="s">
        <v>62</v>
      </c>
      <c r="L1126" s="5">
        <v>14</v>
      </c>
      <c r="M1126" s="3" t="s">
        <v>87</v>
      </c>
      <c r="N1126" t="s">
        <v>103</v>
      </c>
      <c r="O1126" s="5">
        <v>3</v>
      </c>
      <c r="P1126" s="3" t="s">
        <v>25</v>
      </c>
      <c r="Q1126" s="2">
        <v>234.75</v>
      </c>
      <c r="R1126" s="3" t="s">
        <v>43</v>
      </c>
      <c r="S1126">
        <f>COUNTIF(A:A,A1126)</f>
        <v>1</v>
      </c>
      <c r="T1126" t="str">
        <f>IF(OR(H1126="",LOWER(TRIM(H1126&amp;""))="missing",LOWER(TRIM(H1126&amp;""))=""),"Missing/",IFERROR(IF(OR(VALUE(H1126)&lt;0,VALUE(H1126)&gt;110),"Invalid","Valid"),"Check Format"))</f>
        <v>Missing/</v>
      </c>
      <c r="U1126" t="str">
        <f>IF(Raw_Data[[#This Row],[Age_Check]]="Valid",H1126,"")</f>
        <v/>
      </c>
      <c r="V1126" t="str">
        <f>IF(OR(K1126="",UPPER(TRIM(K1126&amp;""))="",LOWER(TRIM(K1126&amp;""))="",LOWER(TRIM(K1126&amp;""))="",LOWER(TRIM(K1126&amp;""))="missing"),"Missing/",IFERROR(IF(VALUE(K1126)&lt;0,"Invalid","Valid"),"Check Format"))</f>
        <v>Missing/</v>
      </c>
      <c r="W1126" t="str">
        <f>IF(OR(E1126="",F1126=""),"Missing Date/Time",IFERROR(IF(F1126&gt;E1126,"Arrival After Appointment","OK"),"Check Format"))</f>
        <v>OK</v>
      </c>
      <c r="X1126" t="str">
        <f>IF(OR(F1126="",G1126=""),"Missing Date/Time",IFERROR(IF(G1126&lt;F1126,"Discharge Before Arrival","OK"),"Check Format"))</f>
        <v>OK</v>
      </c>
    </row>
    <row r="1127" spans="1:24" x14ac:dyDescent="0.25">
      <c r="A1127" s="2" t="s">
        <v>1768</v>
      </c>
      <c r="B1127" s="2" t="s">
        <v>359</v>
      </c>
      <c r="C1127" s="3" t="s">
        <v>29</v>
      </c>
      <c r="D1127" s="3" t="s">
        <v>209</v>
      </c>
      <c r="E1127" s="4">
        <v>45865.611111111109</v>
      </c>
      <c r="F1127" s="4">
        <v>45865.607638888891</v>
      </c>
      <c r="G1127" s="4">
        <v>45865.731944444444</v>
      </c>
      <c r="I1127" s="3" t="s">
        <v>95</v>
      </c>
      <c r="J1127" s="3" t="s">
        <v>67</v>
      </c>
      <c r="K1127" s="5">
        <v>139</v>
      </c>
      <c r="L1127" s="5">
        <v>35</v>
      </c>
      <c r="M1127" s="3" t="s">
        <v>87</v>
      </c>
      <c r="N1127" t="s">
        <v>24</v>
      </c>
      <c r="O1127" s="5">
        <v>1</v>
      </c>
      <c r="P1127" s="3" t="s">
        <v>25</v>
      </c>
      <c r="Q1127" s="2">
        <v>72.67</v>
      </c>
      <c r="R1127" s="3" t="s">
        <v>43</v>
      </c>
      <c r="S1127">
        <f>COUNTIF(A:A,A1127)</f>
        <v>1</v>
      </c>
      <c r="T1127" t="str">
        <f>IF(OR(H1127="",LOWER(TRIM(H1127&amp;""))="missing",LOWER(TRIM(H1127&amp;""))=""),"Missing/",IFERROR(IF(OR(VALUE(H1127)&lt;0,VALUE(H1127)&gt;110),"Invalid","Valid"),"Check Format"))</f>
        <v>Missing/</v>
      </c>
      <c r="U1127" t="str">
        <f>IF(Raw_Data[[#This Row],[Age_Check]]="Valid",H1127,"")</f>
        <v/>
      </c>
      <c r="V1127" t="str">
        <f>IF(OR(K1127="",UPPER(TRIM(K1127&amp;""))="",LOWER(TRIM(K1127&amp;""))="",LOWER(TRIM(K1127&amp;""))="",LOWER(TRIM(K1127&amp;""))="missing"),"Missing/",IFERROR(IF(VALUE(K1127)&lt;0,"Invalid","Valid"),"Check Format"))</f>
        <v>Valid</v>
      </c>
      <c r="W1127" t="str">
        <f>IF(OR(E1127="",F1127=""),"Missing Date/Time",IFERROR(IF(F1127&gt;E1127,"Arrival After Appointment","OK"),"Check Format"))</f>
        <v>OK</v>
      </c>
      <c r="X1127" t="str">
        <f>IF(OR(F1127="",G1127=""),"Missing Date/Time",IFERROR(IF(G1127&lt;F1127,"Discharge Before Arrival","OK"),"Check Format"))</f>
        <v>OK</v>
      </c>
    </row>
    <row r="1128" spans="1:24" x14ac:dyDescent="0.25">
      <c r="A1128" s="2" t="s">
        <v>1769</v>
      </c>
      <c r="B1128" s="2" t="s">
        <v>1267</v>
      </c>
      <c r="C1128" s="3" t="s">
        <v>94</v>
      </c>
      <c r="D1128" s="3" t="s">
        <v>115</v>
      </c>
      <c r="E1128" s="4">
        <v>45648.493055555555</v>
      </c>
      <c r="F1128" s="4">
        <v>45648.490972222222</v>
      </c>
      <c r="I1128" s="3" t="s">
        <v>95</v>
      </c>
      <c r="J1128" s="3" t="s">
        <v>62</v>
      </c>
      <c r="K1128" s="5">
        <v>3</v>
      </c>
      <c r="L1128" s="5">
        <v>36</v>
      </c>
      <c r="M1128" s="3" t="s">
        <v>32</v>
      </c>
      <c r="N1128" t="s">
        <v>69</v>
      </c>
      <c r="P1128" s="3" t="s">
        <v>25</v>
      </c>
      <c r="Q1128" s="2">
        <v>233.31</v>
      </c>
      <c r="R1128" s="3" t="s">
        <v>75</v>
      </c>
      <c r="S1128">
        <f>COUNTIF(A:A,A1128)</f>
        <v>1</v>
      </c>
      <c r="T1128" t="str">
        <f>IF(OR(H1128="",LOWER(TRIM(H1128&amp;""))="missing",LOWER(TRIM(H1128&amp;""))=""),"Missing/",IFERROR(IF(OR(VALUE(H1128)&lt;0,VALUE(H1128)&gt;110),"Invalid","Valid"),"Check Format"))</f>
        <v>Missing/</v>
      </c>
      <c r="U1128" t="str">
        <f>IF(Raw_Data[[#This Row],[Age_Check]]="Valid",H1128,"")</f>
        <v/>
      </c>
      <c r="V1128" t="str">
        <f>IF(OR(K1128="",UPPER(TRIM(K1128&amp;""))="",LOWER(TRIM(K1128&amp;""))="",LOWER(TRIM(K1128&amp;""))="",LOWER(TRIM(K1128&amp;""))="missing"),"Missing/",IFERROR(IF(VALUE(K1128)&lt;0,"Invalid","Valid"),"Check Format"))</f>
        <v>Valid</v>
      </c>
      <c r="W1128" t="str">
        <f>IF(OR(E1128="",F1128=""),"Missing Date/Time",IFERROR(IF(F1128&gt;E1128,"Arrival After Appointment","OK"),"Check Format"))</f>
        <v>OK</v>
      </c>
      <c r="X1128" t="str">
        <f>IF(OR(F1128="",G1128=""),"Missing Date/Time",IFERROR(IF(G1128&lt;F1128,"Discharge Before Arrival","OK"),"Check Format"))</f>
        <v>Missing Date/Time</v>
      </c>
    </row>
    <row r="1129" spans="1:24" x14ac:dyDescent="0.25">
      <c r="A1129" s="2" t="s">
        <v>1770</v>
      </c>
      <c r="B1129" s="2" t="s">
        <v>281</v>
      </c>
      <c r="C1129" s="3" t="s">
        <v>37</v>
      </c>
      <c r="D1129" s="3" t="s">
        <v>115</v>
      </c>
      <c r="E1129" s="4">
        <v>45444.295138888891</v>
      </c>
      <c r="F1129" s="4">
        <v>45444.27847222222</v>
      </c>
      <c r="G1129" s="4">
        <v>45444.368055555555</v>
      </c>
      <c r="I1129" s="3" t="s">
        <v>73</v>
      </c>
      <c r="J1129" s="3" t="s">
        <v>2639</v>
      </c>
      <c r="K1129" s="5">
        <v>74</v>
      </c>
      <c r="L1129" s="5">
        <v>31</v>
      </c>
      <c r="O1129" s="5">
        <v>4</v>
      </c>
      <c r="P1129" s="3" t="s">
        <v>80</v>
      </c>
      <c r="Q1129" s="2">
        <v>97.86</v>
      </c>
      <c r="R1129" s="3" t="s">
        <v>43</v>
      </c>
      <c r="S1129">
        <f>COUNTIF(A:A,A1129)</f>
        <v>1</v>
      </c>
      <c r="T1129" t="str">
        <f>IF(OR(H1129="",LOWER(TRIM(H1129&amp;""))="missing",LOWER(TRIM(H1129&amp;""))=""),"Missing/",IFERROR(IF(OR(VALUE(H1129)&lt;0,VALUE(H1129)&gt;110),"Invalid","Valid"),"Check Format"))</f>
        <v>Missing/</v>
      </c>
      <c r="U1129" t="str">
        <f>IF(Raw_Data[[#This Row],[Age_Check]]="Valid",H1129,"")</f>
        <v/>
      </c>
      <c r="V1129" t="str">
        <f>IF(OR(K1129="",UPPER(TRIM(K1129&amp;""))="",LOWER(TRIM(K1129&amp;""))="",LOWER(TRIM(K1129&amp;""))="",LOWER(TRIM(K1129&amp;""))="missing"),"Missing/",IFERROR(IF(VALUE(K1129)&lt;0,"Invalid","Valid"),"Check Format"))</f>
        <v>Valid</v>
      </c>
      <c r="W1129" t="str">
        <f>IF(OR(E1129="",F1129=""),"Missing Date/Time",IFERROR(IF(F1129&gt;E1129,"Arrival After Appointment","OK"),"Check Format"))</f>
        <v>OK</v>
      </c>
      <c r="X1129" t="str">
        <f>IF(OR(F1129="",G1129=""),"Missing Date/Time",IFERROR(IF(G1129&lt;F1129,"Discharge Before Arrival","OK"),"Check Format"))</f>
        <v>OK</v>
      </c>
    </row>
    <row r="1130" spans="1:24" x14ac:dyDescent="0.25">
      <c r="A1130" s="2" t="s">
        <v>1771</v>
      </c>
      <c r="B1130" s="2" t="s">
        <v>351</v>
      </c>
      <c r="D1130" s="3" t="s">
        <v>99</v>
      </c>
      <c r="E1130" s="4">
        <v>45956.774305555555</v>
      </c>
      <c r="F1130" s="4">
        <v>45956.761805555558</v>
      </c>
      <c r="G1130" s="4">
        <v>45956.820138888892</v>
      </c>
      <c r="I1130" s="3" t="s">
        <v>73</v>
      </c>
      <c r="J1130" s="3" t="s">
        <v>2639</v>
      </c>
      <c r="K1130" s="5">
        <v>19</v>
      </c>
      <c r="L1130" s="5">
        <v>47</v>
      </c>
      <c r="M1130" s="3" t="s">
        <v>68</v>
      </c>
      <c r="N1130" t="s">
        <v>74</v>
      </c>
      <c r="P1130" s="3" t="s">
        <v>80</v>
      </c>
      <c r="Q1130" s="2">
        <v>218.1</v>
      </c>
      <c r="R1130" s="3" t="s">
        <v>58</v>
      </c>
      <c r="S1130">
        <f>COUNTIF(A:A,A1130)</f>
        <v>1</v>
      </c>
      <c r="T1130" t="str">
        <f>IF(OR(H1130="",LOWER(TRIM(H1130&amp;""))="missing",LOWER(TRIM(H1130&amp;""))=""),"Missing/",IFERROR(IF(OR(VALUE(H1130)&lt;0,VALUE(H1130)&gt;110),"Invalid","Valid"),"Check Format"))</f>
        <v>Missing/</v>
      </c>
      <c r="U1130" t="str">
        <f>IF(Raw_Data[[#This Row],[Age_Check]]="Valid",H1130,"")</f>
        <v/>
      </c>
      <c r="V1130" t="str">
        <f>IF(OR(K1130="",UPPER(TRIM(K1130&amp;""))="",LOWER(TRIM(K1130&amp;""))="",LOWER(TRIM(K1130&amp;""))="",LOWER(TRIM(K1130&amp;""))="missing"),"Missing/",IFERROR(IF(VALUE(K1130)&lt;0,"Invalid","Valid"),"Check Format"))</f>
        <v>Valid</v>
      </c>
      <c r="W1130" t="str">
        <f>IF(OR(E1130="",F1130=""),"Missing Date/Time",IFERROR(IF(F1130&gt;E1130,"Arrival After Appointment","OK"),"Check Format"))</f>
        <v>OK</v>
      </c>
      <c r="X1130" t="str">
        <f>IF(OR(F1130="",G1130=""),"Missing Date/Time",IFERROR(IF(G1130&lt;F1130,"Discharge Before Arrival","OK"),"Check Format"))</f>
        <v>OK</v>
      </c>
    </row>
    <row r="1131" spans="1:24" x14ac:dyDescent="0.25">
      <c r="A1131" s="2" t="s">
        <v>1772</v>
      </c>
      <c r="B1131" s="2" t="s">
        <v>1155</v>
      </c>
      <c r="C1131" s="3" t="s">
        <v>29</v>
      </c>
      <c r="D1131" s="3" t="s">
        <v>61</v>
      </c>
      <c r="E1131" s="4">
        <v>45995.354166666664</v>
      </c>
      <c r="F1131" s="4">
        <v>45759.35</v>
      </c>
      <c r="G1131" s="4">
        <v>45759.397916666669</v>
      </c>
      <c r="H1131" s="5">
        <v>67</v>
      </c>
      <c r="I1131" s="3" t="s">
        <v>73</v>
      </c>
      <c r="J1131" s="3" t="s">
        <v>2639</v>
      </c>
      <c r="K1131" s="5">
        <v>3</v>
      </c>
      <c r="L1131" s="5">
        <v>60</v>
      </c>
      <c r="M1131" s="3" t="s">
        <v>23</v>
      </c>
      <c r="P1131" s="3" t="s">
        <v>25</v>
      </c>
      <c r="Q1131" s="2">
        <v>190.93</v>
      </c>
      <c r="R1131" s="3" t="s">
        <v>58</v>
      </c>
      <c r="S1131">
        <f>COUNTIF(A:A,A1131)</f>
        <v>1</v>
      </c>
      <c r="T1131" t="str">
        <f>IF(OR(H1131="",LOWER(TRIM(H1131&amp;""))="missing",LOWER(TRIM(H1131&amp;""))=""),"Missing/",IFERROR(IF(OR(VALUE(H1131)&lt;0,VALUE(H1131)&gt;110),"Invalid","Valid"),"Check Format"))</f>
        <v>Valid</v>
      </c>
      <c r="U1131">
        <f>IF(Raw_Data[[#This Row],[Age_Check]]="Valid",H1131,"")</f>
        <v>67</v>
      </c>
      <c r="V1131" t="str">
        <f>IF(OR(K1131="",UPPER(TRIM(K1131&amp;""))="",LOWER(TRIM(K1131&amp;""))="",LOWER(TRIM(K1131&amp;""))="",LOWER(TRIM(K1131&amp;""))="missing"),"Missing/",IFERROR(IF(VALUE(K1131)&lt;0,"Invalid","Valid"),"Check Format"))</f>
        <v>Valid</v>
      </c>
      <c r="W1131" t="str">
        <f>IF(OR(E1131="",F1131=""),"Missing Date/Time",IFERROR(IF(F1131&gt;E1131,"Arrival After Appointment","OK"),"Check Format"))</f>
        <v>OK</v>
      </c>
      <c r="X1131" t="str">
        <f>IF(OR(F1131="",G1131=""),"Missing Date/Time",IFERROR(IF(G1131&lt;F1131,"Discharge Before Arrival","OK"),"Check Format"))</f>
        <v>OK</v>
      </c>
    </row>
    <row r="1132" spans="1:24" x14ac:dyDescent="0.25">
      <c r="A1132" s="2" t="s">
        <v>1773</v>
      </c>
      <c r="B1132" s="2" t="s">
        <v>1394</v>
      </c>
      <c r="C1132" s="3" t="s">
        <v>37</v>
      </c>
      <c r="D1132" s="3" t="s">
        <v>174</v>
      </c>
      <c r="E1132" s="4">
        <v>45638.545138888891</v>
      </c>
      <c r="F1132" s="4">
        <v>45638.529166666667</v>
      </c>
      <c r="G1132" s="4">
        <v>45638.623611111114</v>
      </c>
      <c r="J1132" s="3" t="s">
        <v>171</v>
      </c>
      <c r="K1132" s="5">
        <v>106</v>
      </c>
      <c r="L1132" s="5">
        <v>7</v>
      </c>
      <c r="N1132" t="s">
        <v>69</v>
      </c>
      <c r="O1132" s="5">
        <v>6</v>
      </c>
      <c r="P1132" s="3" t="s">
        <v>25</v>
      </c>
      <c r="Q1132" s="2">
        <v>35.729999999999997</v>
      </c>
      <c r="R1132" s="3" t="s">
        <v>43</v>
      </c>
      <c r="S1132">
        <f>COUNTIF(A:A,A1132)</f>
        <v>1</v>
      </c>
      <c r="T1132" t="str">
        <f>IF(OR(H1132="",LOWER(TRIM(H1132&amp;""))="missing",LOWER(TRIM(H1132&amp;""))=""),"Missing/",IFERROR(IF(OR(VALUE(H1132)&lt;0,VALUE(H1132)&gt;110),"Invalid","Valid"),"Check Format"))</f>
        <v>Missing/</v>
      </c>
      <c r="U1132" t="str">
        <f>IF(Raw_Data[[#This Row],[Age_Check]]="Valid",H1132,"")</f>
        <v/>
      </c>
      <c r="V1132" t="str">
        <f>IF(OR(K1132="",UPPER(TRIM(K1132&amp;""))="",LOWER(TRIM(K1132&amp;""))="",LOWER(TRIM(K1132&amp;""))="",LOWER(TRIM(K1132&amp;""))="missing"),"Missing/",IFERROR(IF(VALUE(K1132)&lt;0,"Invalid","Valid"),"Check Format"))</f>
        <v>Valid</v>
      </c>
      <c r="W1132" t="str">
        <f>IF(OR(E1132="",F1132=""),"Missing Date/Time",IFERROR(IF(F1132&gt;E1132,"Arrival After Appointment","OK"),"Check Format"))</f>
        <v>OK</v>
      </c>
      <c r="X1132" t="str">
        <f>IF(OR(F1132="",G1132=""),"Missing Date/Time",IFERROR(IF(G1132&lt;F1132,"Discharge Before Arrival","OK"),"Check Format"))</f>
        <v>OK</v>
      </c>
    </row>
    <row r="1133" spans="1:24" x14ac:dyDescent="0.25">
      <c r="A1133" s="2" t="s">
        <v>1774</v>
      </c>
      <c r="B1133" s="2" t="s">
        <v>490</v>
      </c>
      <c r="D1133" s="3" t="s">
        <v>30</v>
      </c>
      <c r="E1133" s="4" t="s">
        <v>1775</v>
      </c>
      <c r="F1133" s="4">
        <v>45743.623611111114</v>
      </c>
      <c r="G1133" s="4">
        <v>45743.7</v>
      </c>
      <c r="I1133" s="3" t="s">
        <v>90</v>
      </c>
      <c r="J1133" s="3" t="s">
        <v>67</v>
      </c>
      <c r="K1133" s="5">
        <v>52</v>
      </c>
      <c r="L1133" s="5">
        <v>41</v>
      </c>
      <c r="M1133" s="3" t="s">
        <v>87</v>
      </c>
      <c r="N1133" t="s">
        <v>69</v>
      </c>
      <c r="P1133" s="3" t="s">
        <v>42</v>
      </c>
      <c r="Q1133" s="2">
        <v>288.70999999999998</v>
      </c>
      <c r="R1133" s="3" t="s">
        <v>75</v>
      </c>
      <c r="S1133">
        <f>COUNTIF(A:A,A1133)</f>
        <v>1</v>
      </c>
      <c r="T1133" t="str">
        <f>IF(OR(H1133="",LOWER(TRIM(H1133&amp;""))="missing",LOWER(TRIM(H1133&amp;""))=""),"Missing/",IFERROR(IF(OR(VALUE(H1133)&lt;0,VALUE(H1133)&gt;110),"Invalid","Valid"),"Check Format"))</f>
        <v>Missing/</v>
      </c>
      <c r="U1133" t="str">
        <f>IF(Raw_Data[[#This Row],[Age_Check]]="Valid",H1133,"")</f>
        <v/>
      </c>
      <c r="V1133" t="str">
        <f>IF(OR(K1133="",UPPER(TRIM(K1133&amp;""))="",LOWER(TRIM(K1133&amp;""))="",LOWER(TRIM(K1133&amp;""))="",LOWER(TRIM(K1133&amp;""))="missing"),"Missing/",IFERROR(IF(VALUE(K1133)&lt;0,"Invalid","Valid"),"Check Format"))</f>
        <v>Valid</v>
      </c>
      <c r="W1133" t="str">
        <f>IF(OR(E1133="",F1133=""),"Missing Date/Time",IFERROR(IF(F1133&gt;E1133,"Arrival After Appointment","OK"),"Check Format"))</f>
        <v>OK</v>
      </c>
      <c r="X1133" t="str">
        <f>IF(OR(F1133="",G1133=""),"Missing Date/Time",IFERROR(IF(G1133&lt;F1133,"Discharge Before Arrival","OK"),"Check Format"))</f>
        <v>OK</v>
      </c>
    </row>
    <row r="1134" spans="1:24" x14ac:dyDescent="0.25">
      <c r="A1134" s="2" t="s">
        <v>1776</v>
      </c>
      <c r="B1134" s="2" t="s">
        <v>1777</v>
      </c>
      <c r="C1134" s="3" t="s">
        <v>46</v>
      </c>
      <c r="D1134" s="3" t="s">
        <v>72</v>
      </c>
      <c r="E1134" s="4">
        <v>45692.548611111109</v>
      </c>
      <c r="F1134" s="4">
        <v>45692.53402777778</v>
      </c>
      <c r="H1134" s="5">
        <v>58</v>
      </c>
      <c r="I1134" s="3" t="s">
        <v>90</v>
      </c>
      <c r="J1134" s="3" t="s">
        <v>62</v>
      </c>
      <c r="K1134" s="5">
        <v>82</v>
      </c>
      <c r="L1134" s="5">
        <v>27</v>
      </c>
      <c r="M1134" s="3" t="s">
        <v>68</v>
      </c>
      <c r="N1134" t="s">
        <v>100</v>
      </c>
      <c r="P1134" s="3" t="s">
        <v>25</v>
      </c>
      <c r="Q1134" s="2">
        <v>62.89</v>
      </c>
      <c r="R1134" s="3" t="s">
        <v>26</v>
      </c>
      <c r="S1134">
        <f>COUNTIF(A:A,A1134)</f>
        <v>1</v>
      </c>
      <c r="T1134" t="str">
        <f>IF(OR(H1134="",LOWER(TRIM(H1134&amp;""))="missing",LOWER(TRIM(H1134&amp;""))=""),"Missing/",IFERROR(IF(OR(VALUE(H1134)&lt;0,VALUE(H1134)&gt;110),"Invalid","Valid"),"Check Format"))</f>
        <v>Valid</v>
      </c>
      <c r="U1134">
        <f>IF(Raw_Data[[#This Row],[Age_Check]]="Valid",H1134,"")</f>
        <v>58</v>
      </c>
      <c r="V1134" t="str">
        <f>IF(OR(K1134="",UPPER(TRIM(K1134&amp;""))="",LOWER(TRIM(K1134&amp;""))="",LOWER(TRIM(K1134&amp;""))="",LOWER(TRIM(K1134&amp;""))="missing"),"Missing/",IFERROR(IF(VALUE(K1134)&lt;0,"Invalid","Valid"),"Check Format"))</f>
        <v>Valid</v>
      </c>
      <c r="W1134" t="str">
        <f>IF(OR(E1134="",F1134=""),"Missing Date/Time",IFERROR(IF(F1134&gt;E1134,"Arrival After Appointment","OK"),"Check Format"))</f>
        <v>OK</v>
      </c>
      <c r="X1134" t="str">
        <f>IF(OR(F1134="",G1134=""),"Missing Date/Time",IFERROR(IF(G1134&lt;F1134,"Discharge Before Arrival","OK"),"Check Format"))</f>
        <v>Missing Date/Time</v>
      </c>
    </row>
    <row r="1135" spans="1:24" x14ac:dyDescent="0.25">
      <c r="A1135" s="2" t="s">
        <v>1778</v>
      </c>
      <c r="B1135" s="2" t="s">
        <v>889</v>
      </c>
      <c r="C1135" s="3" t="s">
        <v>94</v>
      </c>
      <c r="D1135" s="3" t="s">
        <v>106</v>
      </c>
      <c r="E1135" s="4">
        <v>45660.482638888891</v>
      </c>
      <c r="F1135" s="4">
        <v>45717.470138888886</v>
      </c>
      <c r="G1135" s="4">
        <v>45717.5625</v>
      </c>
      <c r="H1135" s="5">
        <v>65</v>
      </c>
      <c r="I1135" s="3" t="s">
        <v>73</v>
      </c>
      <c r="J1135" s="3" t="s">
        <v>67</v>
      </c>
      <c r="K1135" s="5">
        <v>101</v>
      </c>
      <c r="L1135" s="5">
        <v>14</v>
      </c>
      <c r="O1135" s="5">
        <v>5</v>
      </c>
      <c r="P1135" s="3" t="s">
        <v>25</v>
      </c>
      <c r="Q1135" s="2">
        <v>275.27999999999997</v>
      </c>
      <c r="R1135" s="3" t="s">
        <v>43</v>
      </c>
      <c r="S1135">
        <f>COUNTIF(A:A,A1135)</f>
        <v>1</v>
      </c>
      <c r="T1135" t="str">
        <f>IF(OR(H1135="",LOWER(TRIM(H1135&amp;""))="missing",LOWER(TRIM(H1135&amp;""))=""),"Missing/",IFERROR(IF(OR(VALUE(H1135)&lt;0,VALUE(H1135)&gt;110),"Invalid","Valid"),"Check Format"))</f>
        <v>Valid</v>
      </c>
      <c r="U1135">
        <f>IF(Raw_Data[[#This Row],[Age_Check]]="Valid",H1135,"")</f>
        <v>65</v>
      </c>
      <c r="V1135" t="str">
        <f>IF(OR(K1135="",UPPER(TRIM(K1135&amp;""))="",LOWER(TRIM(K1135&amp;""))="",LOWER(TRIM(K1135&amp;""))="",LOWER(TRIM(K1135&amp;""))="missing"),"Missing/",IFERROR(IF(VALUE(K1135)&lt;0,"Invalid","Valid"),"Check Format"))</f>
        <v>Valid</v>
      </c>
      <c r="W1135" t="str">
        <f>IF(OR(E1135="",F1135=""),"Missing Date/Time",IFERROR(IF(F1135&gt;E1135,"Arrival After Appointment","OK"),"Check Format"))</f>
        <v>Arrival After Appointment</v>
      </c>
      <c r="X1135" t="str">
        <f>IF(OR(F1135="",G1135=""),"Missing Date/Time",IFERROR(IF(G1135&lt;F1135,"Discharge Before Arrival","OK"),"Check Format"))</f>
        <v>OK</v>
      </c>
    </row>
    <row r="1136" spans="1:24" x14ac:dyDescent="0.25">
      <c r="A1136" s="2" t="s">
        <v>1779</v>
      </c>
      <c r="B1136" s="2" t="s">
        <v>825</v>
      </c>
      <c r="C1136" s="3" t="s">
        <v>94</v>
      </c>
      <c r="D1136" s="3" t="s">
        <v>38</v>
      </c>
      <c r="E1136" s="4" t="s">
        <v>1780</v>
      </c>
      <c r="F1136" s="4">
        <v>45703.745138888888</v>
      </c>
      <c r="G1136" s="4">
        <v>45703.835416666669</v>
      </c>
      <c r="I1136" s="3" t="s">
        <v>95</v>
      </c>
      <c r="J1136" s="3" t="s">
        <v>62</v>
      </c>
      <c r="K1136" s="5">
        <v>48</v>
      </c>
      <c r="L1136" s="5">
        <v>60</v>
      </c>
      <c r="M1136" s="3" t="s">
        <v>32</v>
      </c>
      <c r="N1136" t="s">
        <v>74</v>
      </c>
      <c r="O1136" s="5">
        <v>6</v>
      </c>
      <c r="P1136" s="3" t="s">
        <v>80</v>
      </c>
      <c r="Q1136" s="2">
        <v>199.31</v>
      </c>
      <c r="R1136" s="3" t="s">
        <v>58</v>
      </c>
      <c r="S1136">
        <f>COUNTIF(A:A,A1136)</f>
        <v>1</v>
      </c>
      <c r="T1136" t="str">
        <f>IF(OR(H1136="",LOWER(TRIM(H1136&amp;""))="missing",LOWER(TRIM(H1136&amp;""))=""),"Missing/",IFERROR(IF(OR(VALUE(H1136)&lt;0,VALUE(H1136)&gt;110),"Invalid","Valid"),"Check Format"))</f>
        <v>Missing/</v>
      </c>
      <c r="U1136" t="str">
        <f>IF(Raw_Data[[#This Row],[Age_Check]]="Valid",H1136,"")</f>
        <v/>
      </c>
      <c r="V1136" t="str">
        <f>IF(OR(K1136="",UPPER(TRIM(K1136&amp;""))="",LOWER(TRIM(K1136&amp;""))="",LOWER(TRIM(K1136&amp;""))="",LOWER(TRIM(K1136&amp;""))="missing"),"Missing/",IFERROR(IF(VALUE(K1136)&lt;0,"Invalid","Valid"),"Check Format"))</f>
        <v>Valid</v>
      </c>
      <c r="W1136" t="str">
        <f>IF(OR(E1136="",F1136=""),"Missing Date/Time",IFERROR(IF(F1136&gt;E1136,"Arrival After Appointment","OK"),"Check Format"))</f>
        <v>OK</v>
      </c>
      <c r="X1136" t="str">
        <f>IF(OR(F1136="",G1136=""),"Missing Date/Time",IFERROR(IF(G1136&lt;F1136,"Discharge Before Arrival","OK"),"Check Format"))</f>
        <v>OK</v>
      </c>
    </row>
    <row r="1137" spans="1:24" x14ac:dyDescent="0.25">
      <c r="A1137" s="2" t="s">
        <v>1781</v>
      </c>
      <c r="B1137" s="2" t="s">
        <v>1782</v>
      </c>
      <c r="C1137" s="3" t="s">
        <v>94</v>
      </c>
      <c r="D1137" s="3" t="s">
        <v>66</v>
      </c>
      <c r="E1137" s="4">
        <v>45994.40625</v>
      </c>
      <c r="F1137" s="4">
        <v>45994.404166666667</v>
      </c>
      <c r="G1137" s="4">
        <v>45994.458333333336</v>
      </c>
      <c r="H1137" s="5">
        <v>145</v>
      </c>
      <c r="I1137" s="3" t="s">
        <v>73</v>
      </c>
      <c r="J1137" s="3" t="s">
        <v>62</v>
      </c>
      <c r="K1137" s="5">
        <v>53</v>
      </c>
      <c r="L1137" s="5">
        <v>22</v>
      </c>
      <c r="M1137" s="3" t="s">
        <v>32</v>
      </c>
      <c r="O1137" s="5">
        <v>0</v>
      </c>
      <c r="P1137" s="3" t="s">
        <v>25</v>
      </c>
      <c r="Q1137" s="2">
        <v>117.73</v>
      </c>
      <c r="R1137" s="3" t="s">
        <v>26</v>
      </c>
      <c r="S1137">
        <f>COUNTIF(A:A,A1137)</f>
        <v>1</v>
      </c>
      <c r="T1137" t="str">
        <f>IF(OR(H1137="",LOWER(TRIM(H1137&amp;""))="missing",LOWER(TRIM(H1137&amp;""))=""),"Missing/",IFERROR(IF(OR(VALUE(H1137)&lt;0,VALUE(H1137)&gt;110),"Invalid","Valid"),"Check Format"))</f>
        <v>Invalid</v>
      </c>
      <c r="U1137" t="str">
        <f>IF(Raw_Data[[#This Row],[Age_Check]]="Valid",H1137,"")</f>
        <v/>
      </c>
      <c r="V1137" t="str">
        <f>IF(OR(K1137="",UPPER(TRIM(K1137&amp;""))="",LOWER(TRIM(K1137&amp;""))="",LOWER(TRIM(K1137&amp;""))="",LOWER(TRIM(K1137&amp;""))="missing"),"Missing/",IFERROR(IF(VALUE(K1137)&lt;0,"Invalid","Valid"),"Check Format"))</f>
        <v>Valid</v>
      </c>
      <c r="W1137" t="str">
        <f>IF(OR(E1137="",F1137=""),"Missing Date/Time",IFERROR(IF(F1137&gt;E1137,"Arrival After Appointment","OK"),"Check Format"))</f>
        <v>OK</v>
      </c>
      <c r="X1137" t="str">
        <f>IF(OR(F1137="",G1137=""),"Missing Date/Time",IFERROR(IF(G1137&lt;F1137,"Discharge Before Arrival","OK"),"Check Format"))</f>
        <v>OK</v>
      </c>
    </row>
    <row r="1138" spans="1:24" x14ac:dyDescent="0.25">
      <c r="A1138" s="2" t="s">
        <v>1783</v>
      </c>
      <c r="B1138" s="2" t="s">
        <v>1784</v>
      </c>
      <c r="D1138" s="3" t="s">
        <v>209</v>
      </c>
      <c r="E1138" s="4">
        <v>45699.489583333336</v>
      </c>
      <c r="F1138" s="4">
        <v>45963.488888888889</v>
      </c>
      <c r="G1138" s="4">
        <v>45963.5625</v>
      </c>
      <c r="I1138" s="3" t="s">
        <v>73</v>
      </c>
      <c r="J1138" s="3" t="s">
        <v>62</v>
      </c>
      <c r="K1138" s="5">
        <v>72</v>
      </c>
      <c r="L1138" s="5">
        <v>33</v>
      </c>
      <c r="M1138" s="3" t="s">
        <v>23</v>
      </c>
      <c r="N1138" t="s">
        <v>103</v>
      </c>
      <c r="P1138" s="3" t="s">
        <v>80</v>
      </c>
      <c r="Q1138" s="2">
        <v>97.5</v>
      </c>
      <c r="R1138" s="3" t="s">
        <v>58</v>
      </c>
      <c r="S1138">
        <f>COUNTIF(A:A,A1138)</f>
        <v>1</v>
      </c>
      <c r="T1138" t="str">
        <f>IF(OR(H1138="",LOWER(TRIM(H1138&amp;""))="missing",LOWER(TRIM(H1138&amp;""))=""),"Missing/",IFERROR(IF(OR(VALUE(H1138)&lt;0,VALUE(H1138)&gt;110),"Invalid","Valid"),"Check Format"))</f>
        <v>Missing/</v>
      </c>
      <c r="U1138" t="str">
        <f>IF(Raw_Data[[#This Row],[Age_Check]]="Valid",H1138,"")</f>
        <v/>
      </c>
      <c r="V1138" t="str">
        <f>IF(OR(K1138="",UPPER(TRIM(K1138&amp;""))="",LOWER(TRIM(K1138&amp;""))="",LOWER(TRIM(K1138&amp;""))="",LOWER(TRIM(K1138&amp;""))="missing"),"Missing/",IFERROR(IF(VALUE(K1138)&lt;0,"Invalid","Valid"),"Check Format"))</f>
        <v>Valid</v>
      </c>
      <c r="W1138" t="str">
        <f>IF(OR(E1138="",F1138=""),"Missing Date/Time",IFERROR(IF(F1138&gt;E1138,"Arrival After Appointment","OK"),"Check Format"))</f>
        <v>Arrival After Appointment</v>
      </c>
      <c r="X1138" t="str">
        <f>IF(OR(F1138="",G1138=""),"Missing Date/Time",IFERROR(IF(G1138&lt;F1138,"Discharge Before Arrival","OK"),"Check Format"))</f>
        <v>OK</v>
      </c>
    </row>
    <row r="1139" spans="1:24" x14ac:dyDescent="0.25">
      <c r="A1139" s="2" t="s">
        <v>1785</v>
      </c>
      <c r="B1139" s="2" t="s">
        <v>564</v>
      </c>
      <c r="C1139" s="3" t="s">
        <v>37</v>
      </c>
      <c r="D1139" s="3" t="s">
        <v>20</v>
      </c>
      <c r="E1139" s="4">
        <v>45566.545138888891</v>
      </c>
      <c r="F1139" s="4">
        <v>45301.536111111112</v>
      </c>
      <c r="G1139" s="4">
        <v>45301.604166666664</v>
      </c>
      <c r="H1139" s="5">
        <v>145</v>
      </c>
      <c r="I1139" s="3" t="s">
        <v>73</v>
      </c>
      <c r="J1139" s="3" t="s">
        <v>62</v>
      </c>
      <c r="K1139" s="5">
        <v>52</v>
      </c>
      <c r="L1139" s="5">
        <v>33</v>
      </c>
      <c r="M1139" s="3" t="s">
        <v>41</v>
      </c>
      <c r="N1139" t="s">
        <v>91</v>
      </c>
      <c r="Q1139" s="2">
        <v>0</v>
      </c>
      <c r="R1139" s="3" t="s">
        <v>58</v>
      </c>
      <c r="S1139">
        <f>COUNTIF(A:A,A1139)</f>
        <v>1</v>
      </c>
      <c r="T1139" t="str">
        <f>IF(OR(H1139="",LOWER(TRIM(H1139&amp;""))="missing",LOWER(TRIM(H1139&amp;""))=""),"Missing/",IFERROR(IF(OR(VALUE(H1139)&lt;0,VALUE(H1139)&gt;110),"Invalid","Valid"),"Check Format"))</f>
        <v>Invalid</v>
      </c>
      <c r="U1139" t="str">
        <f>IF(Raw_Data[[#This Row],[Age_Check]]="Valid",H1139,"")</f>
        <v/>
      </c>
      <c r="V1139" t="str">
        <f>IF(OR(K1139="",UPPER(TRIM(K1139&amp;""))="",LOWER(TRIM(K1139&amp;""))="",LOWER(TRIM(K1139&amp;""))="",LOWER(TRIM(K1139&amp;""))="missing"),"Missing/",IFERROR(IF(VALUE(K1139)&lt;0,"Invalid","Valid"),"Check Format"))</f>
        <v>Valid</v>
      </c>
      <c r="W1139" t="str">
        <f>IF(OR(E1139="",F1139=""),"Missing Date/Time",IFERROR(IF(F1139&gt;E1139,"Arrival After Appointment","OK"),"Check Format"))</f>
        <v>OK</v>
      </c>
      <c r="X1139" t="str">
        <f>IF(OR(F1139="",G1139=""),"Missing Date/Time",IFERROR(IF(G1139&lt;F1139,"Discharge Before Arrival","OK"),"Check Format"))</f>
        <v>OK</v>
      </c>
    </row>
    <row r="1140" spans="1:24" x14ac:dyDescent="0.25">
      <c r="A1140" s="2" t="s">
        <v>1786</v>
      </c>
      <c r="B1140" s="2" t="s">
        <v>1787</v>
      </c>
      <c r="C1140" s="3" t="s">
        <v>46</v>
      </c>
      <c r="D1140" s="3" t="s">
        <v>66</v>
      </c>
      <c r="E1140" s="4">
        <v>45791.652777777781</v>
      </c>
      <c r="F1140" s="4">
        <v>45791.631944444445</v>
      </c>
      <c r="G1140" s="4">
        <v>45791.713888888888</v>
      </c>
      <c r="H1140" s="5">
        <v>14</v>
      </c>
      <c r="I1140" s="3" t="s">
        <v>95</v>
      </c>
      <c r="J1140" s="3" t="s">
        <v>62</v>
      </c>
      <c r="K1140" s="5">
        <v>74</v>
      </c>
      <c r="L1140" s="5">
        <v>14</v>
      </c>
      <c r="M1140" s="3" t="s">
        <v>32</v>
      </c>
      <c r="N1140" t="s">
        <v>100</v>
      </c>
      <c r="P1140" s="3" t="s">
        <v>80</v>
      </c>
      <c r="Q1140" s="2">
        <v>52.73</v>
      </c>
      <c r="R1140" s="3" t="s">
        <v>43</v>
      </c>
      <c r="S1140">
        <f>COUNTIF(A:A,A1140)</f>
        <v>1</v>
      </c>
      <c r="T1140" t="str">
        <f>IF(OR(H1140="",LOWER(TRIM(H1140&amp;""))="missing",LOWER(TRIM(H1140&amp;""))=""),"Missing/",IFERROR(IF(OR(VALUE(H1140)&lt;0,VALUE(H1140)&gt;110),"Invalid","Valid"),"Check Format"))</f>
        <v>Valid</v>
      </c>
      <c r="U1140">
        <f>IF(Raw_Data[[#This Row],[Age_Check]]="Valid",H1140,"")</f>
        <v>14</v>
      </c>
      <c r="V1140" t="str">
        <f>IF(OR(K1140="",UPPER(TRIM(K1140&amp;""))="",LOWER(TRIM(K1140&amp;""))="",LOWER(TRIM(K1140&amp;""))="",LOWER(TRIM(K1140&amp;""))="missing"),"Missing/",IFERROR(IF(VALUE(K1140)&lt;0,"Invalid","Valid"),"Check Format"))</f>
        <v>Valid</v>
      </c>
      <c r="W1140" t="str">
        <f>IF(OR(E1140="",F1140=""),"Missing Date/Time",IFERROR(IF(F1140&gt;E1140,"Arrival After Appointment","OK"),"Check Format"))</f>
        <v>OK</v>
      </c>
      <c r="X1140" t="str">
        <f>IF(OR(F1140="",G1140=""),"Missing Date/Time",IFERROR(IF(G1140&lt;F1140,"Discharge Before Arrival","OK"),"Check Format"))</f>
        <v>OK</v>
      </c>
    </row>
    <row r="1141" spans="1:24" x14ac:dyDescent="0.25">
      <c r="A1141" s="2" t="s">
        <v>1788</v>
      </c>
      <c r="B1141" s="2" t="s">
        <v>324</v>
      </c>
      <c r="C1141" s="3" t="s">
        <v>29</v>
      </c>
      <c r="D1141" s="3" t="s">
        <v>66</v>
      </c>
      <c r="E1141" s="4">
        <v>45491.545138888891</v>
      </c>
      <c r="F1141" s="4">
        <v>45491.544444444444</v>
      </c>
      <c r="G1141" s="4">
        <v>45491.548611111109</v>
      </c>
      <c r="J1141" s="3" t="s">
        <v>2639</v>
      </c>
      <c r="K1141" s="5">
        <v>0</v>
      </c>
      <c r="L1141" s="5">
        <v>5</v>
      </c>
      <c r="M1141" s="3" t="s">
        <v>87</v>
      </c>
      <c r="N1141" t="s">
        <v>24</v>
      </c>
      <c r="O1141" s="5">
        <v>6</v>
      </c>
      <c r="P1141" s="3" t="s">
        <v>25</v>
      </c>
      <c r="Q1141" s="2">
        <v>36.56</v>
      </c>
      <c r="R1141" s="3" t="s">
        <v>75</v>
      </c>
      <c r="S1141">
        <f>COUNTIF(A:A,A1141)</f>
        <v>1</v>
      </c>
      <c r="T1141" t="str">
        <f>IF(OR(H1141="",LOWER(TRIM(H1141&amp;""))="missing",LOWER(TRIM(H1141&amp;""))=""),"Missing/",IFERROR(IF(OR(VALUE(H1141)&lt;0,VALUE(H1141)&gt;110),"Invalid","Valid"),"Check Format"))</f>
        <v>Missing/</v>
      </c>
      <c r="U1141" t="str">
        <f>IF(Raw_Data[[#This Row],[Age_Check]]="Valid",H1141,"")</f>
        <v/>
      </c>
      <c r="V1141" t="str">
        <f>IF(OR(K1141="",UPPER(TRIM(K1141&amp;""))="",LOWER(TRIM(K1141&amp;""))="",LOWER(TRIM(K1141&amp;""))="",LOWER(TRIM(K1141&amp;""))="missing"),"Missing/",IFERROR(IF(VALUE(K1141)&lt;0,"Invalid","Valid"),"Check Format"))</f>
        <v>Valid</v>
      </c>
      <c r="W1141" t="str">
        <f>IF(OR(E1141="",F1141=""),"Missing Date/Time",IFERROR(IF(F1141&gt;E1141,"Arrival After Appointment","OK"),"Check Format"))</f>
        <v>OK</v>
      </c>
      <c r="X1141" t="str">
        <f>IF(OR(F1141="",G1141=""),"Missing Date/Time",IFERROR(IF(G1141&lt;F1141,"Discharge Before Arrival","OK"),"Check Format"))</f>
        <v>OK</v>
      </c>
    </row>
    <row r="1142" spans="1:24" x14ac:dyDescent="0.25">
      <c r="A1142" s="2" t="s">
        <v>1789</v>
      </c>
      <c r="B1142" s="2" t="s">
        <v>442</v>
      </c>
      <c r="C1142" s="3" t="s">
        <v>46</v>
      </c>
      <c r="D1142" s="3" t="s">
        <v>38</v>
      </c>
      <c r="E1142" s="4">
        <v>46003.552083333336</v>
      </c>
      <c r="F1142" s="4">
        <v>46003.54791666667</v>
      </c>
      <c r="G1142" s="4">
        <v>46003.621527777781</v>
      </c>
      <c r="I1142" s="3" t="s">
        <v>39</v>
      </c>
      <c r="K1142" s="5">
        <v>33</v>
      </c>
      <c r="L1142" s="5">
        <v>67</v>
      </c>
      <c r="M1142" s="3" t="s">
        <v>23</v>
      </c>
      <c r="N1142" t="s">
        <v>24</v>
      </c>
      <c r="O1142" s="5">
        <v>6</v>
      </c>
      <c r="P1142" s="3" t="s">
        <v>42</v>
      </c>
      <c r="Q1142" s="2">
        <v>102.93</v>
      </c>
      <c r="R1142" s="3" t="s">
        <v>75</v>
      </c>
      <c r="S1142">
        <f>COUNTIF(A:A,A1142)</f>
        <v>1</v>
      </c>
      <c r="T1142" t="str">
        <f>IF(OR(H1142="",LOWER(TRIM(H1142&amp;""))="missing",LOWER(TRIM(H1142&amp;""))=""),"Missing/",IFERROR(IF(OR(VALUE(H1142)&lt;0,VALUE(H1142)&gt;110),"Invalid","Valid"),"Check Format"))</f>
        <v>Missing/</v>
      </c>
      <c r="U1142" t="str">
        <f>IF(Raw_Data[[#This Row],[Age_Check]]="Valid",H1142,"")</f>
        <v/>
      </c>
      <c r="V1142" t="str">
        <f>IF(OR(K1142="",UPPER(TRIM(K1142&amp;""))="",LOWER(TRIM(K1142&amp;""))="",LOWER(TRIM(K1142&amp;""))="",LOWER(TRIM(K1142&amp;""))="missing"),"Missing/",IFERROR(IF(VALUE(K1142)&lt;0,"Invalid","Valid"),"Check Format"))</f>
        <v>Valid</v>
      </c>
      <c r="W1142" t="str">
        <f>IF(OR(E1142="",F1142=""),"Missing Date/Time",IFERROR(IF(F1142&gt;E1142,"Arrival After Appointment","OK"),"Check Format"))</f>
        <v>OK</v>
      </c>
      <c r="X1142" t="str">
        <f>IF(OR(F1142="",G1142=""),"Missing Date/Time",IFERROR(IF(G1142&lt;F1142,"Discharge Before Arrival","OK"),"Check Format"))</f>
        <v>OK</v>
      </c>
    </row>
    <row r="1143" spans="1:24" x14ac:dyDescent="0.25">
      <c r="A1143" s="2" t="s">
        <v>1790</v>
      </c>
      <c r="B1143" s="2" t="s">
        <v>457</v>
      </c>
      <c r="C1143" s="3" t="s">
        <v>37</v>
      </c>
      <c r="D1143" s="3" t="s">
        <v>209</v>
      </c>
      <c r="E1143" s="4">
        <v>45552.604166666664</v>
      </c>
      <c r="F1143" s="4">
        <v>45552.603472222225</v>
      </c>
      <c r="H1143" s="5">
        <v>50</v>
      </c>
      <c r="J1143" s="3" t="s">
        <v>171</v>
      </c>
      <c r="K1143" s="5">
        <v>64</v>
      </c>
      <c r="L1143" s="5">
        <v>39</v>
      </c>
      <c r="M1143" s="3" t="s">
        <v>63</v>
      </c>
      <c r="N1143" t="s">
        <v>91</v>
      </c>
      <c r="O1143" s="5">
        <v>1</v>
      </c>
      <c r="P1143" s="3" t="s">
        <v>42</v>
      </c>
      <c r="Q1143" s="2">
        <v>155.49</v>
      </c>
      <c r="R1143" s="3" t="s">
        <v>75</v>
      </c>
      <c r="S1143">
        <f>COUNTIF(A:A,A1143)</f>
        <v>1</v>
      </c>
      <c r="T1143" t="str">
        <f>IF(OR(H1143="",LOWER(TRIM(H1143&amp;""))="missing",LOWER(TRIM(H1143&amp;""))=""),"Missing/",IFERROR(IF(OR(VALUE(H1143)&lt;0,VALUE(H1143)&gt;110),"Invalid","Valid"),"Check Format"))</f>
        <v>Valid</v>
      </c>
      <c r="U1143">
        <f>IF(Raw_Data[[#This Row],[Age_Check]]="Valid",H1143,"")</f>
        <v>50</v>
      </c>
      <c r="V1143" t="str">
        <f>IF(OR(K1143="",UPPER(TRIM(K1143&amp;""))="",LOWER(TRIM(K1143&amp;""))="",LOWER(TRIM(K1143&amp;""))="",LOWER(TRIM(K1143&amp;""))="missing"),"Missing/",IFERROR(IF(VALUE(K1143)&lt;0,"Invalid","Valid"),"Check Format"))</f>
        <v>Valid</v>
      </c>
      <c r="W1143" t="str">
        <f>IF(OR(E1143="",F1143=""),"Missing Date/Time",IFERROR(IF(F1143&gt;E1143,"Arrival After Appointment","OK"),"Check Format"))</f>
        <v>OK</v>
      </c>
      <c r="X1143" t="str">
        <f>IF(OR(F1143="",G1143=""),"Missing Date/Time",IFERROR(IF(G1143&lt;F1143,"Discharge Before Arrival","OK"),"Check Format"))</f>
        <v>Missing Date/Time</v>
      </c>
    </row>
    <row r="1144" spans="1:24" x14ac:dyDescent="0.25">
      <c r="A1144" s="2" t="s">
        <v>1791</v>
      </c>
      <c r="B1144" s="2" t="s">
        <v>1437</v>
      </c>
      <c r="C1144" s="3" t="s">
        <v>29</v>
      </c>
      <c r="D1144" s="3" t="s">
        <v>209</v>
      </c>
      <c r="E1144" s="4">
        <v>45345.677083333336</v>
      </c>
      <c r="F1144" s="4">
        <v>45345.663888888892</v>
      </c>
      <c r="I1144" s="3" t="s">
        <v>90</v>
      </c>
      <c r="J1144" s="3" t="s">
        <v>67</v>
      </c>
      <c r="K1144" s="5">
        <v>55</v>
      </c>
      <c r="L1144" s="5">
        <v>10</v>
      </c>
      <c r="M1144" s="3" t="s">
        <v>41</v>
      </c>
      <c r="O1144" s="5">
        <v>4</v>
      </c>
      <c r="P1144" s="3" t="s">
        <v>42</v>
      </c>
      <c r="Q1144" s="2">
        <v>261.07</v>
      </c>
      <c r="R1144" s="3" t="s">
        <v>58</v>
      </c>
      <c r="S1144">
        <f>COUNTIF(A:A,A1144)</f>
        <v>1</v>
      </c>
      <c r="T1144" t="str">
        <f>IF(OR(H1144="",LOWER(TRIM(H1144&amp;""))="missing",LOWER(TRIM(H1144&amp;""))=""),"Missing/",IFERROR(IF(OR(VALUE(H1144)&lt;0,VALUE(H1144)&gt;110),"Invalid","Valid"),"Check Format"))</f>
        <v>Missing/</v>
      </c>
      <c r="U1144" t="str">
        <f>IF(Raw_Data[[#This Row],[Age_Check]]="Valid",H1144,"")</f>
        <v/>
      </c>
      <c r="V1144" t="str">
        <f>IF(OR(K1144="",UPPER(TRIM(K1144&amp;""))="",LOWER(TRIM(K1144&amp;""))="",LOWER(TRIM(K1144&amp;""))="",LOWER(TRIM(K1144&amp;""))="missing"),"Missing/",IFERROR(IF(VALUE(K1144)&lt;0,"Invalid","Valid"),"Check Format"))</f>
        <v>Valid</v>
      </c>
      <c r="W1144" t="str">
        <f>IF(OR(E1144="",F1144=""),"Missing Date/Time",IFERROR(IF(F1144&gt;E1144,"Arrival After Appointment","OK"),"Check Format"))</f>
        <v>OK</v>
      </c>
      <c r="X1144" t="str">
        <f>IF(OR(F1144="",G1144=""),"Missing Date/Time",IFERROR(IF(G1144&lt;F1144,"Discharge Before Arrival","OK"),"Check Format"))</f>
        <v>Missing Date/Time</v>
      </c>
    </row>
    <row r="1145" spans="1:24" x14ac:dyDescent="0.25">
      <c r="A1145" s="2" t="s">
        <v>1792</v>
      </c>
      <c r="B1145" s="2" t="s">
        <v>1462</v>
      </c>
      <c r="C1145" s="3" t="s">
        <v>19</v>
      </c>
      <c r="D1145" s="3" t="s">
        <v>174</v>
      </c>
      <c r="E1145" s="4">
        <v>45472.753472222219</v>
      </c>
      <c r="F1145" s="4">
        <v>45472.742361111108</v>
      </c>
      <c r="H1145" s="5">
        <v>145</v>
      </c>
      <c r="I1145" s="3" t="s">
        <v>73</v>
      </c>
      <c r="J1145" s="3" t="s">
        <v>62</v>
      </c>
      <c r="K1145" s="5">
        <v>121</v>
      </c>
      <c r="L1145" s="5">
        <v>5</v>
      </c>
      <c r="M1145" s="3" t="s">
        <v>50</v>
      </c>
      <c r="N1145" t="s">
        <v>69</v>
      </c>
      <c r="O1145" s="5">
        <v>0</v>
      </c>
      <c r="P1145" s="3" t="s">
        <v>42</v>
      </c>
      <c r="Q1145" s="2">
        <v>63.08</v>
      </c>
      <c r="R1145" s="3" t="s">
        <v>58</v>
      </c>
      <c r="S1145">
        <f>COUNTIF(A:A,A1145)</f>
        <v>1</v>
      </c>
      <c r="T1145" t="str">
        <f>IF(OR(H1145="",LOWER(TRIM(H1145&amp;""))="missing",LOWER(TRIM(H1145&amp;""))=""),"Missing/",IFERROR(IF(OR(VALUE(H1145)&lt;0,VALUE(H1145)&gt;110),"Invalid","Valid"),"Check Format"))</f>
        <v>Invalid</v>
      </c>
      <c r="U1145" t="str">
        <f>IF(Raw_Data[[#This Row],[Age_Check]]="Valid",H1145,"")</f>
        <v/>
      </c>
      <c r="V1145" t="str">
        <f>IF(OR(K1145="",UPPER(TRIM(K1145&amp;""))="",LOWER(TRIM(K1145&amp;""))="",LOWER(TRIM(K1145&amp;""))="",LOWER(TRIM(K1145&amp;""))="missing"),"Missing/",IFERROR(IF(VALUE(K1145)&lt;0,"Invalid","Valid"),"Check Format"))</f>
        <v>Valid</v>
      </c>
      <c r="W1145" t="str">
        <f>IF(OR(E1145="",F1145=""),"Missing Date/Time",IFERROR(IF(F1145&gt;E1145,"Arrival After Appointment","OK"),"Check Format"))</f>
        <v>OK</v>
      </c>
      <c r="X1145" t="str">
        <f>IF(OR(F1145="",G1145=""),"Missing Date/Time",IFERROR(IF(G1145&lt;F1145,"Discharge Before Arrival","OK"),"Check Format"))</f>
        <v>Missing Date/Time</v>
      </c>
    </row>
    <row r="1146" spans="1:24" x14ac:dyDescent="0.25">
      <c r="A1146" s="2" t="s">
        <v>1793</v>
      </c>
      <c r="B1146" s="2" t="s">
        <v>723</v>
      </c>
      <c r="C1146" s="3" t="s">
        <v>46</v>
      </c>
      <c r="D1146" s="3" t="s">
        <v>47</v>
      </c>
      <c r="E1146" s="4">
        <v>46015.388888888891</v>
      </c>
      <c r="F1146" s="4">
        <v>46015.375694444447</v>
      </c>
      <c r="G1146" s="4">
        <v>46015.431944444441</v>
      </c>
      <c r="H1146" s="5">
        <v>92</v>
      </c>
      <c r="I1146" s="3" t="s">
        <v>95</v>
      </c>
      <c r="J1146" s="3" t="s">
        <v>171</v>
      </c>
      <c r="K1146" s="5">
        <v>48</v>
      </c>
      <c r="L1146" s="5">
        <v>14</v>
      </c>
      <c r="M1146" s="3" t="s">
        <v>50</v>
      </c>
      <c r="N1146" t="s">
        <v>69</v>
      </c>
      <c r="P1146" s="3" t="s">
        <v>25</v>
      </c>
      <c r="Q1146" s="2">
        <v>185.48</v>
      </c>
      <c r="R1146" s="3" t="s">
        <v>58</v>
      </c>
      <c r="S1146">
        <f>COUNTIF(A:A,A1146)</f>
        <v>1</v>
      </c>
      <c r="T1146" t="str">
        <f>IF(OR(H1146="",LOWER(TRIM(H1146&amp;""))="missing",LOWER(TRIM(H1146&amp;""))=""),"Missing/",IFERROR(IF(OR(VALUE(H1146)&lt;0,VALUE(H1146)&gt;110),"Invalid","Valid"),"Check Format"))</f>
        <v>Valid</v>
      </c>
      <c r="U1146">
        <f>IF(Raw_Data[[#This Row],[Age_Check]]="Valid",H1146,"")</f>
        <v>92</v>
      </c>
      <c r="V1146" t="str">
        <f>IF(OR(K1146="",UPPER(TRIM(K1146&amp;""))="",LOWER(TRIM(K1146&amp;""))="",LOWER(TRIM(K1146&amp;""))="",LOWER(TRIM(K1146&amp;""))="missing"),"Missing/",IFERROR(IF(VALUE(K1146)&lt;0,"Invalid","Valid"),"Check Format"))</f>
        <v>Valid</v>
      </c>
      <c r="W1146" t="str">
        <f>IF(OR(E1146="",F1146=""),"Missing Date/Time",IFERROR(IF(F1146&gt;E1146,"Arrival After Appointment","OK"),"Check Format"))</f>
        <v>OK</v>
      </c>
      <c r="X1146" t="str">
        <f>IF(OR(F1146="",G1146=""),"Missing Date/Time",IFERROR(IF(G1146&lt;F1146,"Discharge Before Arrival","OK"),"Check Format"))</f>
        <v>OK</v>
      </c>
    </row>
    <row r="1147" spans="1:24" x14ac:dyDescent="0.25">
      <c r="A1147" s="2" t="s">
        <v>1794</v>
      </c>
      <c r="B1147" s="2" t="s">
        <v>1061</v>
      </c>
      <c r="C1147" s="3" t="s">
        <v>46</v>
      </c>
      <c r="D1147" s="3" t="s">
        <v>38</v>
      </c>
      <c r="E1147" s="4" t="s">
        <v>1795</v>
      </c>
      <c r="F1147" s="4">
        <v>45589.459722222222</v>
      </c>
      <c r="G1147" s="4">
        <v>45589.536111111112</v>
      </c>
      <c r="J1147" s="3" t="s">
        <v>22</v>
      </c>
      <c r="K1147" s="5">
        <v>32</v>
      </c>
      <c r="L1147" s="5">
        <v>70</v>
      </c>
      <c r="M1147" s="3" t="s">
        <v>63</v>
      </c>
      <c r="N1147" t="s">
        <v>24</v>
      </c>
      <c r="P1147" s="3" t="s">
        <v>25</v>
      </c>
      <c r="Q1147" s="2">
        <v>240.24</v>
      </c>
      <c r="R1147" s="3" t="s">
        <v>26</v>
      </c>
      <c r="S1147">
        <f>COUNTIF(A:A,A1147)</f>
        <v>1</v>
      </c>
      <c r="T1147" t="str">
        <f>IF(OR(H1147="",LOWER(TRIM(H1147&amp;""))="missing",LOWER(TRIM(H1147&amp;""))=""),"Missing/",IFERROR(IF(OR(VALUE(H1147)&lt;0,VALUE(H1147)&gt;110),"Invalid","Valid"),"Check Format"))</f>
        <v>Missing/</v>
      </c>
      <c r="U1147" t="str">
        <f>IF(Raw_Data[[#This Row],[Age_Check]]="Valid",H1147,"")</f>
        <v/>
      </c>
      <c r="V1147" t="str">
        <f>IF(OR(K1147="",UPPER(TRIM(K1147&amp;""))="",LOWER(TRIM(K1147&amp;""))="",LOWER(TRIM(K1147&amp;""))="",LOWER(TRIM(K1147&amp;""))="missing"),"Missing/",IFERROR(IF(VALUE(K1147)&lt;0,"Invalid","Valid"),"Check Format"))</f>
        <v>Valid</v>
      </c>
      <c r="W1147" t="str">
        <f>IF(OR(E1147="",F1147=""),"Missing Date/Time",IFERROR(IF(F1147&gt;E1147,"Arrival After Appointment","OK"),"Check Format"))</f>
        <v>OK</v>
      </c>
      <c r="X1147" t="str">
        <f>IF(OR(F1147="",G1147=""),"Missing Date/Time",IFERROR(IF(G1147&lt;F1147,"Discharge Before Arrival","OK"),"Check Format"))</f>
        <v>OK</v>
      </c>
    </row>
    <row r="1148" spans="1:24" x14ac:dyDescent="0.25">
      <c r="A1148" s="2" t="s">
        <v>1796</v>
      </c>
      <c r="B1148" s="2" t="s">
        <v>1121</v>
      </c>
      <c r="C1148" s="3" t="s">
        <v>37</v>
      </c>
      <c r="D1148" s="3" t="s">
        <v>66</v>
      </c>
      <c r="E1148" s="4">
        <v>45483.322916666664</v>
      </c>
      <c r="F1148" s="4">
        <v>45572.30972222222</v>
      </c>
      <c r="G1148" s="4">
        <v>45572.402777777781</v>
      </c>
      <c r="H1148" s="5">
        <v>24</v>
      </c>
      <c r="I1148" s="3" t="s">
        <v>39</v>
      </c>
      <c r="J1148" s="3" t="s">
        <v>22</v>
      </c>
      <c r="K1148" s="5">
        <v>65</v>
      </c>
      <c r="L1148" s="5">
        <v>50</v>
      </c>
      <c r="M1148" s="3" t="s">
        <v>63</v>
      </c>
      <c r="N1148" t="s">
        <v>69</v>
      </c>
      <c r="O1148" s="5">
        <v>3</v>
      </c>
      <c r="P1148" s="3" t="s">
        <v>42</v>
      </c>
      <c r="Q1148" s="2">
        <v>233.47</v>
      </c>
      <c r="R1148" s="3" t="s">
        <v>58</v>
      </c>
      <c r="S1148">
        <f>COUNTIF(A:A,A1148)</f>
        <v>1</v>
      </c>
      <c r="T1148" t="str">
        <f>IF(OR(H1148="",LOWER(TRIM(H1148&amp;""))="missing",LOWER(TRIM(H1148&amp;""))=""),"Missing/",IFERROR(IF(OR(VALUE(H1148)&lt;0,VALUE(H1148)&gt;110),"Invalid","Valid"),"Check Format"))</f>
        <v>Valid</v>
      </c>
      <c r="U1148">
        <f>IF(Raw_Data[[#This Row],[Age_Check]]="Valid",H1148,"")</f>
        <v>24</v>
      </c>
      <c r="V1148" t="str">
        <f>IF(OR(K1148="",UPPER(TRIM(K1148&amp;""))="",LOWER(TRIM(K1148&amp;""))="",LOWER(TRIM(K1148&amp;""))="",LOWER(TRIM(K1148&amp;""))="missing"),"Missing/",IFERROR(IF(VALUE(K1148)&lt;0,"Invalid","Valid"),"Check Format"))</f>
        <v>Valid</v>
      </c>
      <c r="W1148" t="str">
        <f>IF(OR(E1148="",F1148=""),"Missing Date/Time",IFERROR(IF(F1148&gt;E1148,"Arrival After Appointment","OK"),"Check Format"))</f>
        <v>Arrival After Appointment</v>
      </c>
      <c r="X1148" t="str">
        <f>IF(OR(F1148="",G1148=""),"Missing Date/Time",IFERROR(IF(G1148&lt;F1148,"Discharge Before Arrival","OK"),"Check Format"))</f>
        <v>OK</v>
      </c>
    </row>
    <row r="1149" spans="1:24" x14ac:dyDescent="0.25">
      <c r="A1149" s="2" t="s">
        <v>1797</v>
      </c>
      <c r="B1149" s="2" t="s">
        <v>716</v>
      </c>
      <c r="C1149" s="3" t="s">
        <v>29</v>
      </c>
      <c r="D1149" s="3" t="s">
        <v>47</v>
      </c>
      <c r="E1149" s="4">
        <v>45369.711805555555</v>
      </c>
      <c r="F1149" s="4">
        <v>45369.708333333336</v>
      </c>
      <c r="G1149" s="4">
        <v>45369.75</v>
      </c>
      <c r="H1149" s="5">
        <v>75</v>
      </c>
      <c r="I1149" s="3" t="s">
        <v>95</v>
      </c>
      <c r="J1149" s="3" t="s">
        <v>67</v>
      </c>
      <c r="K1149" s="5">
        <v>38</v>
      </c>
      <c r="L1149" s="5">
        <v>17</v>
      </c>
      <c r="M1149" s="3" t="s">
        <v>50</v>
      </c>
      <c r="N1149" t="s">
        <v>24</v>
      </c>
      <c r="O1149" s="5">
        <v>0</v>
      </c>
      <c r="P1149" s="3" t="s">
        <v>25</v>
      </c>
      <c r="Q1149" s="2">
        <v>151.25</v>
      </c>
      <c r="R1149" s="3" t="s">
        <v>58</v>
      </c>
      <c r="S1149">
        <f>COUNTIF(A:A,A1149)</f>
        <v>1</v>
      </c>
      <c r="T1149" t="str">
        <f>IF(OR(H1149="",LOWER(TRIM(H1149&amp;""))="missing",LOWER(TRIM(H1149&amp;""))=""),"Missing/",IFERROR(IF(OR(VALUE(H1149)&lt;0,VALUE(H1149)&gt;110),"Invalid","Valid"),"Check Format"))</f>
        <v>Valid</v>
      </c>
      <c r="U1149">
        <f>IF(Raw_Data[[#This Row],[Age_Check]]="Valid",H1149,"")</f>
        <v>75</v>
      </c>
      <c r="V1149" t="str">
        <f>IF(OR(K1149="",UPPER(TRIM(K1149&amp;""))="",LOWER(TRIM(K1149&amp;""))="",LOWER(TRIM(K1149&amp;""))="",LOWER(TRIM(K1149&amp;""))="missing"),"Missing/",IFERROR(IF(VALUE(K1149)&lt;0,"Invalid","Valid"),"Check Format"))</f>
        <v>Valid</v>
      </c>
      <c r="W1149" t="str">
        <f>IF(OR(E1149="",F1149=""),"Missing Date/Time",IFERROR(IF(F1149&gt;E1149,"Arrival After Appointment","OK"),"Check Format"))</f>
        <v>OK</v>
      </c>
      <c r="X1149" t="str">
        <f>IF(OR(F1149="",G1149=""),"Missing Date/Time",IFERROR(IF(G1149&lt;F1149,"Discharge Before Arrival","OK"),"Check Format"))</f>
        <v>OK</v>
      </c>
    </row>
    <row r="1150" spans="1:24" x14ac:dyDescent="0.25">
      <c r="A1150" s="2" t="s">
        <v>1798</v>
      </c>
      <c r="B1150" s="2" t="s">
        <v>1746</v>
      </c>
      <c r="C1150" s="3" t="s">
        <v>19</v>
      </c>
      <c r="D1150" s="3" t="s">
        <v>66</v>
      </c>
      <c r="E1150" s="4" t="s">
        <v>1799</v>
      </c>
      <c r="F1150" s="4">
        <v>45531.432638888888</v>
      </c>
      <c r="G1150" s="4">
        <v>45531.529166666667</v>
      </c>
      <c r="I1150" s="3" t="s">
        <v>95</v>
      </c>
      <c r="J1150" s="3" t="s">
        <v>67</v>
      </c>
      <c r="L1150" s="5">
        <v>34</v>
      </c>
      <c r="M1150" s="3" t="s">
        <v>50</v>
      </c>
      <c r="N1150" t="s">
        <v>103</v>
      </c>
      <c r="P1150" s="3" t="s">
        <v>42</v>
      </c>
      <c r="Q1150" s="2">
        <v>18.84</v>
      </c>
      <c r="R1150" s="3" t="s">
        <v>75</v>
      </c>
      <c r="S1150">
        <f>COUNTIF(A:A,A1150)</f>
        <v>1</v>
      </c>
      <c r="T1150" t="str">
        <f>IF(OR(H1150="",LOWER(TRIM(H1150&amp;""))="missing",LOWER(TRIM(H1150&amp;""))=""),"Missing/",IFERROR(IF(OR(VALUE(H1150)&lt;0,VALUE(H1150)&gt;110),"Invalid","Valid"),"Check Format"))</f>
        <v>Missing/</v>
      </c>
      <c r="U1150" t="str">
        <f>IF(Raw_Data[[#This Row],[Age_Check]]="Valid",H1150,"")</f>
        <v/>
      </c>
      <c r="V1150" t="str">
        <f>IF(OR(K1150="",UPPER(TRIM(K1150&amp;""))="",LOWER(TRIM(K1150&amp;""))="",LOWER(TRIM(K1150&amp;""))="",LOWER(TRIM(K1150&amp;""))="missing"),"Missing/",IFERROR(IF(VALUE(K1150)&lt;0,"Invalid","Valid"),"Check Format"))</f>
        <v>Missing/</v>
      </c>
      <c r="W1150" t="str">
        <f>IF(OR(E1150="",F1150=""),"Missing Date/Time",IFERROR(IF(F1150&gt;E1150,"Arrival After Appointment","OK"),"Check Format"))</f>
        <v>OK</v>
      </c>
      <c r="X1150" t="str">
        <f>IF(OR(F1150="",G1150=""),"Missing Date/Time",IFERROR(IF(G1150&lt;F1150,"Discharge Before Arrival","OK"),"Check Format"))</f>
        <v>OK</v>
      </c>
    </row>
    <row r="1151" spans="1:24" x14ac:dyDescent="0.25">
      <c r="A1151" s="2" t="s">
        <v>1800</v>
      </c>
      <c r="B1151" s="2" t="s">
        <v>71</v>
      </c>
      <c r="C1151" s="3" t="s">
        <v>37</v>
      </c>
      <c r="D1151" s="3" t="s">
        <v>20</v>
      </c>
      <c r="E1151" s="4">
        <v>45603.479166666664</v>
      </c>
      <c r="F1151" s="4">
        <v>45484.473611111112</v>
      </c>
      <c r="G1151" s="4">
        <v>45484.520138888889</v>
      </c>
      <c r="J1151" s="3" t="s">
        <v>2639</v>
      </c>
      <c r="K1151" s="5">
        <v>29</v>
      </c>
      <c r="L1151" s="5">
        <v>30</v>
      </c>
      <c r="N1151" t="s">
        <v>69</v>
      </c>
      <c r="P1151" s="3" t="s">
        <v>25</v>
      </c>
      <c r="Q1151" s="2">
        <v>138.94999999999999</v>
      </c>
      <c r="R1151" s="3" t="s">
        <v>75</v>
      </c>
      <c r="S1151">
        <f>COUNTIF(A:A,A1151)</f>
        <v>1</v>
      </c>
      <c r="T1151" t="str">
        <f>IF(OR(H1151="",LOWER(TRIM(H1151&amp;""))="missing",LOWER(TRIM(H1151&amp;""))=""),"Missing/",IFERROR(IF(OR(VALUE(H1151)&lt;0,VALUE(H1151)&gt;110),"Invalid","Valid"),"Check Format"))</f>
        <v>Missing/</v>
      </c>
      <c r="U1151" t="str">
        <f>IF(Raw_Data[[#This Row],[Age_Check]]="Valid",H1151,"")</f>
        <v/>
      </c>
      <c r="V1151" t="str">
        <f>IF(OR(K1151="",UPPER(TRIM(K1151&amp;""))="",LOWER(TRIM(K1151&amp;""))="",LOWER(TRIM(K1151&amp;""))="",LOWER(TRIM(K1151&amp;""))="missing"),"Missing/",IFERROR(IF(VALUE(K1151)&lt;0,"Invalid","Valid"),"Check Format"))</f>
        <v>Valid</v>
      </c>
      <c r="W1151" t="str">
        <f>IF(OR(E1151="",F1151=""),"Missing Date/Time",IFERROR(IF(F1151&gt;E1151,"Arrival After Appointment","OK"),"Check Format"))</f>
        <v>OK</v>
      </c>
      <c r="X1151" t="str">
        <f>IF(OR(F1151="",G1151=""),"Missing Date/Time",IFERROR(IF(G1151&lt;F1151,"Discharge Before Arrival","OK"),"Check Format"))</f>
        <v>OK</v>
      </c>
    </row>
    <row r="1152" spans="1:24" x14ac:dyDescent="0.25">
      <c r="A1152" s="2" t="s">
        <v>1801</v>
      </c>
      <c r="B1152" s="2" t="s">
        <v>637</v>
      </c>
      <c r="D1152" s="3" t="s">
        <v>115</v>
      </c>
      <c r="E1152" s="4" t="s">
        <v>1802</v>
      </c>
      <c r="F1152" s="4">
        <v>45867.388888888891</v>
      </c>
      <c r="G1152" s="4">
        <v>45867.488888888889</v>
      </c>
      <c r="I1152" s="3" t="s">
        <v>95</v>
      </c>
      <c r="J1152" s="3" t="s">
        <v>171</v>
      </c>
      <c r="K1152" s="5">
        <v>127</v>
      </c>
      <c r="L1152" s="5">
        <v>7</v>
      </c>
      <c r="M1152" s="3" t="s">
        <v>41</v>
      </c>
      <c r="R1152" s="3" t="s">
        <v>26</v>
      </c>
      <c r="S1152">
        <f>COUNTIF(A:A,A1152)</f>
        <v>1</v>
      </c>
      <c r="T1152" t="str">
        <f>IF(OR(H1152="",LOWER(TRIM(H1152&amp;""))="missing",LOWER(TRIM(H1152&amp;""))=""),"Missing/",IFERROR(IF(OR(VALUE(H1152)&lt;0,VALUE(H1152)&gt;110),"Invalid","Valid"),"Check Format"))</f>
        <v>Missing/</v>
      </c>
      <c r="U1152" t="str">
        <f>IF(Raw_Data[[#This Row],[Age_Check]]="Valid",H1152,"")</f>
        <v/>
      </c>
      <c r="V1152" t="str">
        <f>IF(OR(K1152="",UPPER(TRIM(K1152&amp;""))="",LOWER(TRIM(K1152&amp;""))="",LOWER(TRIM(K1152&amp;""))="",LOWER(TRIM(K1152&amp;""))="missing"),"Missing/",IFERROR(IF(VALUE(K1152)&lt;0,"Invalid","Valid"),"Check Format"))</f>
        <v>Valid</v>
      </c>
      <c r="W1152" t="str">
        <f>IF(OR(E1152="",F1152=""),"Missing Date/Time",IFERROR(IF(F1152&gt;E1152,"Arrival After Appointment","OK"),"Check Format"))</f>
        <v>OK</v>
      </c>
      <c r="X1152" t="str">
        <f>IF(OR(F1152="",G1152=""),"Missing Date/Time",IFERROR(IF(G1152&lt;F1152,"Discharge Before Arrival","OK"),"Check Format"))</f>
        <v>OK</v>
      </c>
    </row>
    <row r="1153" spans="1:24" x14ac:dyDescent="0.25">
      <c r="A1153" s="2" t="s">
        <v>1803</v>
      </c>
      <c r="B1153" s="2" t="s">
        <v>1209</v>
      </c>
      <c r="C1153" s="3" t="s">
        <v>29</v>
      </c>
      <c r="D1153" s="3" t="s">
        <v>30</v>
      </c>
      <c r="E1153" s="4">
        <v>45724.475694444445</v>
      </c>
      <c r="G1153" s="4">
        <v>45724.568055555559</v>
      </c>
      <c r="H1153" s="5">
        <v>66</v>
      </c>
      <c r="I1153" s="3" t="s">
        <v>95</v>
      </c>
      <c r="J1153" s="3" t="s">
        <v>2639</v>
      </c>
      <c r="K1153" s="5">
        <v>75</v>
      </c>
      <c r="L1153" s="5">
        <v>58</v>
      </c>
      <c r="M1153" s="3" t="s">
        <v>87</v>
      </c>
      <c r="P1153" s="3" t="s">
        <v>80</v>
      </c>
      <c r="Q1153" s="2">
        <v>326.72000000000003</v>
      </c>
      <c r="R1153" s="3" t="s">
        <v>58</v>
      </c>
      <c r="S1153">
        <f>COUNTIF(A:A,A1153)</f>
        <v>1</v>
      </c>
      <c r="T1153" t="str">
        <f>IF(OR(H1153="",LOWER(TRIM(H1153&amp;""))="missing",LOWER(TRIM(H1153&amp;""))=""),"Missing/",IFERROR(IF(OR(VALUE(H1153)&lt;0,VALUE(H1153)&gt;110),"Invalid","Valid"),"Check Format"))</f>
        <v>Valid</v>
      </c>
      <c r="U1153">
        <f>IF(Raw_Data[[#This Row],[Age_Check]]="Valid",H1153,"")</f>
        <v>66</v>
      </c>
      <c r="V1153" t="str">
        <f>IF(OR(K1153="",UPPER(TRIM(K1153&amp;""))="",LOWER(TRIM(K1153&amp;""))="",LOWER(TRIM(K1153&amp;""))="",LOWER(TRIM(K1153&amp;""))="missing"),"Missing/",IFERROR(IF(VALUE(K1153)&lt;0,"Invalid","Valid"),"Check Format"))</f>
        <v>Valid</v>
      </c>
      <c r="W1153" t="str">
        <f>IF(OR(E1153="",F1153=""),"Missing Date/Time",IFERROR(IF(F1153&gt;E1153,"Arrival After Appointment","OK"),"Check Format"))</f>
        <v>Missing Date/Time</v>
      </c>
      <c r="X1153" t="str">
        <f>IF(OR(F1153="",G1153=""),"Missing Date/Time",IFERROR(IF(G1153&lt;F1153,"Discharge Before Arrival","OK"),"Check Format"))</f>
        <v>Missing Date/Time</v>
      </c>
    </row>
    <row r="1154" spans="1:24" x14ac:dyDescent="0.25">
      <c r="A1154" s="2" t="s">
        <v>1804</v>
      </c>
      <c r="B1154" s="2" t="s">
        <v>1206</v>
      </c>
      <c r="C1154" s="3" t="s">
        <v>46</v>
      </c>
      <c r="D1154" s="3" t="s">
        <v>115</v>
      </c>
      <c r="E1154" s="4">
        <v>45917.729166666664</v>
      </c>
      <c r="F1154" s="4">
        <v>45917.720138888886</v>
      </c>
      <c r="G1154" s="4">
        <v>45917.786805555559</v>
      </c>
      <c r="I1154" s="3" t="s">
        <v>95</v>
      </c>
      <c r="J1154" s="3" t="s">
        <v>67</v>
      </c>
      <c r="K1154" s="5">
        <v>43</v>
      </c>
      <c r="L1154" s="5">
        <v>40</v>
      </c>
      <c r="P1154" s="3" t="s">
        <v>25</v>
      </c>
      <c r="Q1154" s="2">
        <v>190.58</v>
      </c>
      <c r="R1154" s="3" t="s">
        <v>58</v>
      </c>
      <c r="S1154">
        <f>COUNTIF(A:A,A1154)</f>
        <v>1</v>
      </c>
      <c r="T1154" t="str">
        <f>IF(OR(H1154="",LOWER(TRIM(H1154&amp;""))="missing",LOWER(TRIM(H1154&amp;""))=""),"Missing/",IFERROR(IF(OR(VALUE(H1154)&lt;0,VALUE(H1154)&gt;110),"Invalid","Valid"),"Check Format"))</f>
        <v>Missing/</v>
      </c>
      <c r="U1154" t="str">
        <f>IF(Raw_Data[[#This Row],[Age_Check]]="Valid",H1154,"")</f>
        <v/>
      </c>
      <c r="V1154" t="str">
        <f>IF(OR(K1154="",UPPER(TRIM(K1154&amp;""))="",LOWER(TRIM(K1154&amp;""))="",LOWER(TRIM(K1154&amp;""))="",LOWER(TRIM(K1154&amp;""))="missing"),"Missing/",IFERROR(IF(VALUE(K1154)&lt;0,"Invalid","Valid"),"Check Format"))</f>
        <v>Valid</v>
      </c>
      <c r="W1154" t="str">
        <f>IF(OR(E1154="",F1154=""),"Missing Date/Time",IFERROR(IF(F1154&gt;E1154,"Arrival After Appointment","OK"),"Check Format"))</f>
        <v>OK</v>
      </c>
      <c r="X1154" t="str">
        <f>IF(OR(F1154="",G1154=""),"Missing Date/Time",IFERROR(IF(G1154&lt;F1154,"Discharge Before Arrival","OK"),"Check Format"))</f>
        <v>OK</v>
      </c>
    </row>
    <row r="1155" spans="1:24" x14ac:dyDescent="0.25">
      <c r="A1155" s="2" t="s">
        <v>1805</v>
      </c>
      <c r="B1155" s="2" t="s">
        <v>803</v>
      </c>
      <c r="C1155" s="3" t="s">
        <v>29</v>
      </c>
      <c r="D1155" s="3" t="s">
        <v>66</v>
      </c>
      <c r="E1155" s="4" t="s">
        <v>1806</v>
      </c>
      <c r="F1155" s="4">
        <v>45828.480555555558</v>
      </c>
      <c r="G1155" s="4">
        <v>45828.561805555553</v>
      </c>
      <c r="H1155" s="5">
        <v>83</v>
      </c>
      <c r="J1155" s="3" t="s">
        <v>62</v>
      </c>
      <c r="K1155" s="5">
        <v>64</v>
      </c>
      <c r="L1155" s="5">
        <v>30</v>
      </c>
      <c r="N1155" t="s">
        <v>74</v>
      </c>
      <c r="O1155" s="5">
        <v>0</v>
      </c>
      <c r="P1155" s="3" t="s">
        <v>42</v>
      </c>
      <c r="Q1155" s="2">
        <v>179.88</v>
      </c>
      <c r="R1155" s="3" t="s">
        <v>26</v>
      </c>
      <c r="S1155">
        <f>COUNTIF(A:A,A1155)</f>
        <v>1</v>
      </c>
      <c r="T1155" t="str">
        <f>IF(OR(H1155="",LOWER(TRIM(H1155&amp;""))="missing",LOWER(TRIM(H1155&amp;""))=""),"Missing/",IFERROR(IF(OR(VALUE(H1155)&lt;0,VALUE(H1155)&gt;110),"Invalid","Valid"),"Check Format"))</f>
        <v>Valid</v>
      </c>
      <c r="U1155">
        <f>IF(Raw_Data[[#This Row],[Age_Check]]="Valid",H1155,"")</f>
        <v>83</v>
      </c>
      <c r="V1155" t="str">
        <f>IF(OR(K1155="",UPPER(TRIM(K1155&amp;""))="",LOWER(TRIM(K1155&amp;""))="",LOWER(TRIM(K1155&amp;""))="",LOWER(TRIM(K1155&amp;""))="missing"),"Missing/",IFERROR(IF(VALUE(K1155)&lt;0,"Invalid","Valid"),"Check Format"))</f>
        <v>Valid</v>
      </c>
      <c r="W1155" t="str">
        <f>IF(OR(E1155="",F1155=""),"Missing Date/Time",IFERROR(IF(F1155&gt;E1155,"Arrival After Appointment","OK"),"Check Format"))</f>
        <v>OK</v>
      </c>
      <c r="X1155" t="str">
        <f>IF(OR(F1155="",G1155=""),"Missing Date/Time",IFERROR(IF(G1155&lt;F1155,"Discharge Before Arrival","OK"),"Check Format"))</f>
        <v>OK</v>
      </c>
    </row>
    <row r="1156" spans="1:24" x14ac:dyDescent="0.25">
      <c r="A1156" s="2" t="s">
        <v>1807</v>
      </c>
      <c r="B1156" s="2" t="s">
        <v>134</v>
      </c>
      <c r="C1156" s="3" t="s">
        <v>29</v>
      </c>
      <c r="D1156" s="3" t="s">
        <v>149</v>
      </c>
      <c r="E1156" s="4">
        <v>45973.434027777781</v>
      </c>
      <c r="F1156" s="4">
        <v>46002.434027777781</v>
      </c>
      <c r="G1156" s="4">
        <v>46002.464583333334</v>
      </c>
      <c r="J1156" s="3" t="s">
        <v>67</v>
      </c>
      <c r="K1156" s="5">
        <v>0</v>
      </c>
      <c r="L1156" s="5">
        <v>44</v>
      </c>
      <c r="M1156" s="3" t="s">
        <v>50</v>
      </c>
      <c r="N1156" t="s">
        <v>24</v>
      </c>
      <c r="O1156" s="5">
        <v>3</v>
      </c>
      <c r="P1156" s="3" t="s">
        <v>80</v>
      </c>
      <c r="Q1156" s="2">
        <v>155.09</v>
      </c>
      <c r="R1156" s="3" t="s">
        <v>75</v>
      </c>
      <c r="S1156">
        <f>COUNTIF(A:A,A1156)</f>
        <v>1</v>
      </c>
      <c r="T1156" t="str">
        <f>IF(OR(H1156="",LOWER(TRIM(H1156&amp;""))="missing",LOWER(TRIM(H1156&amp;""))=""),"Missing/",IFERROR(IF(OR(VALUE(H1156)&lt;0,VALUE(H1156)&gt;110),"Invalid","Valid"),"Check Format"))</f>
        <v>Missing/</v>
      </c>
      <c r="U1156" t="str">
        <f>IF(Raw_Data[[#This Row],[Age_Check]]="Valid",H1156,"")</f>
        <v/>
      </c>
      <c r="V1156" t="str">
        <f>IF(OR(K1156="",UPPER(TRIM(K1156&amp;""))="",LOWER(TRIM(K1156&amp;""))="",LOWER(TRIM(K1156&amp;""))="",LOWER(TRIM(K1156&amp;""))="missing"),"Missing/",IFERROR(IF(VALUE(K1156)&lt;0,"Invalid","Valid"),"Check Format"))</f>
        <v>Valid</v>
      </c>
      <c r="W1156" t="str">
        <f>IF(OR(E1156="",F1156=""),"Missing Date/Time",IFERROR(IF(F1156&gt;E1156,"Arrival After Appointment","OK"),"Check Format"))</f>
        <v>Arrival After Appointment</v>
      </c>
      <c r="X1156" t="str">
        <f>IF(OR(F1156="",G1156=""),"Missing Date/Time",IFERROR(IF(G1156&lt;F1156,"Discharge Before Arrival","OK"),"Check Format"))</f>
        <v>OK</v>
      </c>
    </row>
    <row r="1157" spans="1:24" x14ac:dyDescent="0.25">
      <c r="A1157" s="2" t="s">
        <v>1808</v>
      </c>
      <c r="B1157" s="2" t="s">
        <v>1809</v>
      </c>
      <c r="C1157" s="3" t="s">
        <v>46</v>
      </c>
      <c r="D1157" s="3" t="s">
        <v>209</v>
      </c>
      <c r="E1157" s="4" t="s">
        <v>1810</v>
      </c>
      <c r="F1157" s="4">
        <v>45774.759027777778</v>
      </c>
      <c r="G1157" s="4">
        <v>45774.859722222223</v>
      </c>
      <c r="H1157" s="5">
        <v>87</v>
      </c>
      <c r="J1157" s="3" t="s">
        <v>171</v>
      </c>
      <c r="K1157" s="5">
        <v>50</v>
      </c>
      <c r="L1157" s="5">
        <v>68</v>
      </c>
      <c r="M1157" s="3" t="s">
        <v>41</v>
      </c>
      <c r="N1157" t="s">
        <v>24</v>
      </c>
      <c r="O1157" s="5">
        <v>0</v>
      </c>
      <c r="Q1157" s="2">
        <v>91.01</v>
      </c>
      <c r="R1157" s="3" t="s">
        <v>26</v>
      </c>
      <c r="S1157">
        <f>COUNTIF(A:A,A1157)</f>
        <v>1</v>
      </c>
      <c r="T1157" t="str">
        <f>IF(OR(H1157="",LOWER(TRIM(H1157&amp;""))="missing",LOWER(TRIM(H1157&amp;""))=""),"Missing/",IFERROR(IF(OR(VALUE(H1157)&lt;0,VALUE(H1157)&gt;110),"Invalid","Valid"),"Check Format"))</f>
        <v>Valid</v>
      </c>
      <c r="U1157">
        <f>IF(Raw_Data[[#This Row],[Age_Check]]="Valid",H1157,"")</f>
        <v>87</v>
      </c>
      <c r="V1157" t="str">
        <f>IF(OR(K1157="",UPPER(TRIM(K1157&amp;""))="",LOWER(TRIM(K1157&amp;""))="",LOWER(TRIM(K1157&amp;""))="",LOWER(TRIM(K1157&amp;""))="missing"),"Missing/",IFERROR(IF(VALUE(K1157)&lt;0,"Invalid","Valid"),"Check Format"))</f>
        <v>Valid</v>
      </c>
      <c r="W1157" t="str">
        <f>IF(OR(E1157="",F1157=""),"Missing Date/Time",IFERROR(IF(F1157&gt;E1157,"Arrival After Appointment","OK"),"Check Format"))</f>
        <v>OK</v>
      </c>
      <c r="X1157" t="str">
        <f>IF(OR(F1157="",G1157=""),"Missing Date/Time",IFERROR(IF(G1157&lt;F1157,"Discharge Before Arrival","OK"),"Check Format"))</f>
        <v>OK</v>
      </c>
    </row>
    <row r="1158" spans="1:24" x14ac:dyDescent="0.25">
      <c r="A1158" s="2" t="s">
        <v>1811</v>
      </c>
      <c r="B1158" s="2" t="s">
        <v>136</v>
      </c>
      <c r="C1158" s="3" t="s">
        <v>46</v>
      </c>
      <c r="D1158" s="3" t="s">
        <v>149</v>
      </c>
      <c r="E1158" s="4">
        <v>45547.659722222219</v>
      </c>
      <c r="F1158" s="4">
        <v>45547.655555555553</v>
      </c>
      <c r="G1158" s="4">
        <v>45547.736111111109</v>
      </c>
      <c r="H1158" s="5">
        <v>44</v>
      </c>
      <c r="I1158" s="3" t="s">
        <v>73</v>
      </c>
      <c r="J1158" s="3" t="s">
        <v>22</v>
      </c>
      <c r="K1158" s="5">
        <v>43</v>
      </c>
      <c r="L1158" s="5">
        <v>67</v>
      </c>
      <c r="M1158" s="3" t="s">
        <v>87</v>
      </c>
      <c r="N1158" t="s">
        <v>100</v>
      </c>
      <c r="O1158" s="5">
        <v>6</v>
      </c>
      <c r="P1158" s="3" t="s">
        <v>25</v>
      </c>
      <c r="Q1158" s="2">
        <v>78.44</v>
      </c>
      <c r="R1158" s="3" t="s">
        <v>75</v>
      </c>
      <c r="S1158">
        <f>COUNTIF(A:A,A1158)</f>
        <v>1</v>
      </c>
      <c r="T1158" t="str">
        <f>IF(OR(H1158="",LOWER(TRIM(H1158&amp;""))="missing",LOWER(TRIM(H1158&amp;""))=""),"Missing/",IFERROR(IF(OR(VALUE(H1158)&lt;0,VALUE(H1158)&gt;110),"Invalid","Valid"),"Check Format"))</f>
        <v>Valid</v>
      </c>
      <c r="U1158">
        <f>IF(Raw_Data[[#This Row],[Age_Check]]="Valid",H1158,"")</f>
        <v>44</v>
      </c>
      <c r="V1158" t="str">
        <f>IF(OR(K1158="",UPPER(TRIM(K1158&amp;""))="",LOWER(TRIM(K1158&amp;""))="",LOWER(TRIM(K1158&amp;""))="",LOWER(TRIM(K1158&amp;""))="missing"),"Missing/",IFERROR(IF(VALUE(K1158)&lt;0,"Invalid","Valid"),"Check Format"))</f>
        <v>Valid</v>
      </c>
      <c r="W1158" t="str">
        <f>IF(OR(E1158="",F1158=""),"Missing Date/Time",IFERROR(IF(F1158&gt;E1158,"Arrival After Appointment","OK"),"Check Format"))</f>
        <v>OK</v>
      </c>
      <c r="X1158" t="str">
        <f>IF(OR(F1158="",G1158=""),"Missing Date/Time",IFERROR(IF(G1158&lt;F1158,"Discharge Before Arrival","OK"),"Check Format"))</f>
        <v>OK</v>
      </c>
    </row>
    <row r="1159" spans="1:24" x14ac:dyDescent="0.25">
      <c r="A1159" s="2" t="s">
        <v>1812</v>
      </c>
      <c r="B1159" s="2" t="s">
        <v>1175</v>
      </c>
      <c r="D1159" s="3" t="s">
        <v>106</v>
      </c>
      <c r="E1159" s="4">
        <v>45323.493055555555</v>
      </c>
      <c r="F1159" s="4">
        <v>45293.481944444444</v>
      </c>
      <c r="G1159" s="4">
        <v>45293.539583333331</v>
      </c>
      <c r="H1159" s="5">
        <v>6</v>
      </c>
      <c r="I1159" s="3" t="s">
        <v>95</v>
      </c>
      <c r="K1159" s="5">
        <v>38</v>
      </c>
      <c r="L1159" s="5">
        <v>29</v>
      </c>
      <c r="M1159" s="3" t="s">
        <v>41</v>
      </c>
      <c r="N1159" t="s">
        <v>69</v>
      </c>
      <c r="O1159" s="5">
        <v>1</v>
      </c>
      <c r="P1159" s="3" t="s">
        <v>42</v>
      </c>
      <c r="Q1159" s="2">
        <v>212.26</v>
      </c>
      <c r="R1159" s="3" t="s">
        <v>75</v>
      </c>
      <c r="S1159">
        <f>COUNTIF(A:A,A1159)</f>
        <v>1</v>
      </c>
      <c r="T1159" t="str">
        <f>IF(OR(H1159="",LOWER(TRIM(H1159&amp;""))="missing",LOWER(TRIM(H1159&amp;""))=""),"Missing/",IFERROR(IF(OR(VALUE(H1159)&lt;0,VALUE(H1159)&gt;110),"Invalid","Valid"),"Check Format"))</f>
        <v>Valid</v>
      </c>
      <c r="U1159">
        <f>IF(Raw_Data[[#This Row],[Age_Check]]="Valid",H1159,"")</f>
        <v>6</v>
      </c>
      <c r="V1159" t="str">
        <f>IF(OR(K1159="",UPPER(TRIM(K1159&amp;""))="",LOWER(TRIM(K1159&amp;""))="",LOWER(TRIM(K1159&amp;""))="",LOWER(TRIM(K1159&amp;""))="missing"),"Missing/",IFERROR(IF(VALUE(K1159)&lt;0,"Invalid","Valid"),"Check Format"))</f>
        <v>Valid</v>
      </c>
      <c r="W1159" t="str">
        <f>IF(OR(E1159="",F1159=""),"Missing Date/Time",IFERROR(IF(F1159&gt;E1159,"Arrival After Appointment","OK"),"Check Format"))</f>
        <v>OK</v>
      </c>
      <c r="X1159" t="str">
        <f>IF(OR(F1159="",G1159=""),"Missing Date/Time",IFERROR(IF(G1159&lt;F1159,"Discharge Before Arrival","OK"),"Check Format"))</f>
        <v>OK</v>
      </c>
    </row>
    <row r="1160" spans="1:24" x14ac:dyDescent="0.25">
      <c r="A1160" s="2" t="s">
        <v>1813</v>
      </c>
      <c r="B1160" s="2" t="s">
        <v>152</v>
      </c>
      <c r="C1160" s="3" t="s">
        <v>19</v>
      </c>
      <c r="D1160" s="3" t="s">
        <v>99</v>
      </c>
      <c r="E1160" s="4">
        <v>45556.569444444445</v>
      </c>
      <c r="F1160" s="4">
        <v>45556.566666666666</v>
      </c>
      <c r="G1160" s="4">
        <v>45556.620138888888</v>
      </c>
      <c r="I1160" s="3" t="s">
        <v>95</v>
      </c>
      <c r="J1160" s="3" t="s">
        <v>67</v>
      </c>
      <c r="K1160" s="5">
        <v>65</v>
      </c>
      <c r="L1160" s="5">
        <v>8</v>
      </c>
      <c r="M1160" s="3" t="s">
        <v>23</v>
      </c>
      <c r="N1160" t="s">
        <v>24</v>
      </c>
      <c r="O1160" s="5">
        <v>4</v>
      </c>
      <c r="Q1160" s="2">
        <v>102.43</v>
      </c>
      <c r="R1160" s="3" t="s">
        <v>58</v>
      </c>
      <c r="S1160">
        <f>COUNTIF(A:A,A1160)</f>
        <v>1</v>
      </c>
      <c r="T1160" t="str">
        <f>IF(OR(H1160="",LOWER(TRIM(H1160&amp;""))="missing",LOWER(TRIM(H1160&amp;""))=""),"Missing/",IFERROR(IF(OR(VALUE(H1160)&lt;0,VALUE(H1160)&gt;110),"Invalid","Valid"),"Check Format"))</f>
        <v>Missing/</v>
      </c>
      <c r="U1160" t="str">
        <f>IF(Raw_Data[[#This Row],[Age_Check]]="Valid",H1160,"")</f>
        <v/>
      </c>
      <c r="V1160" t="str">
        <f>IF(OR(K1160="",UPPER(TRIM(K1160&amp;""))="",LOWER(TRIM(K1160&amp;""))="",LOWER(TRIM(K1160&amp;""))="",LOWER(TRIM(K1160&amp;""))="missing"),"Missing/",IFERROR(IF(VALUE(K1160)&lt;0,"Invalid","Valid"),"Check Format"))</f>
        <v>Valid</v>
      </c>
      <c r="W1160" t="str">
        <f>IF(OR(E1160="",F1160=""),"Missing Date/Time",IFERROR(IF(F1160&gt;E1160,"Arrival After Appointment","OK"),"Check Format"))</f>
        <v>OK</v>
      </c>
      <c r="X1160" t="str">
        <f>IF(OR(F1160="",G1160=""),"Missing Date/Time",IFERROR(IF(G1160&lt;F1160,"Discharge Before Arrival","OK"),"Check Format"))</f>
        <v>OK</v>
      </c>
    </row>
    <row r="1161" spans="1:24" x14ac:dyDescent="0.25">
      <c r="A1161" s="2" t="s">
        <v>1814</v>
      </c>
      <c r="B1161" s="2" t="s">
        <v>1135</v>
      </c>
      <c r="C1161" s="3" t="s">
        <v>94</v>
      </c>
      <c r="D1161" s="3" t="s">
        <v>209</v>
      </c>
      <c r="E1161" s="4">
        <v>45730.409722222219</v>
      </c>
      <c r="F1161" s="4">
        <v>45730.402777777781</v>
      </c>
      <c r="G1161" s="4">
        <v>45730.455555555556</v>
      </c>
      <c r="H1161" s="5">
        <v>145</v>
      </c>
      <c r="J1161" s="3" t="s">
        <v>67</v>
      </c>
      <c r="K1161" s="5">
        <v>36</v>
      </c>
      <c r="L1161" s="5">
        <v>30</v>
      </c>
      <c r="M1161" s="3" t="s">
        <v>32</v>
      </c>
      <c r="N1161" t="s">
        <v>24</v>
      </c>
      <c r="P1161" s="3" t="s">
        <v>25</v>
      </c>
      <c r="Q1161" s="2">
        <v>179.07</v>
      </c>
      <c r="R1161" s="3" t="s">
        <v>75</v>
      </c>
      <c r="S1161">
        <f>COUNTIF(A:A,A1161)</f>
        <v>1</v>
      </c>
      <c r="T1161" t="str">
        <f>IF(OR(H1161="",LOWER(TRIM(H1161&amp;""))="missing",LOWER(TRIM(H1161&amp;""))=""),"Missing/",IFERROR(IF(OR(VALUE(H1161)&lt;0,VALUE(H1161)&gt;110),"Invalid","Valid"),"Check Format"))</f>
        <v>Invalid</v>
      </c>
      <c r="U1161" t="str">
        <f>IF(Raw_Data[[#This Row],[Age_Check]]="Valid",H1161,"")</f>
        <v/>
      </c>
      <c r="V1161" t="str">
        <f>IF(OR(K1161="",UPPER(TRIM(K1161&amp;""))="",LOWER(TRIM(K1161&amp;""))="",LOWER(TRIM(K1161&amp;""))="",LOWER(TRIM(K1161&amp;""))="missing"),"Missing/",IFERROR(IF(VALUE(K1161)&lt;0,"Invalid","Valid"),"Check Format"))</f>
        <v>Valid</v>
      </c>
      <c r="W1161" t="str">
        <f>IF(OR(E1161="",F1161=""),"Missing Date/Time",IFERROR(IF(F1161&gt;E1161,"Arrival After Appointment","OK"),"Check Format"))</f>
        <v>OK</v>
      </c>
      <c r="X1161" t="str">
        <f>IF(OR(F1161="",G1161=""),"Missing Date/Time",IFERROR(IF(G1161&lt;F1161,"Discharge Before Arrival","OK"),"Check Format"))</f>
        <v>OK</v>
      </c>
    </row>
    <row r="1162" spans="1:24" x14ac:dyDescent="0.25">
      <c r="A1162" s="2" t="s">
        <v>1815</v>
      </c>
      <c r="B1162" s="2" t="s">
        <v>526</v>
      </c>
      <c r="D1162" s="3" t="s">
        <v>106</v>
      </c>
      <c r="E1162" s="4">
        <v>46021.506944444445</v>
      </c>
      <c r="F1162" s="4">
        <v>46021.487500000003</v>
      </c>
      <c r="G1162" s="4">
        <v>46021.560416666667</v>
      </c>
      <c r="I1162" s="3" t="s">
        <v>95</v>
      </c>
      <c r="J1162" s="3" t="s">
        <v>150</v>
      </c>
      <c r="K1162" s="5">
        <v>72</v>
      </c>
      <c r="L1162" s="5">
        <v>5</v>
      </c>
      <c r="M1162" s="3" t="s">
        <v>32</v>
      </c>
      <c r="N1162" t="s">
        <v>69</v>
      </c>
      <c r="P1162" s="3" t="s">
        <v>25</v>
      </c>
      <c r="Q1162" s="2">
        <v>230.12</v>
      </c>
      <c r="R1162" s="3" t="s">
        <v>43</v>
      </c>
      <c r="S1162">
        <f>COUNTIF(A:A,A1162)</f>
        <v>1</v>
      </c>
      <c r="T1162" t="str">
        <f>IF(OR(H1162="",LOWER(TRIM(H1162&amp;""))="missing",LOWER(TRIM(H1162&amp;""))=""),"Missing/",IFERROR(IF(OR(VALUE(H1162)&lt;0,VALUE(H1162)&gt;110),"Invalid","Valid"),"Check Format"))</f>
        <v>Missing/</v>
      </c>
      <c r="U1162" t="str">
        <f>IF(Raw_Data[[#This Row],[Age_Check]]="Valid",H1162,"")</f>
        <v/>
      </c>
      <c r="V1162" t="str">
        <f>IF(OR(K1162="",UPPER(TRIM(K1162&amp;""))="",LOWER(TRIM(K1162&amp;""))="",LOWER(TRIM(K1162&amp;""))="",LOWER(TRIM(K1162&amp;""))="missing"),"Missing/",IFERROR(IF(VALUE(K1162)&lt;0,"Invalid","Valid"),"Check Format"))</f>
        <v>Valid</v>
      </c>
      <c r="W1162" t="str">
        <f>IF(OR(E1162="",F1162=""),"Missing Date/Time",IFERROR(IF(F1162&gt;E1162,"Arrival After Appointment","OK"),"Check Format"))</f>
        <v>OK</v>
      </c>
      <c r="X1162" t="str">
        <f>IF(OR(F1162="",G1162=""),"Missing Date/Time",IFERROR(IF(G1162&lt;F1162,"Discharge Before Arrival","OK"),"Check Format"))</f>
        <v>OK</v>
      </c>
    </row>
    <row r="1163" spans="1:24" x14ac:dyDescent="0.25">
      <c r="A1163" s="2" t="s">
        <v>1816</v>
      </c>
      <c r="B1163" s="2" t="s">
        <v>586</v>
      </c>
      <c r="C1163" s="3" t="s">
        <v>19</v>
      </c>
      <c r="D1163" s="3" t="s">
        <v>30</v>
      </c>
      <c r="E1163" s="4">
        <v>45655.347222222219</v>
      </c>
      <c r="F1163" s="4">
        <v>45655.336805555555</v>
      </c>
      <c r="G1163" s="4">
        <v>45655.431944444441</v>
      </c>
      <c r="H1163" s="5">
        <v>83</v>
      </c>
      <c r="J1163" s="3" t="s">
        <v>62</v>
      </c>
      <c r="K1163" s="5">
        <v>66</v>
      </c>
      <c r="L1163" s="5">
        <v>56</v>
      </c>
      <c r="M1163" s="3" t="s">
        <v>87</v>
      </c>
      <c r="N1163" t="s">
        <v>74</v>
      </c>
      <c r="P1163" s="3" t="s">
        <v>42</v>
      </c>
      <c r="R1163" s="3" t="s">
        <v>58</v>
      </c>
      <c r="S1163">
        <f>COUNTIF(A:A,A1163)</f>
        <v>1</v>
      </c>
      <c r="T1163" t="str">
        <f>IF(OR(H1163="",LOWER(TRIM(H1163&amp;""))="missing",LOWER(TRIM(H1163&amp;""))=""),"Missing/",IFERROR(IF(OR(VALUE(H1163)&lt;0,VALUE(H1163)&gt;110),"Invalid","Valid"),"Check Format"))</f>
        <v>Valid</v>
      </c>
      <c r="U1163">
        <f>IF(Raw_Data[[#This Row],[Age_Check]]="Valid",H1163,"")</f>
        <v>83</v>
      </c>
      <c r="V1163" t="str">
        <f>IF(OR(K1163="",UPPER(TRIM(K1163&amp;""))="",LOWER(TRIM(K1163&amp;""))="",LOWER(TRIM(K1163&amp;""))="",LOWER(TRIM(K1163&amp;""))="missing"),"Missing/",IFERROR(IF(VALUE(K1163)&lt;0,"Invalid","Valid"),"Check Format"))</f>
        <v>Valid</v>
      </c>
      <c r="W1163" t="str">
        <f>IF(OR(E1163="",F1163=""),"Missing Date/Time",IFERROR(IF(F1163&gt;E1163,"Arrival After Appointment","OK"),"Check Format"))</f>
        <v>OK</v>
      </c>
      <c r="X1163" t="str">
        <f>IF(OR(F1163="",G1163=""),"Missing Date/Time",IFERROR(IF(G1163&lt;F1163,"Discharge Before Arrival","OK"),"Check Format"))</f>
        <v>OK</v>
      </c>
    </row>
    <row r="1164" spans="1:24" x14ac:dyDescent="0.25">
      <c r="A1164" s="2" t="s">
        <v>1817</v>
      </c>
      <c r="B1164" s="2" t="s">
        <v>1818</v>
      </c>
      <c r="C1164" s="3" t="s">
        <v>29</v>
      </c>
      <c r="D1164" s="3" t="s">
        <v>30</v>
      </c>
      <c r="E1164" s="4">
        <v>45539.763888888891</v>
      </c>
      <c r="F1164" s="4">
        <v>45539.754861111112</v>
      </c>
      <c r="G1164" s="4">
        <v>45539.85</v>
      </c>
      <c r="H1164" s="5">
        <v>23</v>
      </c>
      <c r="I1164" s="3" t="s">
        <v>95</v>
      </c>
      <c r="J1164" s="3" t="s">
        <v>22</v>
      </c>
      <c r="K1164" s="5">
        <v>73</v>
      </c>
      <c r="L1164" s="5">
        <v>51</v>
      </c>
      <c r="N1164" t="s">
        <v>69</v>
      </c>
      <c r="O1164" s="5">
        <v>1</v>
      </c>
      <c r="P1164" s="3" t="s">
        <v>25</v>
      </c>
      <c r="Q1164" s="2">
        <v>182.32</v>
      </c>
      <c r="R1164" s="3" t="s">
        <v>26</v>
      </c>
      <c r="S1164">
        <f>COUNTIF(A:A,A1164)</f>
        <v>1</v>
      </c>
      <c r="T1164" t="str">
        <f>IF(OR(H1164="",LOWER(TRIM(H1164&amp;""))="missing",LOWER(TRIM(H1164&amp;""))=""),"Missing/",IFERROR(IF(OR(VALUE(H1164)&lt;0,VALUE(H1164)&gt;110),"Invalid","Valid"),"Check Format"))</f>
        <v>Valid</v>
      </c>
      <c r="U1164">
        <f>IF(Raw_Data[[#This Row],[Age_Check]]="Valid",H1164,"")</f>
        <v>23</v>
      </c>
      <c r="V1164" t="str">
        <f>IF(OR(K1164="",UPPER(TRIM(K1164&amp;""))="",LOWER(TRIM(K1164&amp;""))="",LOWER(TRIM(K1164&amp;""))="",LOWER(TRIM(K1164&amp;""))="missing"),"Missing/",IFERROR(IF(VALUE(K1164)&lt;0,"Invalid","Valid"),"Check Format"))</f>
        <v>Valid</v>
      </c>
      <c r="W1164" t="str">
        <f>IF(OR(E1164="",F1164=""),"Missing Date/Time",IFERROR(IF(F1164&gt;E1164,"Arrival After Appointment","OK"),"Check Format"))</f>
        <v>OK</v>
      </c>
      <c r="X1164" t="str">
        <f>IF(OR(F1164="",G1164=""),"Missing Date/Time",IFERROR(IF(G1164&lt;F1164,"Discharge Before Arrival","OK"),"Check Format"))</f>
        <v>OK</v>
      </c>
    </row>
    <row r="1165" spans="1:24" x14ac:dyDescent="0.25">
      <c r="A1165" s="2" t="s">
        <v>1819</v>
      </c>
      <c r="B1165" s="2" t="s">
        <v>1394</v>
      </c>
      <c r="C1165" s="3" t="s">
        <v>94</v>
      </c>
      <c r="D1165" s="3" t="s">
        <v>106</v>
      </c>
      <c r="E1165" s="4">
        <v>45607.701388888891</v>
      </c>
      <c r="F1165" s="4">
        <v>45607.7</v>
      </c>
      <c r="J1165" s="3" t="s">
        <v>150</v>
      </c>
      <c r="K1165" s="5">
        <v>105</v>
      </c>
      <c r="L1165" s="5">
        <v>41</v>
      </c>
      <c r="M1165" s="3" t="s">
        <v>50</v>
      </c>
      <c r="N1165" t="s">
        <v>24</v>
      </c>
      <c r="O1165" s="5">
        <v>0</v>
      </c>
      <c r="P1165" s="3" t="s">
        <v>25</v>
      </c>
      <c r="Q1165" s="2">
        <v>137.16999999999999</v>
      </c>
      <c r="R1165" s="3" t="s">
        <v>75</v>
      </c>
      <c r="S1165">
        <f>COUNTIF(A:A,A1165)</f>
        <v>1</v>
      </c>
      <c r="T1165" t="str">
        <f>IF(OR(H1165="",LOWER(TRIM(H1165&amp;""))="missing",LOWER(TRIM(H1165&amp;""))=""),"Missing/",IFERROR(IF(OR(VALUE(H1165)&lt;0,VALUE(H1165)&gt;110),"Invalid","Valid"),"Check Format"))</f>
        <v>Missing/</v>
      </c>
      <c r="U1165" t="str">
        <f>IF(Raw_Data[[#This Row],[Age_Check]]="Valid",H1165,"")</f>
        <v/>
      </c>
      <c r="V1165" t="str">
        <f>IF(OR(K1165="",UPPER(TRIM(K1165&amp;""))="",LOWER(TRIM(K1165&amp;""))="",LOWER(TRIM(K1165&amp;""))="",LOWER(TRIM(K1165&amp;""))="missing"),"Missing/",IFERROR(IF(VALUE(K1165)&lt;0,"Invalid","Valid"),"Check Format"))</f>
        <v>Valid</v>
      </c>
      <c r="W1165" t="str">
        <f>IF(OR(E1165="",F1165=""),"Missing Date/Time",IFERROR(IF(F1165&gt;E1165,"Arrival After Appointment","OK"),"Check Format"))</f>
        <v>OK</v>
      </c>
      <c r="X1165" t="str">
        <f>IF(OR(F1165="",G1165=""),"Missing Date/Time",IFERROR(IF(G1165&lt;F1165,"Discharge Before Arrival","OK"),"Check Format"))</f>
        <v>Missing Date/Time</v>
      </c>
    </row>
    <row r="1166" spans="1:24" x14ac:dyDescent="0.25">
      <c r="A1166" s="2" t="s">
        <v>1820</v>
      </c>
      <c r="B1166" s="2" t="s">
        <v>397</v>
      </c>
      <c r="D1166" s="3" t="s">
        <v>174</v>
      </c>
      <c r="E1166" s="4">
        <v>45950.729166666664</v>
      </c>
      <c r="F1166" s="4">
        <v>45950.720138888886</v>
      </c>
      <c r="G1166" s="4">
        <v>45950.857638888891</v>
      </c>
      <c r="H1166" s="5">
        <v>145</v>
      </c>
      <c r="I1166" s="3" t="s">
        <v>95</v>
      </c>
      <c r="K1166" s="5">
        <v>137</v>
      </c>
      <c r="L1166" s="5">
        <v>48</v>
      </c>
      <c r="M1166" s="3" t="s">
        <v>87</v>
      </c>
      <c r="N1166" t="s">
        <v>91</v>
      </c>
      <c r="O1166" s="5">
        <v>0</v>
      </c>
      <c r="P1166" s="3" t="s">
        <v>25</v>
      </c>
      <c r="Q1166" s="2">
        <v>190.9</v>
      </c>
      <c r="R1166" s="3" t="s">
        <v>26</v>
      </c>
      <c r="S1166">
        <f>COUNTIF(A:A,A1166)</f>
        <v>1</v>
      </c>
      <c r="T1166" t="str">
        <f>IF(OR(H1166="",LOWER(TRIM(H1166&amp;""))="missing",LOWER(TRIM(H1166&amp;""))=""),"Missing/",IFERROR(IF(OR(VALUE(H1166)&lt;0,VALUE(H1166)&gt;110),"Invalid","Valid"),"Check Format"))</f>
        <v>Invalid</v>
      </c>
      <c r="U1166" t="str">
        <f>IF(Raw_Data[[#This Row],[Age_Check]]="Valid",H1166,"")</f>
        <v/>
      </c>
      <c r="V1166" t="str">
        <f>IF(OR(K1166="",UPPER(TRIM(K1166&amp;""))="",LOWER(TRIM(K1166&amp;""))="",LOWER(TRIM(K1166&amp;""))="",LOWER(TRIM(K1166&amp;""))="missing"),"Missing/",IFERROR(IF(VALUE(K1166)&lt;0,"Invalid","Valid"),"Check Format"))</f>
        <v>Valid</v>
      </c>
      <c r="W1166" t="str">
        <f>IF(OR(E1166="",F1166=""),"Missing Date/Time",IFERROR(IF(F1166&gt;E1166,"Arrival After Appointment","OK"),"Check Format"))</f>
        <v>OK</v>
      </c>
      <c r="X1166" t="str">
        <f>IF(OR(F1166="",G1166=""),"Missing Date/Time",IFERROR(IF(G1166&lt;F1166,"Discharge Before Arrival","OK"),"Check Format"))</f>
        <v>OK</v>
      </c>
    </row>
    <row r="1167" spans="1:24" x14ac:dyDescent="0.25">
      <c r="A1167" s="2" t="s">
        <v>1821</v>
      </c>
      <c r="B1167" s="2" t="s">
        <v>269</v>
      </c>
      <c r="C1167" s="3" t="s">
        <v>94</v>
      </c>
      <c r="D1167" s="3" t="s">
        <v>99</v>
      </c>
      <c r="E1167" s="4">
        <v>45574.756944444445</v>
      </c>
      <c r="F1167" s="4">
        <v>45574.753472222219</v>
      </c>
      <c r="G1167" s="4">
        <v>45574.771527777775</v>
      </c>
      <c r="I1167" s="3" t="s">
        <v>90</v>
      </c>
      <c r="J1167" s="3" t="s">
        <v>2639</v>
      </c>
      <c r="K1167" s="5">
        <v>13</v>
      </c>
      <c r="L1167" s="5">
        <v>8</v>
      </c>
      <c r="M1167" s="3" t="s">
        <v>32</v>
      </c>
      <c r="N1167" t="s">
        <v>24</v>
      </c>
      <c r="O1167" s="5">
        <v>0</v>
      </c>
      <c r="P1167" s="3" t="s">
        <v>80</v>
      </c>
      <c r="Q1167" s="2">
        <v>168.42</v>
      </c>
      <c r="R1167" s="3" t="s">
        <v>58</v>
      </c>
      <c r="S1167">
        <f>COUNTIF(A:A,A1167)</f>
        <v>1</v>
      </c>
      <c r="T1167" t="str">
        <f>IF(OR(H1167="",LOWER(TRIM(H1167&amp;""))="missing",LOWER(TRIM(H1167&amp;""))=""),"Missing/",IFERROR(IF(OR(VALUE(H1167)&lt;0,VALUE(H1167)&gt;110),"Invalid","Valid"),"Check Format"))</f>
        <v>Missing/</v>
      </c>
      <c r="U1167" t="str">
        <f>IF(Raw_Data[[#This Row],[Age_Check]]="Valid",H1167,"")</f>
        <v/>
      </c>
      <c r="V1167" t="str">
        <f>IF(OR(K1167="",UPPER(TRIM(K1167&amp;""))="",LOWER(TRIM(K1167&amp;""))="",LOWER(TRIM(K1167&amp;""))="",LOWER(TRIM(K1167&amp;""))="missing"),"Missing/",IFERROR(IF(VALUE(K1167)&lt;0,"Invalid","Valid"),"Check Format"))</f>
        <v>Valid</v>
      </c>
      <c r="W1167" t="str">
        <f>IF(OR(E1167="",F1167=""),"Missing Date/Time",IFERROR(IF(F1167&gt;E1167,"Arrival After Appointment","OK"),"Check Format"))</f>
        <v>OK</v>
      </c>
      <c r="X1167" t="str">
        <f>IF(OR(F1167="",G1167=""),"Missing Date/Time",IFERROR(IF(G1167&lt;F1167,"Discharge Before Arrival","OK"),"Check Format"))</f>
        <v>OK</v>
      </c>
    </row>
    <row r="1168" spans="1:24" x14ac:dyDescent="0.25">
      <c r="A1168" s="2" t="s">
        <v>1822</v>
      </c>
      <c r="B1168" s="2" t="s">
        <v>362</v>
      </c>
      <c r="D1168" s="3" t="s">
        <v>23</v>
      </c>
      <c r="E1168" s="4" t="s">
        <v>1823</v>
      </c>
      <c r="F1168" s="4">
        <v>45382.64166666667</v>
      </c>
      <c r="G1168" s="4">
        <v>45382.703472222223</v>
      </c>
      <c r="J1168" s="3" t="s">
        <v>67</v>
      </c>
      <c r="K1168" s="5">
        <v>1440</v>
      </c>
      <c r="L1168" s="5">
        <v>20</v>
      </c>
      <c r="M1168" s="3" t="s">
        <v>41</v>
      </c>
      <c r="N1168" t="s">
        <v>69</v>
      </c>
      <c r="Q1168" s="2">
        <v>156.28</v>
      </c>
      <c r="R1168" s="3" t="s">
        <v>43</v>
      </c>
      <c r="S1168">
        <f>COUNTIF(A:A,A1168)</f>
        <v>1</v>
      </c>
      <c r="T1168" t="str">
        <f>IF(OR(H1168="",LOWER(TRIM(H1168&amp;""))="missing",LOWER(TRIM(H1168&amp;""))=""),"Missing/",IFERROR(IF(OR(VALUE(H1168)&lt;0,VALUE(H1168)&gt;110),"Invalid","Valid"),"Check Format"))</f>
        <v>Missing/</v>
      </c>
      <c r="U1168" t="str">
        <f>IF(Raw_Data[[#This Row],[Age_Check]]="Valid",H1168,"")</f>
        <v/>
      </c>
      <c r="V1168" t="str">
        <f>IF(OR(K1168="",UPPER(TRIM(K1168&amp;""))="",LOWER(TRIM(K1168&amp;""))="",LOWER(TRIM(K1168&amp;""))="",LOWER(TRIM(K1168&amp;""))="missing"),"Missing/",IFERROR(IF(VALUE(K1168)&lt;0,"Invalid","Valid"),"Check Format"))</f>
        <v>Valid</v>
      </c>
      <c r="W1168" t="str">
        <f>IF(OR(E1168="",F1168=""),"Missing Date/Time",IFERROR(IF(F1168&gt;E1168,"Arrival After Appointment","OK"),"Check Format"))</f>
        <v>OK</v>
      </c>
      <c r="X1168" t="str">
        <f>IF(OR(F1168="",G1168=""),"Missing Date/Time",IFERROR(IF(G1168&lt;F1168,"Discharge Before Arrival","OK"),"Check Format"))</f>
        <v>OK</v>
      </c>
    </row>
    <row r="1169" spans="1:24" x14ac:dyDescent="0.25">
      <c r="A1169" s="2" t="s">
        <v>1824</v>
      </c>
      <c r="B1169" s="2" t="s">
        <v>442</v>
      </c>
      <c r="C1169" s="3" t="s">
        <v>37</v>
      </c>
      <c r="D1169" s="3" t="s">
        <v>209</v>
      </c>
      <c r="E1169" s="4">
        <v>45309.784722222219</v>
      </c>
      <c r="F1169" s="4">
        <v>45309.783333333333</v>
      </c>
      <c r="G1169" s="4">
        <v>45309.893750000003</v>
      </c>
      <c r="I1169" s="3" t="s">
        <v>95</v>
      </c>
      <c r="J1169" s="3" t="s">
        <v>171</v>
      </c>
      <c r="K1169" s="5">
        <v>113</v>
      </c>
      <c r="L1169" s="5">
        <v>44</v>
      </c>
      <c r="N1169" t="s">
        <v>103</v>
      </c>
      <c r="P1169" s="3" t="s">
        <v>25</v>
      </c>
      <c r="Q1169" s="2">
        <v>53.72</v>
      </c>
      <c r="R1169" s="3" t="s">
        <v>43</v>
      </c>
      <c r="S1169">
        <f>COUNTIF(A:A,A1169)</f>
        <v>1</v>
      </c>
      <c r="T1169" t="str">
        <f>IF(OR(H1169="",LOWER(TRIM(H1169&amp;""))="missing",LOWER(TRIM(H1169&amp;""))=""),"Missing/",IFERROR(IF(OR(VALUE(H1169)&lt;0,VALUE(H1169)&gt;110),"Invalid","Valid"),"Check Format"))</f>
        <v>Missing/</v>
      </c>
      <c r="U1169" t="str">
        <f>IF(Raw_Data[[#This Row],[Age_Check]]="Valid",H1169,"")</f>
        <v/>
      </c>
      <c r="V1169" t="str">
        <f>IF(OR(K1169="",UPPER(TRIM(K1169&amp;""))="",LOWER(TRIM(K1169&amp;""))="",LOWER(TRIM(K1169&amp;""))="",LOWER(TRIM(K1169&amp;""))="missing"),"Missing/",IFERROR(IF(VALUE(K1169)&lt;0,"Invalid","Valid"),"Check Format"))</f>
        <v>Valid</v>
      </c>
      <c r="W1169" t="str">
        <f>IF(OR(E1169="",F1169=""),"Missing Date/Time",IFERROR(IF(F1169&gt;E1169,"Arrival After Appointment","OK"),"Check Format"))</f>
        <v>OK</v>
      </c>
      <c r="X1169" t="str">
        <f>IF(OR(F1169="",G1169=""),"Missing Date/Time",IFERROR(IF(G1169&lt;F1169,"Discharge Before Arrival","OK"),"Check Format"))</f>
        <v>OK</v>
      </c>
    </row>
    <row r="1170" spans="1:24" x14ac:dyDescent="0.25">
      <c r="A1170" s="2" t="s">
        <v>1825</v>
      </c>
      <c r="B1170" s="2" t="s">
        <v>962</v>
      </c>
      <c r="C1170" s="3" t="s">
        <v>29</v>
      </c>
      <c r="D1170" s="3" t="s">
        <v>30</v>
      </c>
      <c r="E1170" s="4">
        <v>45300.392361111109</v>
      </c>
      <c r="F1170" s="4">
        <v>45300.390972222223</v>
      </c>
      <c r="G1170" s="4">
        <v>45300.441666666666</v>
      </c>
      <c r="H1170" s="5">
        <v>145</v>
      </c>
      <c r="I1170" s="3" t="s">
        <v>39</v>
      </c>
      <c r="K1170" s="5">
        <v>54</v>
      </c>
      <c r="L1170" s="5">
        <v>17</v>
      </c>
      <c r="M1170" s="3" t="s">
        <v>68</v>
      </c>
      <c r="N1170" t="s">
        <v>100</v>
      </c>
      <c r="O1170" s="5">
        <v>6</v>
      </c>
      <c r="P1170" s="3" t="s">
        <v>25</v>
      </c>
      <c r="Q1170" s="2">
        <v>113.98</v>
      </c>
      <c r="R1170" s="3" t="s">
        <v>26</v>
      </c>
      <c r="S1170">
        <f>COUNTIF(A:A,A1170)</f>
        <v>1</v>
      </c>
      <c r="T1170" t="str">
        <f>IF(OR(H1170="",LOWER(TRIM(H1170&amp;""))="missing",LOWER(TRIM(H1170&amp;""))=""),"Missing/",IFERROR(IF(OR(VALUE(H1170)&lt;0,VALUE(H1170)&gt;110),"Invalid","Valid"),"Check Format"))</f>
        <v>Invalid</v>
      </c>
      <c r="U1170" t="str">
        <f>IF(Raw_Data[[#This Row],[Age_Check]]="Valid",H1170,"")</f>
        <v/>
      </c>
      <c r="V1170" t="str">
        <f>IF(OR(K1170="",UPPER(TRIM(K1170&amp;""))="",LOWER(TRIM(K1170&amp;""))="",LOWER(TRIM(K1170&amp;""))="",LOWER(TRIM(K1170&amp;""))="missing"),"Missing/",IFERROR(IF(VALUE(K1170)&lt;0,"Invalid","Valid"),"Check Format"))</f>
        <v>Valid</v>
      </c>
      <c r="W1170" t="str">
        <f>IF(OR(E1170="",F1170=""),"Missing Date/Time",IFERROR(IF(F1170&gt;E1170,"Arrival After Appointment","OK"),"Check Format"))</f>
        <v>OK</v>
      </c>
      <c r="X1170" t="str">
        <f>IF(OR(F1170="",G1170=""),"Missing Date/Time",IFERROR(IF(G1170&lt;F1170,"Discharge Before Arrival","OK"),"Check Format"))</f>
        <v>OK</v>
      </c>
    </row>
    <row r="1171" spans="1:24" x14ac:dyDescent="0.25">
      <c r="A1171" s="2" t="s">
        <v>1826</v>
      </c>
      <c r="B1171" s="2" t="s">
        <v>208</v>
      </c>
      <c r="C1171" s="3" t="s">
        <v>29</v>
      </c>
      <c r="D1171" s="3" t="s">
        <v>209</v>
      </c>
      <c r="E1171" s="4">
        <v>45602.784722222219</v>
      </c>
      <c r="F1171" s="4">
        <v>45602.773611111108</v>
      </c>
      <c r="G1171" s="4">
        <v>45602.830555555556</v>
      </c>
      <c r="I1171" s="3" t="s">
        <v>39</v>
      </c>
      <c r="J1171" s="3" t="s">
        <v>62</v>
      </c>
      <c r="K1171" s="5">
        <v>43</v>
      </c>
      <c r="L1171" s="5">
        <v>23</v>
      </c>
      <c r="M1171" s="3" t="s">
        <v>68</v>
      </c>
      <c r="N1171" t="s">
        <v>24</v>
      </c>
      <c r="O1171" s="5">
        <v>5</v>
      </c>
      <c r="P1171" s="3" t="s">
        <v>25</v>
      </c>
      <c r="Q1171" s="2">
        <v>44.59</v>
      </c>
      <c r="R1171" s="3" t="s">
        <v>26</v>
      </c>
      <c r="S1171">
        <f>COUNTIF(A:A,A1171)</f>
        <v>1</v>
      </c>
      <c r="T1171" t="str">
        <f>IF(OR(H1171="",LOWER(TRIM(H1171&amp;""))="missing",LOWER(TRIM(H1171&amp;""))=""),"Missing/",IFERROR(IF(OR(VALUE(H1171)&lt;0,VALUE(H1171)&gt;110),"Invalid","Valid"),"Check Format"))</f>
        <v>Missing/</v>
      </c>
      <c r="U1171" t="str">
        <f>IF(Raw_Data[[#This Row],[Age_Check]]="Valid",H1171,"")</f>
        <v/>
      </c>
      <c r="V1171" t="str">
        <f>IF(OR(K1171="",UPPER(TRIM(K1171&amp;""))="",LOWER(TRIM(K1171&amp;""))="",LOWER(TRIM(K1171&amp;""))="",LOWER(TRIM(K1171&amp;""))="missing"),"Missing/",IFERROR(IF(VALUE(K1171)&lt;0,"Invalid","Valid"),"Check Format"))</f>
        <v>Valid</v>
      </c>
      <c r="W1171" t="str">
        <f>IF(OR(E1171="",F1171=""),"Missing Date/Time",IFERROR(IF(F1171&gt;E1171,"Arrival After Appointment","OK"),"Check Format"))</f>
        <v>OK</v>
      </c>
      <c r="X1171" t="str">
        <f>IF(OR(F1171="",G1171=""),"Missing Date/Time",IFERROR(IF(G1171&lt;F1171,"Discharge Before Arrival","OK"),"Check Format"))</f>
        <v>OK</v>
      </c>
    </row>
    <row r="1172" spans="1:24" x14ac:dyDescent="0.25">
      <c r="A1172" s="2" t="s">
        <v>1827</v>
      </c>
      <c r="B1172" s="2" t="s">
        <v>648</v>
      </c>
      <c r="C1172" s="3" t="s">
        <v>94</v>
      </c>
      <c r="D1172" s="3" t="s">
        <v>115</v>
      </c>
      <c r="E1172" s="4">
        <v>45334.75</v>
      </c>
      <c r="F1172" s="4">
        <v>45334.74722222222</v>
      </c>
      <c r="G1172" s="4">
        <v>45334.801388888889</v>
      </c>
      <c r="H1172" s="5">
        <v>39</v>
      </c>
      <c r="I1172" s="3" t="s">
        <v>73</v>
      </c>
      <c r="J1172" s="3" t="s">
        <v>2639</v>
      </c>
      <c r="K1172" s="5">
        <v>53</v>
      </c>
      <c r="L1172" s="5">
        <v>21</v>
      </c>
      <c r="M1172" s="3" t="s">
        <v>41</v>
      </c>
      <c r="O1172" s="5">
        <v>4</v>
      </c>
      <c r="Q1172" s="2">
        <v>0</v>
      </c>
      <c r="R1172" s="3" t="s">
        <v>58</v>
      </c>
      <c r="S1172">
        <f>COUNTIF(A:A,A1172)</f>
        <v>1</v>
      </c>
      <c r="T1172" t="str">
        <f>IF(OR(H1172="",LOWER(TRIM(H1172&amp;""))="missing",LOWER(TRIM(H1172&amp;""))=""),"Missing/",IFERROR(IF(OR(VALUE(H1172)&lt;0,VALUE(H1172)&gt;110),"Invalid","Valid"),"Check Format"))</f>
        <v>Valid</v>
      </c>
      <c r="U1172">
        <f>IF(Raw_Data[[#This Row],[Age_Check]]="Valid",H1172,"")</f>
        <v>39</v>
      </c>
      <c r="V1172" t="str">
        <f>IF(OR(K1172="",UPPER(TRIM(K1172&amp;""))="",LOWER(TRIM(K1172&amp;""))="",LOWER(TRIM(K1172&amp;""))="",LOWER(TRIM(K1172&amp;""))="missing"),"Missing/",IFERROR(IF(VALUE(K1172)&lt;0,"Invalid","Valid"),"Check Format"))</f>
        <v>Valid</v>
      </c>
      <c r="W1172" t="str">
        <f>IF(OR(E1172="",F1172=""),"Missing Date/Time",IFERROR(IF(F1172&gt;E1172,"Arrival After Appointment","OK"),"Check Format"))</f>
        <v>OK</v>
      </c>
      <c r="X1172" t="str">
        <f>IF(OR(F1172="",G1172=""),"Missing Date/Time",IFERROR(IF(G1172&lt;F1172,"Discharge Before Arrival","OK"),"Check Format"))</f>
        <v>OK</v>
      </c>
    </row>
    <row r="1173" spans="1:24" x14ac:dyDescent="0.25">
      <c r="A1173" s="2" t="s">
        <v>1828</v>
      </c>
      <c r="B1173" s="2" t="s">
        <v>1254</v>
      </c>
      <c r="C1173" s="3" t="s">
        <v>37</v>
      </c>
      <c r="D1173" s="3" t="s">
        <v>61</v>
      </c>
      <c r="E1173" s="4">
        <v>45489.461805555555</v>
      </c>
      <c r="F1173" s="4">
        <v>45489.442361111112</v>
      </c>
      <c r="G1173" s="4">
        <v>45489.586805555555</v>
      </c>
      <c r="H1173" s="5">
        <v>46</v>
      </c>
      <c r="I1173" s="3" t="s">
        <v>73</v>
      </c>
      <c r="J1173" s="3" t="s">
        <v>62</v>
      </c>
      <c r="K1173" s="5">
        <v>129</v>
      </c>
      <c r="L1173" s="5">
        <v>51</v>
      </c>
      <c r="M1173" s="3" t="s">
        <v>41</v>
      </c>
      <c r="N1173" t="s">
        <v>24</v>
      </c>
      <c r="O1173" s="5">
        <v>1</v>
      </c>
      <c r="Q1173" s="2">
        <v>114.9</v>
      </c>
      <c r="R1173" s="3" t="s">
        <v>58</v>
      </c>
      <c r="S1173">
        <f>COUNTIF(A:A,A1173)</f>
        <v>1</v>
      </c>
      <c r="T1173" t="str">
        <f>IF(OR(H1173="",LOWER(TRIM(H1173&amp;""))="missing",LOWER(TRIM(H1173&amp;""))=""),"Missing/",IFERROR(IF(OR(VALUE(H1173)&lt;0,VALUE(H1173)&gt;110),"Invalid","Valid"),"Check Format"))</f>
        <v>Valid</v>
      </c>
      <c r="U1173">
        <f>IF(Raw_Data[[#This Row],[Age_Check]]="Valid",H1173,"")</f>
        <v>46</v>
      </c>
      <c r="V1173" t="str">
        <f>IF(OR(K1173="",UPPER(TRIM(K1173&amp;""))="",LOWER(TRIM(K1173&amp;""))="",LOWER(TRIM(K1173&amp;""))="",LOWER(TRIM(K1173&amp;""))="missing"),"Missing/",IFERROR(IF(VALUE(K1173)&lt;0,"Invalid","Valid"),"Check Format"))</f>
        <v>Valid</v>
      </c>
      <c r="W1173" t="str">
        <f>IF(OR(E1173="",F1173=""),"Missing Date/Time",IFERROR(IF(F1173&gt;E1173,"Arrival After Appointment","OK"),"Check Format"))</f>
        <v>OK</v>
      </c>
      <c r="X1173" t="str">
        <f>IF(OR(F1173="",G1173=""),"Missing Date/Time",IFERROR(IF(G1173&lt;F1173,"Discharge Before Arrival","OK"),"Check Format"))</f>
        <v>OK</v>
      </c>
    </row>
    <row r="1174" spans="1:24" x14ac:dyDescent="0.25">
      <c r="A1174" s="2" t="s">
        <v>1829</v>
      </c>
      <c r="B1174" s="2" t="s">
        <v>535</v>
      </c>
      <c r="C1174" s="3" t="s">
        <v>29</v>
      </c>
      <c r="D1174" s="3" t="s">
        <v>30</v>
      </c>
      <c r="E1174" s="4">
        <v>45630.322916666664</v>
      </c>
      <c r="F1174" s="4">
        <v>45394.313888888886</v>
      </c>
      <c r="G1174" s="4">
        <v>45394.370138888888</v>
      </c>
      <c r="H1174" s="5">
        <v>55</v>
      </c>
      <c r="I1174" s="3" t="s">
        <v>90</v>
      </c>
      <c r="J1174" s="3" t="s">
        <v>67</v>
      </c>
      <c r="K1174" s="5">
        <v>58</v>
      </c>
      <c r="L1174" s="5">
        <v>10</v>
      </c>
      <c r="M1174" s="3" t="s">
        <v>41</v>
      </c>
      <c r="N1174" t="s">
        <v>103</v>
      </c>
      <c r="P1174" s="3" t="s">
        <v>80</v>
      </c>
      <c r="Q1174" s="2">
        <v>280.66000000000003</v>
      </c>
      <c r="R1174" s="3" t="s">
        <v>58</v>
      </c>
      <c r="S1174">
        <f>COUNTIF(A:A,A1174)</f>
        <v>1</v>
      </c>
      <c r="T1174" t="str">
        <f>IF(OR(H1174="",LOWER(TRIM(H1174&amp;""))="missing",LOWER(TRIM(H1174&amp;""))=""),"Missing/",IFERROR(IF(OR(VALUE(H1174)&lt;0,VALUE(H1174)&gt;110),"Invalid","Valid"),"Check Format"))</f>
        <v>Valid</v>
      </c>
      <c r="U1174">
        <f>IF(Raw_Data[[#This Row],[Age_Check]]="Valid",H1174,"")</f>
        <v>55</v>
      </c>
      <c r="V1174" t="str">
        <f>IF(OR(K1174="",UPPER(TRIM(K1174&amp;""))="",LOWER(TRIM(K1174&amp;""))="",LOWER(TRIM(K1174&amp;""))="",LOWER(TRIM(K1174&amp;""))="missing"),"Missing/",IFERROR(IF(VALUE(K1174)&lt;0,"Invalid","Valid"),"Check Format"))</f>
        <v>Valid</v>
      </c>
      <c r="W1174" t="str">
        <f>IF(OR(E1174="",F1174=""),"Missing Date/Time",IFERROR(IF(F1174&gt;E1174,"Arrival After Appointment","OK"),"Check Format"))</f>
        <v>OK</v>
      </c>
      <c r="X1174" t="str">
        <f>IF(OR(F1174="",G1174=""),"Missing Date/Time",IFERROR(IF(G1174&lt;F1174,"Discharge Before Arrival","OK"),"Check Format"))</f>
        <v>OK</v>
      </c>
    </row>
    <row r="1175" spans="1:24" x14ac:dyDescent="0.25">
      <c r="A1175" s="2" t="s">
        <v>1830</v>
      </c>
      <c r="B1175" s="2" t="s">
        <v>1010</v>
      </c>
      <c r="C1175" s="3" t="s">
        <v>19</v>
      </c>
      <c r="D1175" s="3" t="s">
        <v>23</v>
      </c>
      <c r="E1175" s="4">
        <v>45904.475694444445</v>
      </c>
      <c r="F1175" s="4">
        <v>45904.455555555556</v>
      </c>
      <c r="G1175" s="4">
        <v>45904.585416666669</v>
      </c>
      <c r="I1175" s="3" t="s">
        <v>73</v>
      </c>
      <c r="J1175" s="3" t="s">
        <v>171</v>
      </c>
      <c r="K1175" s="5">
        <v>124</v>
      </c>
      <c r="L1175" s="5">
        <v>34</v>
      </c>
      <c r="N1175" t="s">
        <v>69</v>
      </c>
      <c r="O1175" s="5">
        <v>5</v>
      </c>
      <c r="P1175" s="3" t="s">
        <v>25</v>
      </c>
      <c r="Q1175" s="2">
        <v>226.88</v>
      </c>
      <c r="R1175" s="3" t="s">
        <v>26</v>
      </c>
      <c r="S1175">
        <f>COUNTIF(A:A,A1175)</f>
        <v>1</v>
      </c>
      <c r="T1175" t="str">
        <f>IF(OR(H1175="",LOWER(TRIM(H1175&amp;""))="missing",LOWER(TRIM(H1175&amp;""))=""),"Missing/",IFERROR(IF(OR(VALUE(H1175)&lt;0,VALUE(H1175)&gt;110),"Invalid","Valid"),"Check Format"))</f>
        <v>Missing/</v>
      </c>
      <c r="U1175" t="str">
        <f>IF(Raw_Data[[#This Row],[Age_Check]]="Valid",H1175,"")</f>
        <v/>
      </c>
      <c r="V1175" t="str">
        <f>IF(OR(K1175="",UPPER(TRIM(K1175&amp;""))="",LOWER(TRIM(K1175&amp;""))="",LOWER(TRIM(K1175&amp;""))="",LOWER(TRIM(K1175&amp;""))="missing"),"Missing/",IFERROR(IF(VALUE(K1175)&lt;0,"Invalid","Valid"),"Check Format"))</f>
        <v>Valid</v>
      </c>
      <c r="W1175" t="str">
        <f>IF(OR(E1175="",F1175=""),"Missing Date/Time",IFERROR(IF(F1175&gt;E1175,"Arrival After Appointment","OK"),"Check Format"))</f>
        <v>OK</v>
      </c>
      <c r="X1175" t="str">
        <f>IF(OR(F1175="",G1175=""),"Missing Date/Time",IFERROR(IF(G1175&lt;F1175,"Discharge Before Arrival","OK"),"Check Format"))</f>
        <v>OK</v>
      </c>
    </row>
    <row r="1176" spans="1:24" x14ac:dyDescent="0.25">
      <c r="A1176" s="2" t="s">
        <v>1831</v>
      </c>
      <c r="B1176" s="2" t="s">
        <v>392</v>
      </c>
      <c r="C1176" s="3" t="s">
        <v>19</v>
      </c>
      <c r="D1176" s="3" t="s">
        <v>72</v>
      </c>
      <c r="E1176" s="4">
        <v>45418.569444444445</v>
      </c>
      <c r="F1176" s="4">
        <v>45418.559027777781</v>
      </c>
      <c r="G1176" s="4">
        <v>45418.618750000001</v>
      </c>
      <c r="H1176" s="5">
        <v>51</v>
      </c>
      <c r="I1176" s="3" t="s">
        <v>95</v>
      </c>
      <c r="J1176" s="3" t="s">
        <v>171</v>
      </c>
      <c r="K1176" s="5">
        <v>64</v>
      </c>
      <c r="L1176" s="5">
        <v>7</v>
      </c>
      <c r="N1176" t="s">
        <v>69</v>
      </c>
      <c r="O1176" s="5">
        <v>5</v>
      </c>
      <c r="P1176" s="3" t="s">
        <v>42</v>
      </c>
      <c r="Q1176" s="2">
        <v>112.05</v>
      </c>
      <c r="R1176" s="3" t="s">
        <v>26</v>
      </c>
      <c r="S1176">
        <f>COUNTIF(A:A,A1176)</f>
        <v>1</v>
      </c>
      <c r="T1176" t="str">
        <f>IF(OR(H1176="",LOWER(TRIM(H1176&amp;""))="missing",LOWER(TRIM(H1176&amp;""))=""),"Missing/",IFERROR(IF(OR(VALUE(H1176)&lt;0,VALUE(H1176)&gt;110),"Invalid","Valid"),"Check Format"))</f>
        <v>Valid</v>
      </c>
      <c r="U1176">
        <f>IF(Raw_Data[[#This Row],[Age_Check]]="Valid",H1176,"")</f>
        <v>51</v>
      </c>
      <c r="V1176" t="str">
        <f>IF(OR(K1176="",UPPER(TRIM(K1176&amp;""))="",LOWER(TRIM(K1176&amp;""))="",LOWER(TRIM(K1176&amp;""))="",LOWER(TRIM(K1176&amp;""))="missing"),"Missing/",IFERROR(IF(VALUE(K1176)&lt;0,"Invalid","Valid"),"Check Format"))</f>
        <v>Valid</v>
      </c>
      <c r="W1176" t="str">
        <f>IF(OR(E1176="",F1176=""),"Missing Date/Time",IFERROR(IF(F1176&gt;E1176,"Arrival After Appointment","OK"),"Check Format"))</f>
        <v>OK</v>
      </c>
      <c r="X1176" t="str">
        <f>IF(OR(F1176="",G1176=""),"Missing Date/Time",IFERROR(IF(G1176&lt;F1176,"Discharge Before Arrival","OK"),"Check Format"))</f>
        <v>OK</v>
      </c>
    </row>
    <row r="1177" spans="1:24" x14ac:dyDescent="0.25">
      <c r="A1177" s="2" t="s">
        <v>1832</v>
      </c>
      <c r="B1177" s="2" t="s">
        <v>1252</v>
      </c>
      <c r="C1177" s="3" t="s">
        <v>94</v>
      </c>
      <c r="D1177" s="3" t="s">
        <v>55</v>
      </c>
      <c r="E1177" s="4">
        <v>45627.53125</v>
      </c>
      <c r="F1177" s="4">
        <v>45303.521527777775</v>
      </c>
      <c r="H1177" s="5">
        <v>20</v>
      </c>
      <c r="I1177" s="3" t="s">
        <v>95</v>
      </c>
      <c r="J1177" s="3" t="s">
        <v>2639</v>
      </c>
      <c r="K1177" s="5">
        <v>62</v>
      </c>
      <c r="L1177" s="5">
        <v>23</v>
      </c>
      <c r="M1177" s="3" t="s">
        <v>87</v>
      </c>
      <c r="N1177" t="s">
        <v>24</v>
      </c>
      <c r="P1177" s="3" t="s">
        <v>25</v>
      </c>
      <c r="Q1177" s="2">
        <v>127.51</v>
      </c>
      <c r="R1177" s="3" t="s">
        <v>43</v>
      </c>
      <c r="S1177">
        <f>COUNTIF(A:A,A1177)</f>
        <v>1</v>
      </c>
      <c r="T1177" t="str">
        <f>IF(OR(H1177="",LOWER(TRIM(H1177&amp;""))="missing",LOWER(TRIM(H1177&amp;""))=""),"Missing/",IFERROR(IF(OR(VALUE(H1177)&lt;0,VALUE(H1177)&gt;110),"Invalid","Valid"),"Check Format"))</f>
        <v>Valid</v>
      </c>
      <c r="U1177">
        <f>IF(Raw_Data[[#This Row],[Age_Check]]="Valid",H1177,"")</f>
        <v>20</v>
      </c>
      <c r="V1177" t="str">
        <f>IF(OR(K1177="",UPPER(TRIM(K1177&amp;""))="",LOWER(TRIM(K1177&amp;""))="",LOWER(TRIM(K1177&amp;""))="",LOWER(TRIM(K1177&amp;""))="missing"),"Missing/",IFERROR(IF(VALUE(K1177)&lt;0,"Invalid","Valid"),"Check Format"))</f>
        <v>Valid</v>
      </c>
      <c r="W1177" t="str">
        <f>IF(OR(E1177="",F1177=""),"Missing Date/Time",IFERROR(IF(F1177&gt;E1177,"Arrival After Appointment","OK"),"Check Format"))</f>
        <v>OK</v>
      </c>
      <c r="X1177" t="str">
        <f>IF(OR(F1177="",G1177=""),"Missing Date/Time",IFERROR(IF(G1177&lt;F1177,"Discharge Before Arrival","OK"),"Check Format"))</f>
        <v>Missing Date/Time</v>
      </c>
    </row>
    <row r="1178" spans="1:24" x14ac:dyDescent="0.25">
      <c r="A1178" s="2" t="s">
        <v>1833</v>
      </c>
      <c r="B1178" s="2" t="s">
        <v>1048</v>
      </c>
      <c r="C1178" s="3" t="s">
        <v>46</v>
      </c>
      <c r="D1178" s="3" t="s">
        <v>66</v>
      </c>
      <c r="E1178" s="4">
        <v>45417.40625</v>
      </c>
      <c r="F1178" s="4">
        <v>45417.395138888889</v>
      </c>
      <c r="G1178" s="4">
        <v>45417.464583333334</v>
      </c>
      <c r="I1178" s="3" t="s">
        <v>95</v>
      </c>
      <c r="J1178" s="3" t="s">
        <v>150</v>
      </c>
      <c r="K1178" s="5">
        <v>54</v>
      </c>
      <c r="L1178" s="5">
        <v>30</v>
      </c>
      <c r="N1178" t="s">
        <v>74</v>
      </c>
      <c r="P1178" s="3" t="s">
        <v>25</v>
      </c>
      <c r="R1178" s="3" t="s">
        <v>43</v>
      </c>
      <c r="S1178">
        <f>COUNTIF(A:A,A1178)</f>
        <v>1</v>
      </c>
      <c r="T1178" t="str">
        <f>IF(OR(H1178="",LOWER(TRIM(H1178&amp;""))="missing",LOWER(TRIM(H1178&amp;""))=""),"Missing/",IFERROR(IF(OR(VALUE(H1178)&lt;0,VALUE(H1178)&gt;110),"Invalid","Valid"),"Check Format"))</f>
        <v>Missing/</v>
      </c>
      <c r="U1178" t="str">
        <f>IF(Raw_Data[[#This Row],[Age_Check]]="Valid",H1178,"")</f>
        <v/>
      </c>
      <c r="V1178" t="str">
        <f>IF(OR(K1178="",UPPER(TRIM(K1178&amp;""))="",LOWER(TRIM(K1178&amp;""))="",LOWER(TRIM(K1178&amp;""))="",LOWER(TRIM(K1178&amp;""))="missing"),"Missing/",IFERROR(IF(VALUE(K1178)&lt;0,"Invalid","Valid"),"Check Format"))</f>
        <v>Valid</v>
      </c>
      <c r="W1178" t="str">
        <f>IF(OR(E1178="",F1178=""),"Missing Date/Time",IFERROR(IF(F1178&gt;E1178,"Arrival After Appointment","OK"),"Check Format"))</f>
        <v>OK</v>
      </c>
      <c r="X1178" t="str">
        <f>IF(OR(F1178="",G1178=""),"Missing Date/Time",IFERROR(IF(G1178&lt;F1178,"Discharge Before Arrival","OK"),"Check Format"))</f>
        <v>OK</v>
      </c>
    </row>
    <row r="1179" spans="1:24" x14ac:dyDescent="0.25">
      <c r="A1179" s="2" t="s">
        <v>1834</v>
      </c>
      <c r="B1179" s="2" t="s">
        <v>1144</v>
      </c>
      <c r="C1179" s="3" t="s">
        <v>29</v>
      </c>
      <c r="D1179" s="3" t="s">
        <v>38</v>
      </c>
      <c r="E1179" s="4">
        <v>45599.597222222219</v>
      </c>
      <c r="G1179" s="4">
        <v>45599.646527777775</v>
      </c>
      <c r="J1179" s="3" t="s">
        <v>62</v>
      </c>
      <c r="K1179" s="5">
        <v>59</v>
      </c>
      <c r="L1179" s="5">
        <v>12</v>
      </c>
      <c r="M1179" s="3" t="s">
        <v>41</v>
      </c>
      <c r="N1179" t="s">
        <v>69</v>
      </c>
      <c r="O1179" s="5">
        <v>3</v>
      </c>
      <c r="P1179" s="3" t="s">
        <v>25</v>
      </c>
      <c r="Q1179" s="2">
        <v>87.64</v>
      </c>
      <c r="R1179" s="3" t="s">
        <v>58</v>
      </c>
      <c r="S1179">
        <f>COUNTIF(A:A,A1179)</f>
        <v>1</v>
      </c>
      <c r="T1179" t="str">
        <f>IF(OR(H1179="",LOWER(TRIM(H1179&amp;""))="missing",LOWER(TRIM(H1179&amp;""))=""),"Missing/",IFERROR(IF(OR(VALUE(H1179)&lt;0,VALUE(H1179)&gt;110),"Invalid","Valid"),"Check Format"))</f>
        <v>Missing/</v>
      </c>
      <c r="U1179" t="str">
        <f>IF(Raw_Data[[#This Row],[Age_Check]]="Valid",H1179,"")</f>
        <v/>
      </c>
      <c r="V1179" t="str">
        <f>IF(OR(K1179="",UPPER(TRIM(K1179&amp;""))="",LOWER(TRIM(K1179&amp;""))="",LOWER(TRIM(K1179&amp;""))="",LOWER(TRIM(K1179&amp;""))="missing"),"Missing/",IFERROR(IF(VALUE(K1179)&lt;0,"Invalid","Valid"),"Check Format"))</f>
        <v>Valid</v>
      </c>
      <c r="W1179" t="str">
        <f>IF(OR(E1179="",F1179=""),"Missing Date/Time",IFERROR(IF(F1179&gt;E1179,"Arrival After Appointment","OK"),"Check Format"))</f>
        <v>Missing Date/Time</v>
      </c>
      <c r="X1179" t="str">
        <f>IF(OR(F1179="",G1179=""),"Missing Date/Time",IFERROR(IF(G1179&lt;F1179,"Discharge Before Arrival","OK"),"Check Format"))</f>
        <v>Missing Date/Time</v>
      </c>
    </row>
    <row r="1180" spans="1:24" x14ac:dyDescent="0.25">
      <c r="A1180" s="2" t="s">
        <v>1835</v>
      </c>
      <c r="B1180" s="2" t="s">
        <v>822</v>
      </c>
      <c r="C1180" s="3" t="s">
        <v>94</v>
      </c>
      <c r="D1180" s="3" t="s">
        <v>174</v>
      </c>
      <c r="E1180" s="4">
        <v>45429.444444444445</v>
      </c>
      <c r="F1180" s="4">
        <v>45429.429166666669</v>
      </c>
      <c r="G1180" s="4">
        <v>45429.487500000003</v>
      </c>
      <c r="H1180" s="5">
        <v>79</v>
      </c>
      <c r="I1180" s="3" t="s">
        <v>73</v>
      </c>
      <c r="K1180" s="5">
        <v>13</v>
      </c>
      <c r="L1180" s="5">
        <v>49</v>
      </c>
      <c r="M1180" s="3" t="s">
        <v>50</v>
      </c>
      <c r="N1180" t="s">
        <v>69</v>
      </c>
      <c r="P1180" s="3" t="s">
        <v>80</v>
      </c>
      <c r="Q1180" s="2">
        <v>0</v>
      </c>
      <c r="R1180" s="3" t="s">
        <v>43</v>
      </c>
      <c r="S1180">
        <f>COUNTIF(A:A,A1180)</f>
        <v>1</v>
      </c>
      <c r="T1180" t="str">
        <f>IF(OR(H1180="",LOWER(TRIM(H1180&amp;""))="missing",LOWER(TRIM(H1180&amp;""))=""),"Missing/",IFERROR(IF(OR(VALUE(H1180)&lt;0,VALUE(H1180)&gt;110),"Invalid","Valid"),"Check Format"))</f>
        <v>Valid</v>
      </c>
      <c r="U1180">
        <f>IF(Raw_Data[[#This Row],[Age_Check]]="Valid",H1180,"")</f>
        <v>79</v>
      </c>
      <c r="V1180" t="str">
        <f>IF(OR(K1180="",UPPER(TRIM(K1180&amp;""))="",LOWER(TRIM(K1180&amp;""))="",LOWER(TRIM(K1180&amp;""))="",LOWER(TRIM(K1180&amp;""))="missing"),"Missing/",IFERROR(IF(VALUE(K1180)&lt;0,"Invalid","Valid"),"Check Format"))</f>
        <v>Valid</v>
      </c>
      <c r="W1180" t="str">
        <f>IF(OR(E1180="",F1180=""),"Missing Date/Time",IFERROR(IF(F1180&gt;E1180,"Arrival After Appointment","OK"),"Check Format"))</f>
        <v>OK</v>
      </c>
      <c r="X1180" t="str">
        <f>IF(OR(F1180="",G1180=""),"Missing Date/Time",IFERROR(IF(G1180&lt;F1180,"Discharge Before Arrival","OK"),"Check Format"))</f>
        <v>OK</v>
      </c>
    </row>
    <row r="1181" spans="1:24" x14ac:dyDescent="0.25">
      <c r="A1181" s="2" t="s">
        <v>1836</v>
      </c>
      <c r="B1181" s="2" t="s">
        <v>442</v>
      </c>
      <c r="C1181" s="3" t="s">
        <v>46</v>
      </c>
      <c r="D1181" s="3" t="s">
        <v>72</v>
      </c>
      <c r="E1181" s="4">
        <v>45392.760416666664</v>
      </c>
      <c r="F1181" s="4">
        <v>45392.750694444447</v>
      </c>
      <c r="G1181" s="4">
        <v>45392.867361111108</v>
      </c>
      <c r="H1181" s="5">
        <v>145</v>
      </c>
      <c r="I1181" s="3" t="s">
        <v>95</v>
      </c>
      <c r="K1181" s="5">
        <v>98</v>
      </c>
      <c r="L1181" s="5">
        <v>56</v>
      </c>
      <c r="M1181" s="3" t="s">
        <v>50</v>
      </c>
      <c r="P1181" s="3" t="s">
        <v>25</v>
      </c>
      <c r="Q1181" s="2">
        <v>120.83</v>
      </c>
      <c r="R1181" s="3" t="s">
        <v>75</v>
      </c>
      <c r="S1181">
        <f>COUNTIF(A:A,A1181)</f>
        <v>1</v>
      </c>
      <c r="T1181" t="str">
        <f>IF(OR(H1181="",LOWER(TRIM(H1181&amp;""))="missing",LOWER(TRIM(H1181&amp;""))=""),"Missing/",IFERROR(IF(OR(VALUE(H1181)&lt;0,VALUE(H1181)&gt;110),"Invalid","Valid"),"Check Format"))</f>
        <v>Invalid</v>
      </c>
      <c r="U1181" t="str">
        <f>IF(Raw_Data[[#This Row],[Age_Check]]="Valid",H1181,"")</f>
        <v/>
      </c>
      <c r="V1181" t="str">
        <f>IF(OR(K1181="",UPPER(TRIM(K1181&amp;""))="",LOWER(TRIM(K1181&amp;""))="",LOWER(TRIM(K1181&amp;""))="",LOWER(TRIM(K1181&amp;""))="missing"),"Missing/",IFERROR(IF(VALUE(K1181)&lt;0,"Invalid","Valid"),"Check Format"))</f>
        <v>Valid</v>
      </c>
      <c r="W1181" t="str">
        <f>IF(OR(E1181="",F1181=""),"Missing Date/Time",IFERROR(IF(F1181&gt;E1181,"Arrival After Appointment","OK"),"Check Format"))</f>
        <v>OK</v>
      </c>
      <c r="X1181" t="str">
        <f>IF(OR(F1181="",G1181=""),"Missing Date/Time",IFERROR(IF(G1181&lt;F1181,"Discharge Before Arrival","OK"),"Check Format"))</f>
        <v>OK</v>
      </c>
    </row>
    <row r="1182" spans="1:24" x14ac:dyDescent="0.25">
      <c r="A1182" s="2" t="s">
        <v>1837</v>
      </c>
      <c r="B1182" s="2" t="s">
        <v>289</v>
      </c>
      <c r="C1182" s="3" t="s">
        <v>19</v>
      </c>
      <c r="D1182" s="3" t="s">
        <v>55</v>
      </c>
      <c r="E1182" s="4" t="s">
        <v>1838</v>
      </c>
      <c r="F1182" s="4">
        <v>45622.743055555555</v>
      </c>
      <c r="G1182" s="4">
        <v>45622.777777777781</v>
      </c>
      <c r="H1182" s="5">
        <v>46</v>
      </c>
      <c r="I1182" s="3" t="s">
        <v>90</v>
      </c>
      <c r="K1182" s="5">
        <v>0</v>
      </c>
      <c r="L1182" s="5">
        <v>25</v>
      </c>
      <c r="M1182" s="3" t="s">
        <v>32</v>
      </c>
      <c r="N1182" t="s">
        <v>69</v>
      </c>
      <c r="O1182" s="5">
        <v>6</v>
      </c>
      <c r="P1182" s="3" t="s">
        <v>25</v>
      </c>
      <c r="Q1182" s="2">
        <v>139.87</v>
      </c>
      <c r="R1182" s="3" t="s">
        <v>58</v>
      </c>
      <c r="S1182">
        <f>COUNTIF(A:A,A1182)</f>
        <v>1</v>
      </c>
      <c r="T1182" t="str">
        <f>IF(OR(H1182="",LOWER(TRIM(H1182&amp;""))="missing",LOWER(TRIM(H1182&amp;""))=""),"Missing/",IFERROR(IF(OR(VALUE(H1182)&lt;0,VALUE(H1182)&gt;110),"Invalid","Valid"),"Check Format"))</f>
        <v>Valid</v>
      </c>
      <c r="U1182">
        <f>IF(Raw_Data[[#This Row],[Age_Check]]="Valid",H1182,"")</f>
        <v>46</v>
      </c>
      <c r="V1182" t="str">
        <f>IF(OR(K1182="",UPPER(TRIM(K1182&amp;""))="",LOWER(TRIM(K1182&amp;""))="",LOWER(TRIM(K1182&amp;""))="",LOWER(TRIM(K1182&amp;""))="missing"),"Missing/",IFERROR(IF(VALUE(K1182)&lt;0,"Invalid","Valid"),"Check Format"))</f>
        <v>Valid</v>
      </c>
      <c r="W1182" t="str">
        <f>IF(OR(E1182="",F1182=""),"Missing Date/Time",IFERROR(IF(F1182&gt;E1182,"Arrival After Appointment","OK"),"Check Format"))</f>
        <v>OK</v>
      </c>
      <c r="X1182" t="str">
        <f>IF(OR(F1182="",G1182=""),"Missing Date/Time",IFERROR(IF(G1182&lt;F1182,"Discharge Before Arrival","OK"),"Check Format"))</f>
        <v>OK</v>
      </c>
    </row>
    <row r="1183" spans="1:24" x14ac:dyDescent="0.25">
      <c r="A1183" s="2" t="s">
        <v>1839</v>
      </c>
      <c r="B1183" s="2" t="s">
        <v>474</v>
      </c>
      <c r="C1183" s="3" t="s">
        <v>46</v>
      </c>
      <c r="D1183" s="3" t="s">
        <v>47</v>
      </c>
      <c r="E1183" s="4">
        <v>45631.760416666664</v>
      </c>
      <c r="F1183" s="4">
        <v>45631.743750000001</v>
      </c>
      <c r="G1183" s="4">
        <v>45631.790972222225</v>
      </c>
      <c r="I1183" s="3" t="s">
        <v>95</v>
      </c>
      <c r="J1183" s="3" t="s">
        <v>171</v>
      </c>
      <c r="K1183" s="5">
        <v>22</v>
      </c>
      <c r="L1183" s="5">
        <v>22</v>
      </c>
      <c r="M1183" s="3" t="s">
        <v>41</v>
      </c>
      <c r="N1183" t="s">
        <v>69</v>
      </c>
      <c r="O1183" s="5">
        <v>5</v>
      </c>
      <c r="P1183" s="3" t="s">
        <v>25</v>
      </c>
      <c r="Q1183" s="2">
        <v>267.42</v>
      </c>
      <c r="R1183" s="3" t="s">
        <v>26</v>
      </c>
      <c r="S1183">
        <f>COUNTIF(A:A,A1183)</f>
        <v>1</v>
      </c>
      <c r="T1183" t="str">
        <f>IF(OR(H1183="",LOWER(TRIM(H1183&amp;""))="missing",LOWER(TRIM(H1183&amp;""))=""),"Missing/",IFERROR(IF(OR(VALUE(H1183)&lt;0,VALUE(H1183)&gt;110),"Invalid","Valid"),"Check Format"))</f>
        <v>Missing/</v>
      </c>
      <c r="U1183" t="str">
        <f>IF(Raw_Data[[#This Row],[Age_Check]]="Valid",H1183,"")</f>
        <v/>
      </c>
      <c r="V1183" t="str">
        <f>IF(OR(K1183="",UPPER(TRIM(K1183&amp;""))="",LOWER(TRIM(K1183&amp;""))="",LOWER(TRIM(K1183&amp;""))="",LOWER(TRIM(K1183&amp;""))="missing"),"Missing/",IFERROR(IF(VALUE(K1183)&lt;0,"Invalid","Valid"),"Check Format"))</f>
        <v>Valid</v>
      </c>
      <c r="W1183" t="str">
        <f>IF(OR(E1183="",F1183=""),"Missing Date/Time",IFERROR(IF(F1183&gt;E1183,"Arrival After Appointment","OK"),"Check Format"))</f>
        <v>OK</v>
      </c>
      <c r="X1183" t="str">
        <f>IF(OR(F1183="",G1183=""),"Missing Date/Time",IFERROR(IF(G1183&lt;F1183,"Discharge Before Arrival","OK"),"Check Format"))</f>
        <v>OK</v>
      </c>
    </row>
    <row r="1184" spans="1:24" x14ac:dyDescent="0.25">
      <c r="A1184" s="2" t="s">
        <v>1840</v>
      </c>
      <c r="B1184" s="2" t="s">
        <v>1777</v>
      </c>
      <c r="C1184" s="3" t="s">
        <v>94</v>
      </c>
      <c r="D1184" s="3" t="s">
        <v>38</v>
      </c>
      <c r="E1184" s="4">
        <v>45460.777777777781</v>
      </c>
      <c r="F1184" s="4">
        <v>45460.773611111108</v>
      </c>
      <c r="I1184" s="3" t="s">
        <v>95</v>
      </c>
      <c r="J1184" s="3" t="s">
        <v>67</v>
      </c>
      <c r="K1184" s="5">
        <v>81</v>
      </c>
      <c r="L1184" s="5">
        <v>15</v>
      </c>
      <c r="M1184" s="3" t="s">
        <v>63</v>
      </c>
      <c r="N1184" t="s">
        <v>69</v>
      </c>
      <c r="P1184" s="3" t="s">
        <v>80</v>
      </c>
      <c r="Q1184" s="2">
        <v>17.190000000000001</v>
      </c>
      <c r="R1184" s="3" t="s">
        <v>26</v>
      </c>
      <c r="S1184">
        <f>COUNTIF(A:A,A1184)</f>
        <v>1</v>
      </c>
      <c r="T1184" t="str">
        <f>IF(OR(H1184="",LOWER(TRIM(H1184&amp;""))="missing",LOWER(TRIM(H1184&amp;""))=""),"Missing/",IFERROR(IF(OR(VALUE(H1184)&lt;0,VALUE(H1184)&gt;110),"Invalid","Valid"),"Check Format"))</f>
        <v>Missing/</v>
      </c>
      <c r="U1184" t="str">
        <f>IF(Raw_Data[[#This Row],[Age_Check]]="Valid",H1184,"")</f>
        <v/>
      </c>
      <c r="V1184" t="str">
        <f>IF(OR(K1184="",UPPER(TRIM(K1184&amp;""))="",LOWER(TRIM(K1184&amp;""))="",LOWER(TRIM(K1184&amp;""))="",LOWER(TRIM(K1184&amp;""))="missing"),"Missing/",IFERROR(IF(VALUE(K1184)&lt;0,"Invalid","Valid"),"Check Format"))</f>
        <v>Valid</v>
      </c>
      <c r="W1184" t="str">
        <f>IF(OR(E1184="",F1184=""),"Missing Date/Time",IFERROR(IF(F1184&gt;E1184,"Arrival After Appointment","OK"),"Check Format"))</f>
        <v>OK</v>
      </c>
      <c r="X1184" t="str">
        <f>IF(OR(F1184="",G1184=""),"Missing Date/Time",IFERROR(IF(G1184&lt;F1184,"Discharge Before Arrival","OK"),"Check Format"))</f>
        <v>Missing Date/Time</v>
      </c>
    </row>
    <row r="1185" spans="1:24" x14ac:dyDescent="0.25">
      <c r="A1185" s="2" t="s">
        <v>1841</v>
      </c>
      <c r="B1185" s="2" t="s">
        <v>1842</v>
      </c>
      <c r="C1185" s="3" t="s">
        <v>29</v>
      </c>
      <c r="D1185" s="3" t="s">
        <v>149</v>
      </c>
      <c r="E1185" s="4">
        <v>45634.597222222219</v>
      </c>
      <c r="F1185" s="4">
        <v>45516.592361111114</v>
      </c>
      <c r="G1185" s="4">
        <v>45516.648611111108</v>
      </c>
      <c r="I1185" s="3" t="s">
        <v>39</v>
      </c>
      <c r="J1185" s="3" t="s">
        <v>22</v>
      </c>
      <c r="K1185" s="5">
        <v>46</v>
      </c>
      <c r="L1185" s="5">
        <v>28</v>
      </c>
      <c r="M1185" s="3" t="s">
        <v>41</v>
      </c>
      <c r="N1185" t="s">
        <v>91</v>
      </c>
      <c r="O1185" s="5">
        <v>6</v>
      </c>
      <c r="P1185" s="3" t="s">
        <v>42</v>
      </c>
      <c r="Q1185" s="2">
        <v>184.7</v>
      </c>
      <c r="R1185" s="3" t="s">
        <v>75</v>
      </c>
      <c r="S1185">
        <f>COUNTIF(A:A,A1185)</f>
        <v>1</v>
      </c>
      <c r="T1185" t="str">
        <f>IF(OR(H1185="",LOWER(TRIM(H1185&amp;""))="missing",LOWER(TRIM(H1185&amp;""))=""),"Missing/",IFERROR(IF(OR(VALUE(H1185)&lt;0,VALUE(H1185)&gt;110),"Invalid","Valid"),"Check Format"))</f>
        <v>Missing/</v>
      </c>
      <c r="U1185" t="str">
        <f>IF(Raw_Data[[#This Row],[Age_Check]]="Valid",H1185,"")</f>
        <v/>
      </c>
      <c r="V1185" t="str">
        <f>IF(OR(K1185="",UPPER(TRIM(K1185&amp;""))="",LOWER(TRIM(K1185&amp;""))="",LOWER(TRIM(K1185&amp;""))="",LOWER(TRIM(K1185&amp;""))="missing"),"Missing/",IFERROR(IF(VALUE(K1185)&lt;0,"Invalid","Valid"),"Check Format"))</f>
        <v>Valid</v>
      </c>
      <c r="W1185" t="str">
        <f>IF(OR(E1185="",F1185=""),"Missing Date/Time",IFERROR(IF(F1185&gt;E1185,"Arrival After Appointment","OK"),"Check Format"))</f>
        <v>OK</v>
      </c>
      <c r="X1185" t="str">
        <f>IF(OR(F1185="",G1185=""),"Missing Date/Time",IFERROR(IF(G1185&lt;F1185,"Discharge Before Arrival","OK"),"Check Format"))</f>
        <v>OK</v>
      </c>
    </row>
    <row r="1186" spans="1:24" x14ac:dyDescent="0.25">
      <c r="A1186" s="2" t="s">
        <v>1843</v>
      </c>
      <c r="B1186" s="2" t="s">
        <v>483</v>
      </c>
      <c r="C1186" s="3" t="s">
        <v>94</v>
      </c>
      <c r="D1186" s="3" t="s">
        <v>115</v>
      </c>
      <c r="E1186" s="4">
        <v>45994.371527777781</v>
      </c>
      <c r="F1186" s="4">
        <v>45994.354861111111</v>
      </c>
      <c r="H1186" s="5">
        <v>95</v>
      </c>
      <c r="J1186" s="3" t="s">
        <v>22</v>
      </c>
      <c r="K1186" s="5">
        <v>39</v>
      </c>
      <c r="L1186" s="5">
        <v>41</v>
      </c>
      <c r="M1186" s="3" t="s">
        <v>32</v>
      </c>
      <c r="N1186" t="s">
        <v>69</v>
      </c>
      <c r="O1186" s="5">
        <v>3</v>
      </c>
      <c r="P1186" s="3" t="s">
        <v>25</v>
      </c>
      <c r="Q1186" s="2">
        <v>299.81</v>
      </c>
      <c r="R1186" s="3" t="s">
        <v>75</v>
      </c>
      <c r="S1186">
        <f>COUNTIF(A:A,A1186)</f>
        <v>1</v>
      </c>
      <c r="T1186" t="str">
        <f>IF(OR(H1186="",LOWER(TRIM(H1186&amp;""))="missing",LOWER(TRIM(H1186&amp;""))=""),"Missing/",IFERROR(IF(OR(VALUE(H1186)&lt;0,VALUE(H1186)&gt;110),"Invalid","Valid"),"Check Format"))</f>
        <v>Valid</v>
      </c>
      <c r="U1186">
        <f>IF(Raw_Data[[#This Row],[Age_Check]]="Valid",H1186,"")</f>
        <v>95</v>
      </c>
      <c r="V1186" t="str">
        <f>IF(OR(K1186="",UPPER(TRIM(K1186&amp;""))="",LOWER(TRIM(K1186&amp;""))="",LOWER(TRIM(K1186&amp;""))="",LOWER(TRIM(K1186&amp;""))="missing"),"Missing/",IFERROR(IF(VALUE(K1186)&lt;0,"Invalid","Valid"),"Check Format"))</f>
        <v>Valid</v>
      </c>
      <c r="W1186" t="str">
        <f>IF(OR(E1186="",F1186=""),"Missing Date/Time",IFERROR(IF(F1186&gt;E1186,"Arrival After Appointment","OK"),"Check Format"))</f>
        <v>OK</v>
      </c>
      <c r="X1186" t="str">
        <f>IF(OR(F1186="",G1186=""),"Missing Date/Time",IFERROR(IF(G1186&lt;F1186,"Discharge Before Arrival","OK"),"Check Format"))</f>
        <v>Missing Date/Time</v>
      </c>
    </row>
    <row r="1187" spans="1:24" x14ac:dyDescent="0.25">
      <c r="A1187" s="2" t="s">
        <v>1844</v>
      </c>
      <c r="B1187" s="2" t="s">
        <v>256</v>
      </c>
      <c r="C1187" s="3" t="s">
        <v>94</v>
      </c>
      <c r="D1187" s="3" t="s">
        <v>149</v>
      </c>
      <c r="E1187" s="4">
        <v>45948.555555555555</v>
      </c>
      <c r="F1187" s="4">
        <v>45948.539583333331</v>
      </c>
      <c r="H1187" s="5">
        <v>72</v>
      </c>
      <c r="I1187" s="3" t="s">
        <v>39</v>
      </c>
      <c r="J1187" s="3" t="s">
        <v>62</v>
      </c>
      <c r="K1187" s="5">
        <v>86</v>
      </c>
      <c r="L1187" s="5">
        <v>31</v>
      </c>
      <c r="M1187" s="3" t="s">
        <v>68</v>
      </c>
      <c r="N1187" t="s">
        <v>74</v>
      </c>
      <c r="O1187" s="5">
        <v>4</v>
      </c>
      <c r="R1187" s="3" t="s">
        <v>75</v>
      </c>
      <c r="S1187">
        <f>COUNTIF(A:A,A1187)</f>
        <v>1</v>
      </c>
      <c r="T1187" t="str">
        <f>IF(OR(H1187="",LOWER(TRIM(H1187&amp;""))="missing",LOWER(TRIM(H1187&amp;""))=""),"Missing/",IFERROR(IF(OR(VALUE(H1187)&lt;0,VALUE(H1187)&gt;110),"Invalid","Valid"),"Check Format"))</f>
        <v>Valid</v>
      </c>
      <c r="U1187">
        <f>IF(Raw_Data[[#This Row],[Age_Check]]="Valid",H1187,"")</f>
        <v>72</v>
      </c>
      <c r="V1187" t="str">
        <f>IF(OR(K1187="",UPPER(TRIM(K1187&amp;""))="",LOWER(TRIM(K1187&amp;""))="",LOWER(TRIM(K1187&amp;""))="",LOWER(TRIM(K1187&amp;""))="missing"),"Missing/",IFERROR(IF(VALUE(K1187)&lt;0,"Invalid","Valid"),"Check Format"))</f>
        <v>Valid</v>
      </c>
      <c r="W1187" t="str">
        <f>IF(OR(E1187="",F1187=""),"Missing Date/Time",IFERROR(IF(F1187&gt;E1187,"Arrival After Appointment","OK"),"Check Format"))</f>
        <v>OK</v>
      </c>
      <c r="X1187" t="str">
        <f>IF(OR(F1187="",G1187=""),"Missing Date/Time",IFERROR(IF(G1187&lt;F1187,"Discharge Before Arrival","OK"),"Check Format"))</f>
        <v>Missing Date/Time</v>
      </c>
    </row>
    <row r="1188" spans="1:24" x14ac:dyDescent="0.25">
      <c r="A1188" s="2" t="s">
        <v>1845</v>
      </c>
      <c r="B1188" s="2" t="s">
        <v>301</v>
      </c>
      <c r="C1188" s="3" t="s">
        <v>94</v>
      </c>
      <c r="D1188" s="3" t="s">
        <v>61</v>
      </c>
      <c r="F1188" s="4">
        <v>45579.372916666667</v>
      </c>
      <c r="G1188" s="4">
        <v>45579.43472222222</v>
      </c>
      <c r="H1188" s="5">
        <v>145</v>
      </c>
      <c r="I1188" s="3" t="s">
        <v>90</v>
      </c>
      <c r="K1188" s="5">
        <v>51</v>
      </c>
      <c r="L1188" s="5">
        <v>25</v>
      </c>
      <c r="N1188" t="s">
        <v>74</v>
      </c>
      <c r="O1188" s="5">
        <v>1</v>
      </c>
      <c r="P1188" s="3" t="s">
        <v>25</v>
      </c>
      <c r="R1188" s="3" t="s">
        <v>43</v>
      </c>
      <c r="S1188">
        <f>COUNTIF(A:A,A1188)</f>
        <v>1</v>
      </c>
      <c r="T1188" t="str">
        <f>IF(OR(H1188="",LOWER(TRIM(H1188&amp;""))="missing",LOWER(TRIM(H1188&amp;""))=""),"Missing/",IFERROR(IF(OR(VALUE(H1188)&lt;0,VALUE(H1188)&gt;110),"Invalid","Valid"),"Check Format"))</f>
        <v>Invalid</v>
      </c>
      <c r="U1188" t="str">
        <f>IF(Raw_Data[[#This Row],[Age_Check]]="Valid",H1188,"")</f>
        <v/>
      </c>
      <c r="V1188" t="str">
        <f>IF(OR(K1188="",UPPER(TRIM(K1188&amp;""))="",LOWER(TRIM(K1188&amp;""))="",LOWER(TRIM(K1188&amp;""))="",LOWER(TRIM(K1188&amp;""))="missing"),"Missing/",IFERROR(IF(VALUE(K1188)&lt;0,"Invalid","Valid"),"Check Format"))</f>
        <v>Valid</v>
      </c>
      <c r="W1188" t="str">
        <f>IF(OR(E1188="",F1188=""),"Missing Date/Time",IFERROR(IF(F1188&gt;E1188,"Arrival After Appointment","OK"),"Check Format"))</f>
        <v>Missing Date/Time</v>
      </c>
      <c r="X1188" t="str">
        <f>IF(OR(F1188="",G1188=""),"Missing Date/Time",IFERROR(IF(G1188&lt;F1188,"Discharge Before Arrival","OK"),"Check Format"))</f>
        <v>OK</v>
      </c>
    </row>
    <row r="1189" spans="1:24" x14ac:dyDescent="0.25">
      <c r="A1189" s="2" t="s">
        <v>1846</v>
      </c>
      <c r="B1189" s="2" t="s">
        <v>170</v>
      </c>
      <c r="D1189" s="3" t="s">
        <v>30</v>
      </c>
      <c r="E1189" s="4">
        <v>45633.440972222219</v>
      </c>
      <c r="F1189" s="4">
        <v>45633.433333333334</v>
      </c>
      <c r="G1189" s="4">
        <v>45633.523611111108</v>
      </c>
      <c r="H1189" s="5">
        <v>34</v>
      </c>
      <c r="I1189" s="3" t="s">
        <v>39</v>
      </c>
      <c r="J1189" s="3" t="s">
        <v>2639</v>
      </c>
      <c r="K1189" s="5">
        <v>99</v>
      </c>
      <c r="L1189" s="5">
        <v>20</v>
      </c>
      <c r="M1189" s="3" t="s">
        <v>50</v>
      </c>
      <c r="O1189" s="5">
        <v>2</v>
      </c>
      <c r="P1189" s="3" t="s">
        <v>25</v>
      </c>
      <c r="Q1189" s="2">
        <v>148.62</v>
      </c>
      <c r="R1189" s="3" t="s">
        <v>58</v>
      </c>
      <c r="S1189">
        <f>COUNTIF(A:A,A1189)</f>
        <v>1</v>
      </c>
      <c r="T1189" t="str">
        <f>IF(OR(H1189="",LOWER(TRIM(H1189&amp;""))="missing",LOWER(TRIM(H1189&amp;""))=""),"Missing/",IFERROR(IF(OR(VALUE(H1189)&lt;0,VALUE(H1189)&gt;110),"Invalid","Valid"),"Check Format"))</f>
        <v>Valid</v>
      </c>
      <c r="U1189">
        <f>IF(Raw_Data[[#This Row],[Age_Check]]="Valid",H1189,"")</f>
        <v>34</v>
      </c>
      <c r="V1189" t="str">
        <f>IF(OR(K1189="",UPPER(TRIM(K1189&amp;""))="",LOWER(TRIM(K1189&amp;""))="",LOWER(TRIM(K1189&amp;""))="",LOWER(TRIM(K1189&amp;""))="missing"),"Missing/",IFERROR(IF(VALUE(K1189)&lt;0,"Invalid","Valid"),"Check Format"))</f>
        <v>Valid</v>
      </c>
      <c r="W1189" t="str">
        <f>IF(OR(E1189="",F1189=""),"Missing Date/Time",IFERROR(IF(F1189&gt;E1189,"Arrival After Appointment","OK"),"Check Format"))</f>
        <v>OK</v>
      </c>
      <c r="X1189" t="str">
        <f>IF(OR(F1189="",G1189=""),"Missing Date/Time",IFERROR(IF(G1189&lt;F1189,"Discharge Before Arrival","OK"),"Check Format"))</f>
        <v>OK</v>
      </c>
    </row>
    <row r="1190" spans="1:24" x14ac:dyDescent="0.25">
      <c r="A1190" s="2" t="s">
        <v>1847</v>
      </c>
      <c r="B1190" s="2" t="s">
        <v>1097</v>
      </c>
      <c r="C1190" s="3" t="s">
        <v>29</v>
      </c>
      <c r="D1190" s="3" t="s">
        <v>174</v>
      </c>
      <c r="E1190" s="4">
        <v>45704.746527777781</v>
      </c>
      <c r="F1190" s="4">
        <v>45704.738194444442</v>
      </c>
      <c r="G1190" s="4">
        <v>45704.802777777775</v>
      </c>
      <c r="H1190" s="5">
        <v>145</v>
      </c>
      <c r="I1190" s="3" t="s">
        <v>73</v>
      </c>
      <c r="J1190" s="3" t="s">
        <v>171</v>
      </c>
      <c r="K1190" s="5">
        <v>59</v>
      </c>
      <c r="L1190" s="5">
        <v>22</v>
      </c>
      <c r="M1190" s="3" t="s">
        <v>23</v>
      </c>
      <c r="P1190" s="3" t="s">
        <v>80</v>
      </c>
      <c r="Q1190" s="2">
        <v>35.200000000000003</v>
      </c>
      <c r="R1190" s="3" t="s">
        <v>43</v>
      </c>
      <c r="S1190">
        <f>COUNTIF(A:A,A1190)</f>
        <v>1</v>
      </c>
      <c r="T1190" t="str">
        <f>IF(OR(H1190="",LOWER(TRIM(H1190&amp;""))="missing",LOWER(TRIM(H1190&amp;""))=""),"Missing/",IFERROR(IF(OR(VALUE(H1190)&lt;0,VALUE(H1190)&gt;110),"Invalid","Valid"),"Check Format"))</f>
        <v>Invalid</v>
      </c>
      <c r="U1190" t="str">
        <f>IF(Raw_Data[[#This Row],[Age_Check]]="Valid",H1190,"")</f>
        <v/>
      </c>
      <c r="V1190" t="str">
        <f>IF(OR(K1190="",UPPER(TRIM(K1190&amp;""))="",LOWER(TRIM(K1190&amp;""))="",LOWER(TRIM(K1190&amp;""))="",LOWER(TRIM(K1190&amp;""))="missing"),"Missing/",IFERROR(IF(VALUE(K1190)&lt;0,"Invalid","Valid"),"Check Format"))</f>
        <v>Valid</v>
      </c>
      <c r="W1190" t="str">
        <f>IF(OR(E1190="",F1190=""),"Missing Date/Time",IFERROR(IF(F1190&gt;E1190,"Arrival After Appointment","OK"),"Check Format"))</f>
        <v>OK</v>
      </c>
      <c r="X1190" t="str">
        <f>IF(OR(F1190="",G1190=""),"Missing Date/Time",IFERROR(IF(G1190&lt;F1190,"Discharge Before Arrival","OK"),"Check Format"))</f>
        <v>OK</v>
      </c>
    </row>
    <row r="1191" spans="1:24" x14ac:dyDescent="0.25">
      <c r="A1191" s="2" t="s">
        <v>1848</v>
      </c>
      <c r="B1191" s="2" t="s">
        <v>1849</v>
      </c>
      <c r="D1191" s="3" t="s">
        <v>115</v>
      </c>
      <c r="F1191" s="4">
        <v>45379.498611111114</v>
      </c>
      <c r="G1191" s="4">
        <v>45379.586111111108</v>
      </c>
      <c r="H1191" s="5">
        <v>11</v>
      </c>
      <c r="I1191" s="3" t="s">
        <v>95</v>
      </c>
      <c r="J1191" s="3" t="s">
        <v>2639</v>
      </c>
      <c r="K1191" s="5">
        <v>69</v>
      </c>
      <c r="L1191" s="5">
        <v>30</v>
      </c>
      <c r="M1191" s="3" t="s">
        <v>68</v>
      </c>
      <c r="N1191" t="s">
        <v>69</v>
      </c>
      <c r="O1191" s="5">
        <v>6</v>
      </c>
      <c r="P1191" s="3" t="s">
        <v>25</v>
      </c>
      <c r="Q1191" s="2">
        <v>185.02</v>
      </c>
      <c r="R1191" s="3" t="s">
        <v>26</v>
      </c>
      <c r="S1191">
        <f>COUNTIF(A:A,A1191)</f>
        <v>1</v>
      </c>
      <c r="T1191" t="str">
        <f>IF(OR(H1191="",LOWER(TRIM(H1191&amp;""))="missing",LOWER(TRIM(H1191&amp;""))=""),"Missing/",IFERROR(IF(OR(VALUE(H1191)&lt;0,VALUE(H1191)&gt;110),"Invalid","Valid"),"Check Format"))</f>
        <v>Valid</v>
      </c>
      <c r="U1191">
        <f>IF(Raw_Data[[#This Row],[Age_Check]]="Valid",H1191,"")</f>
        <v>11</v>
      </c>
      <c r="V1191" t="str">
        <f>IF(OR(K1191="",UPPER(TRIM(K1191&amp;""))="",LOWER(TRIM(K1191&amp;""))="",LOWER(TRIM(K1191&amp;""))="",LOWER(TRIM(K1191&amp;""))="missing"),"Missing/",IFERROR(IF(VALUE(K1191)&lt;0,"Invalid","Valid"),"Check Format"))</f>
        <v>Valid</v>
      </c>
      <c r="W1191" t="str">
        <f>IF(OR(E1191="",F1191=""),"Missing Date/Time",IFERROR(IF(F1191&gt;E1191,"Arrival After Appointment","OK"),"Check Format"))</f>
        <v>Missing Date/Time</v>
      </c>
      <c r="X1191" t="str">
        <f>IF(OR(F1191="",G1191=""),"Missing Date/Time",IFERROR(IF(G1191&lt;F1191,"Discharge Before Arrival","OK"),"Check Format"))</f>
        <v>OK</v>
      </c>
    </row>
    <row r="1192" spans="1:24" x14ac:dyDescent="0.25">
      <c r="A1192" s="2" t="s">
        <v>1850</v>
      </c>
      <c r="B1192" s="2" t="s">
        <v>933</v>
      </c>
      <c r="C1192" s="3" t="s">
        <v>19</v>
      </c>
      <c r="D1192" s="3" t="s">
        <v>106</v>
      </c>
      <c r="E1192" s="4" t="s">
        <v>1851</v>
      </c>
      <c r="F1192" s="4">
        <v>45866.665277777778</v>
      </c>
      <c r="G1192" s="4">
        <v>45866.730555555558</v>
      </c>
      <c r="H1192" s="5">
        <v>47</v>
      </c>
      <c r="I1192" s="3" t="s">
        <v>95</v>
      </c>
      <c r="J1192" s="3" t="s">
        <v>62</v>
      </c>
      <c r="K1192" s="5">
        <v>39</v>
      </c>
      <c r="L1192" s="5">
        <v>53</v>
      </c>
      <c r="M1192" s="3" t="s">
        <v>63</v>
      </c>
      <c r="N1192" t="s">
        <v>103</v>
      </c>
      <c r="O1192" s="5">
        <v>6</v>
      </c>
      <c r="Q1192" s="2">
        <v>74.86</v>
      </c>
      <c r="R1192" s="3" t="s">
        <v>43</v>
      </c>
      <c r="S1192">
        <f>COUNTIF(A:A,A1192)</f>
        <v>1</v>
      </c>
      <c r="T1192" t="str">
        <f>IF(OR(H1192="",LOWER(TRIM(H1192&amp;""))="missing",LOWER(TRIM(H1192&amp;""))=""),"Missing/",IFERROR(IF(OR(VALUE(H1192)&lt;0,VALUE(H1192)&gt;110),"Invalid","Valid"),"Check Format"))</f>
        <v>Valid</v>
      </c>
      <c r="U1192">
        <f>IF(Raw_Data[[#This Row],[Age_Check]]="Valid",H1192,"")</f>
        <v>47</v>
      </c>
      <c r="V1192" t="str">
        <f>IF(OR(K1192="",UPPER(TRIM(K1192&amp;""))="",LOWER(TRIM(K1192&amp;""))="",LOWER(TRIM(K1192&amp;""))="",LOWER(TRIM(K1192&amp;""))="missing"),"Missing/",IFERROR(IF(VALUE(K1192)&lt;0,"Invalid","Valid"),"Check Format"))</f>
        <v>Valid</v>
      </c>
      <c r="W1192" t="str">
        <f>IF(OR(E1192="",F1192=""),"Missing Date/Time",IFERROR(IF(F1192&gt;E1192,"Arrival After Appointment","OK"),"Check Format"))</f>
        <v>OK</v>
      </c>
      <c r="X1192" t="str">
        <f>IF(OR(F1192="",G1192=""),"Missing Date/Time",IFERROR(IF(G1192&lt;F1192,"Discharge Before Arrival","OK"),"Check Format"))</f>
        <v>OK</v>
      </c>
    </row>
    <row r="1193" spans="1:24" x14ac:dyDescent="0.25">
      <c r="A1193" s="2" t="s">
        <v>1852</v>
      </c>
      <c r="B1193" s="2" t="s">
        <v>1371</v>
      </c>
      <c r="D1193" s="3" t="s">
        <v>115</v>
      </c>
      <c r="E1193" s="4">
        <v>45876.402777777781</v>
      </c>
      <c r="F1193" s="4">
        <v>45846.393055555556</v>
      </c>
      <c r="G1193" s="4">
        <v>45846.487500000003</v>
      </c>
      <c r="H1193" s="5">
        <v>145</v>
      </c>
      <c r="I1193" s="3" t="s">
        <v>95</v>
      </c>
      <c r="J1193" s="3" t="s">
        <v>2639</v>
      </c>
      <c r="K1193" s="5">
        <v>117</v>
      </c>
      <c r="L1193" s="5">
        <v>5</v>
      </c>
      <c r="M1193" s="3" t="s">
        <v>32</v>
      </c>
      <c r="N1193" t="s">
        <v>74</v>
      </c>
      <c r="P1193" s="3" t="s">
        <v>42</v>
      </c>
      <c r="Q1193" s="2">
        <v>179.78</v>
      </c>
      <c r="R1193" s="3" t="s">
        <v>43</v>
      </c>
      <c r="S1193">
        <f>COUNTIF(A:A,A1193)</f>
        <v>1</v>
      </c>
      <c r="T1193" t="str">
        <f>IF(OR(H1193="",LOWER(TRIM(H1193&amp;""))="missing",LOWER(TRIM(H1193&amp;""))=""),"Missing/",IFERROR(IF(OR(VALUE(H1193)&lt;0,VALUE(H1193)&gt;110),"Invalid","Valid"),"Check Format"))</f>
        <v>Invalid</v>
      </c>
      <c r="U1193" t="str">
        <f>IF(Raw_Data[[#This Row],[Age_Check]]="Valid",H1193,"")</f>
        <v/>
      </c>
      <c r="V1193" t="str">
        <f>IF(OR(K1193="",UPPER(TRIM(K1193&amp;""))="",LOWER(TRIM(K1193&amp;""))="",LOWER(TRIM(K1193&amp;""))="",LOWER(TRIM(K1193&amp;""))="missing"),"Missing/",IFERROR(IF(VALUE(K1193)&lt;0,"Invalid","Valid"),"Check Format"))</f>
        <v>Valid</v>
      </c>
      <c r="W1193" t="str">
        <f>IF(OR(E1193="",F1193=""),"Missing Date/Time",IFERROR(IF(F1193&gt;E1193,"Arrival After Appointment","OK"),"Check Format"))</f>
        <v>OK</v>
      </c>
      <c r="X1193" t="str">
        <f>IF(OR(F1193="",G1193=""),"Missing Date/Time",IFERROR(IF(G1193&lt;F1193,"Discharge Before Arrival","OK"),"Check Format"))</f>
        <v>OK</v>
      </c>
    </row>
    <row r="1194" spans="1:24" x14ac:dyDescent="0.25">
      <c r="A1194" s="2" t="s">
        <v>1853</v>
      </c>
      <c r="B1194" s="2" t="s">
        <v>1818</v>
      </c>
      <c r="C1194" s="3" t="s">
        <v>94</v>
      </c>
      <c r="D1194" s="3" t="s">
        <v>66</v>
      </c>
      <c r="E1194" s="4" t="s">
        <v>1854</v>
      </c>
      <c r="F1194" s="4">
        <v>45734.633333333331</v>
      </c>
      <c r="H1194" s="5">
        <v>145</v>
      </c>
      <c r="I1194" s="3" t="s">
        <v>95</v>
      </c>
      <c r="J1194" s="3" t="s">
        <v>62</v>
      </c>
      <c r="K1194" s="5">
        <v>74</v>
      </c>
      <c r="L1194" s="5">
        <v>17</v>
      </c>
      <c r="M1194" s="3" t="s">
        <v>32</v>
      </c>
      <c r="N1194" t="s">
        <v>69</v>
      </c>
      <c r="O1194" s="5">
        <v>2</v>
      </c>
      <c r="P1194" s="3" t="s">
        <v>25</v>
      </c>
      <c r="Q1194" s="2">
        <v>178.95</v>
      </c>
      <c r="R1194" s="3" t="s">
        <v>26</v>
      </c>
      <c r="S1194">
        <f>COUNTIF(A:A,A1194)</f>
        <v>1</v>
      </c>
      <c r="T1194" t="str">
        <f>IF(OR(H1194="",LOWER(TRIM(H1194&amp;""))="missing",LOWER(TRIM(H1194&amp;""))=""),"Missing/",IFERROR(IF(OR(VALUE(H1194)&lt;0,VALUE(H1194)&gt;110),"Invalid","Valid"),"Check Format"))</f>
        <v>Invalid</v>
      </c>
      <c r="U1194" t="str">
        <f>IF(Raw_Data[[#This Row],[Age_Check]]="Valid",H1194,"")</f>
        <v/>
      </c>
      <c r="V1194" t="str">
        <f>IF(OR(K1194="",UPPER(TRIM(K1194&amp;""))="",LOWER(TRIM(K1194&amp;""))="",LOWER(TRIM(K1194&amp;""))="",LOWER(TRIM(K1194&amp;""))="missing"),"Missing/",IFERROR(IF(VALUE(K1194)&lt;0,"Invalid","Valid"),"Check Format"))</f>
        <v>Valid</v>
      </c>
      <c r="W1194" t="str">
        <f>IF(OR(E1194="",F1194=""),"Missing Date/Time",IFERROR(IF(F1194&gt;E1194,"Arrival After Appointment","OK"),"Check Format"))</f>
        <v>OK</v>
      </c>
      <c r="X1194" t="str">
        <f>IF(OR(F1194="",G1194=""),"Missing Date/Time",IFERROR(IF(G1194&lt;F1194,"Discharge Before Arrival","OK"),"Check Format"))</f>
        <v>Missing Date/Time</v>
      </c>
    </row>
    <row r="1195" spans="1:24" x14ac:dyDescent="0.25">
      <c r="A1195" s="2" t="s">
        <v>1455</v>
      </c>
      <c r="B1195" s="2" t="s">
        <v>204</v>
      </c>
      <c r="C1195" s="3" t="s">
        <v>19</v>
      </c>
      <c r="D1195" s="3" t="s">
        <v>38</v>
      </c>
      <c r="E1195" s="4" t="s">
        <v>128</v>
      </c>
      <c r="F1195" s="4">
        <v>45375.565972222219</v>
      </c>
      <c r="G1195" s="4">
        <v>45375.659722222219</v>
      </c>
      <c r="H1195" s="5">
        <v>63</v>
      </c>
      <c r="J1195" s="3" t="s">
        <v>150</v>
      </c>
      <c r="K1195" s="5">
        <v>56</v>
      </c>
      <c r="L1195" s="5">
        <v>54</v>
      </c>
      <c r="O1195" s="5">
        <v>1</v>
      </c>
      <c r="P1195" s="3" t="s">
        <v>42</v>
      </c>
      <c r="Q1195" s="2">
        <v>232.72</v>
      </c>
      <c r="R1195" s="3" t="s">
        <v>58</v>
      </c>
      <c r="S1195">
        <f>COUNTIF(A:A,A1195)</f>
        <v>1</v>
      </c>
      <c r="T1195" t="str">
        <f>IF(OR(H1195="",LOWER(TRIM(H1195&amp;""))="missing",LOWER(TRIM(H1195&amp;""))=""),"Missing/",IFERROR(IF(OR(VALUE(H1195)&lt;0,VALUE(H1195)&gt;110),"Invalid","Valid"),"Check Format"))</f>
        <v>Valid</v>
      </c>
      <c r="U1195">
        <f>IF(Raw_Data[[#This Row],[Age_Check]]="Valid",H1195,"")</f>
        <v>63</v>
      </c>
      <c r="V1195" t="str">
        <f>IF(OR(K1195="",UPPER(TRIM(K1195&amp;""))="",LOWER(TRIM(K1195&amp;""))="",LOWER(TRIM(K1195&amp;""))="",LOWER(TRIM(K1195&amp;""))="missing"),"Missing/",IFERROR(IF(VALUE(K1195)&lt;0,"Invalid","Valid"),"Check Format"))</f>
        <v>Valid</v>
      </c>
      <c r="W1195" t="str">
        <f>IF(OR(E1195="",F1195=""),"Missing Date/Time",IFERROR(IF(F1195&gt;E1195,"Arrival After Appointment","OK"),"Check Format"))</f>
        <v>OK</v>
      </c>
      <c r="X1195" t="str">
        <f>IF(OR(F1195="",G1195=""),"Missing Date/Time",IFERROR(IF(G1195&lt;F1195,"Discharge Before Arrival","OK"),"Check Format"))</f>
        <v>OK</v>
      </c>
    </row>
    <row r="1196" spans="1:24" x14ac:dyDescent="0.25">
      <c r="A1196" s="2" t="s">
        <v>1857</v>
      </c>
      <c r="B1196" s="2" t="s">
        <v>559</v>
      </c>
      <c r="C1196" s="3" t="s">
        <v>29</v>
      </c>
      <c r="D1196" s="3" t="s">
        <v>61</v>
      </c>
      <c r="E1196" s="4">
        <v>45955.784722222219</v>
      </c>
      <c r="F1196" s="4">
        <v>45955.777083333334</v>
      </c>
      <c r="G1196" s="4">
        <v>45955.794444444444</v>
      </c>
      <c r="I1196" s="3" t="s">
        <v>95</v>
      </c>
      <c r="J1196" s="3" t="s">
        <v>62</v>
      </c>
      <c r="K1196" s="5">
        <v>0</v>
      </c>
      <c r="L1196" s="5">
        <v>14</v>
      </c>
      <c r="M1196" s="3" t="s">
        <v>50</v>
      </c>
      <c r="N1196" t="s">
        <v>69</v>
      </c>
      <c r="P1196" s="3" t="s">
        <v>25</v>
      </c>
      <c r="Q1196" s="2">
        <v>275.33</v>
      </c>
      <c r="R1196" s="3" t="s">
        <v>26</v>
      </c>
      <c r="S1196">
        <f>COUNTIF(A:A,A1196)</f>
        <v>1</v>
      </c>
      <c r="T1196" t="str">
        <f>IF(OR(H1196="",LOWER(TRIM(H1196&amp;""))="missing",LOWER(TRIM(H1196&amp;""))=""),"Missing/",IFERROR(IF(OR(VALUE(H1196)&lt;0,VALUE(H1196)&gt;110),"Invalid","Valid"),"Check Format"))</f>
        <v>Missing/</v>
      </c>
      <c r="U1196" t="str">
        <f>IF(Raw_Data[[#This Row],[Age_Check]]="Valid",H1196,"")</f>
        <v/>
      </c>
      <c r="V1196" t="str">
        <f>IF(OR(K1196="",UPPER(TRIM(K1196&amp;""))="",LOWER(TRIM(K1196&amp;""))="",LOWER(TRIM(K1196&amp;""))="",LOWER(TRIM(K1196&amp;""))="missing"),"Missing/",IFERROR(IF(VALUE(K1196)&lt;0,"Invalid","Valid"),"Check Format"))</f>
        <v>Valid</v>
      </c>
      <c r="W1196" t="str">
        <f>IF(OR(E1196="",F1196=""),"Missing Date/Time",IFERROR(IF(F1196&gt;E1196,"Arrival After Appointment","OK"),"Check Format"))</f>
        <v>OK</v>
      </c>
      <c r="X1196" t="str">
        <f>IF(OR(F1196="",G1196=""),"Missing Date/Time",IFERROR(IF(G1196&lt;F1196,"Discharge Before Arrival","OK"),"Check Format"))</f>
        <v>OK</v>
      </c>
    </row>
    <row r="1197" spans="1:24" x14ac:dyDescent="0.25">
      <c r="A1197" s="2" t="s">
        <v>1858</v>
      </c>
      <c r="B1197" s="2" t="s">
        <v>645</v>
      </c>
      <c r="C1197" s="3" t="s">
        <v>94</v>
      </c>
      <c r="D1197" s="3" t="s">
        <v>209</v>
      </c>
      <c r="E1197" s="4">
        <v>45904.482638888891</v>
      </c>
      <c r="G1197" s="4">
        <v>45904.515277777777</v>
      </c>
      <c r="I1197" s="3" t="s">
        <v>73</v>
      </c>
      <c r="J1197" s="3" t="s">
        <v>150</v>
      </c>
      <c r="K1197" s="5">
        <v>37</v>
      </c>
      <c r="L1197" s="5">
        <v>10</v>
      </c>
      <c r="M1197" s="3" t="s">
        <v>50</v>
      </c>
      <c r="N1197" t="s">
        <v>69</v>
      </c>
      <c r="O1197" s="5">
        <v>2</v>
      </c>
      <c r="P1197" s="3" t="s">
        <v>42</v>
      </c>
      <c r="Q1197" s="2">
        <v>129.16</v>
      </c>
      <c r="R1197" s="3" t="s">
        <v>75</v>
      </c>
      <c r="S1197">
        <f>COUNTIF(A:A,A1197)</f>
        <v>1</v>
      </c>
      <c r="T1197" t="str">
        <f>IF(OR(H1197="",LOWER(TRIM(H1197&amp;""))="missing",LOWER(TRIM(H1197&amp;""))=""),"Missing/",IFERROR(IF(OR(VALUE(H1197)&lt;0,VALUE(H1197)&gt;110),"Invalid","Valid"),"Check Format"))</f>
        <v>Missing/</v>
      </c>
      <c r="U1197" t="str">
        <f>IF(Raw_Data[[#This Row],[Age_Check]]="Valid",H1197,"")</f>
        <v/>
      </c>
      <c r="V1197" t="str">
        <f>IF(OR(K1197="",UPPER(TRIM(K1197&amp;""))="",LOWER(TRIM(K1197&amp;""))="",LOWER(TRIM(K1197&amp;""))="",LOWER(TRIM(K1197&amp;""))="missing"),"Missing/",IFERROR(IF(VALUE(K1197)&lt;0,"Invalid","Valid"),"Check Format"))</f>
        <v>Valid</v>
      </c>
      <c r="W1197" t="str">
        <f>IF(OR(E1197="",F1197=""),"Missing Date/Time",IFERROR(IF(F1197&gt;E1197,"Arrival After Appointment","OK"),"Check Format"))</f>
        <v>Missing Date/Time</v>
      </c>
      <c r="X1197" t="str">
        <f>IF(OR(F1197="",G1197=""),"Missing Date/Time",IFERROR(IF(G1197&lt;F1197,"Discharge Before Arrival","OK"),"Check Format"))</f>
        <v>Missing Date/Time</v>
      </c>
    </row>
    <row r="1198" spans="1:24" x14ac:dyDescent="0.25">
      <c r="A1198" s="2" t="s">
        <v>1859</v>
      </c>
      <c r="B1198" s="2" t="s">
        <v>269</v>
      </c>
      <c r="D1198" s="3" t="s">
        <v>47</v>
      </c>
      <c r="E1198" s="4">
        <v>45549.572916666664</v>
      </c>
      <c r="F1198" s="4">
        <v>45549.5625</v>
      </c>
      <c r="G1198" s="4">
        <v>45549.666666666664</v>
      </c>
      <c r="I1198" s="3" t="s">
        <v>73</v>
      </c>
      <c r="J1198" s="3" t="s">
        <v>62</v>
      </c>
      <c r="K1198" s="5">
        <v>130</v>
      </c>
      <c r="L1198" s="5">
        <v>5</v>
      </c>
      <c r="M1198" s="3" t="s">
        <v>41</v>
      </c>
      <c r="N1198" t="s">
        <v>91</v>
      </c>
      <c r="O1198" s="5">
        <v>5</v>
      </c>
      <c r="P1198" s="3" t="s">
        <v>25</v>
      </c>
      <c r="Q1198" s="2">
        <v>60.9</v>
      </c>
      <c r="R1198" s="3" t="s">
        <v>58</v>
      </c>
      <c r="S1198">
        <f>COUNTIF(A:A,A1198)</f>
        <v>1</v>
      </c>
      <c r="T1198" t="str">
        <f>IF(OR(H1198="",LOWER(TRIM(H1198&amp;""))="missing",LOWER(TRIM(H1198&amp;""))=""),"Missing/",IFERROR(IF(OR(VALUE(H1198)&lt;0,VALUE(H1198)&gt;110),"Invalid","Valid"),"Check Format"))</f>
        <v>Missing/</v>
      </c>
      <c r="U1198" t="str">
        <f>IF(Raw_Data[[#This Row],[Age_Check]]="Valid",H1198,"")</f>
        <v/>
      </c>
      <c r="V1198" t="str">
        <f>IF(OR(K1198="",UPPER(TRIM(K1198&amp;""))="",LOWER(TRIM(K1198&amp;""))="",LOWER(TRIM(K1198&amp;""))="",LOWER(TRIM(K1198&amp;""))="missing"),"Missing/",IFERROR(IF(VALUE(K1198)&lt;0,"Invalid","Valid"),"Check Format"))</f>
        <v>Valid</v>
      </c>
      <c r="W1198" t="str">
        <f>IF(OR(E1198="",F1198=""),"Missing Date/Time",IFERROR(IF(F1198&gt;E1198,"Arrival After Appointment","OK"),"Check Format"))</f>
        <v>OK</v>
      </c>
      <c r="X1198" t="str">
        <f>IF(OR(F1198="",G1198=""),"Missing Date/Time",IFERROR(IF(G1198&lt;F1198,"Discharge Before Arrival","OK"),"Check Format"))</f>
        <v>OK</v>
      </c>
    </row>
    <row r="1199" spans="1:24" x14ac:dyDescent="0.25">
      <c r="A1199" s="2" t="s">
        <v>1860</v>
      </c>
      <c r="B1199" s="2" t="s">
        <v>216</v>
      </c>
      <c r="C1199" s="3" t="s">
        <v>19</v>
      </c>
      <c r="D1199" s="3" t="s">
        <v>20</v>
      </c>
      <c r="E1199" s="4">
        <v>45329.357638888891</v>
      </c>
      <c r="F1199" s="4">
        <v>45329.344444444447</v>
      </c>
      <c r="G1199" s="4">
        <v>45329.479166666664</v>
      </c>
      <c r="H1199" s="5">
        <v>84</v>
      </c>
      <c r="I1199" s="3" t="s">
        <v>73</v>
      </c>
      <c r="J1199" s="3" t="s">
        <v>67</v>
      </c>
      <c r="K1199" s="5">
        <v>110</v>
      </c>
      <c r="L1199" s="5">
        <v>65</v>
      </c>
      <c r="M1199" s="3" t="s">
        <v>87</v>
      </c>
      <c r="N1199" t="s">
        <v>69</v>
      </c>
      <c r="P1199" s="3" t="s">
        <v>25</v>
      </c>
      <c r="Q1199" s="2">
        <v>136.72999999999999</v>
      </c>
      <c r="R1199" s="3" t="s">
        <v>58</v>
      </c>
      <c r="S1199">
        <f>COUNTIF(A:A,A1199)</f>
        <v>1</v>
      </c>
      <c r="T1199" t="str">
        <f>IF(OR(H1199="",LOWER(TRIM(H1199&amp;""))="missing",LOWER(TRIM(H1199&amp;""))=""),"Missing/",IFERROR(IF(OR(VALUE(H1199)&lt;0,VALUE(H1199)&gt;110),"Invalid","Valid"),"Check Format"))</f>
        <v>Valid</v>
      </c>
      <c r="U1199">
        <f>IF(Raw_Data[[#This Row],[Age_Check]]="Valid",H1199,"")</f>
        <v>84</v>
      </c>
      <c r="V1199" t="str">
        <f>IF(OR(K1199="",UPPER(TRIM(K1199&amp;""))="",LOWER(TRIM(K1199&amp;""))="",LOWER(TRIM(K1199&amp;""))="",LOWER(TRIM(K1199&amp;""))="missing"),"Missing/",IFERROR(IF(VALUE(K1199)&lt;0,"Invalid","Valid"),"Check Format"))</f>
        <v>Valid</v>
      </c>
      <c r="W1199" t="str">
        <f>IF(OR(E1199="",F1199=""),"Missing Date/Time",IFERROR(IF(F1199&gt;E1199,"Arrival After Appointment","OK"),"Check Format"))</f>
        <v>OK</v>
      </c>
      <c r="X1199" t="str">
        <f>IF(OR(F1199="",G1199=""),"Missing Date/Time",IFERROR(IF(G1199&lt;F1199,"Discharge Before Arrival","OK"),"Check Format"))</f>
        <v>OK</v>
      </c>
    </row>
    <row r="1200" spans="1:24" x14ac:dyDescent="0.25">
      <c r="A1200" s="2" t="s">
        <v>1861</v>
      </c>
      <c r="B1200" s="2" t="s">
        <v>526</v>
      </c>
      <c r="C1200" s="3" t="s">
        <v>29</v>
      </c>
      <c r="D1200" s="3" t="s">
        <v>72</v>
      </c>
      <c r="E1200" s="4">
        <v>45833.517361111109</v>
      </c>
      <c r="F1200" s="4">
        <v>45833.500694444447</v>
      </c>
      <c r="G1200" s="4">
        <v>45833.574999999997</v>
      </c>
      <c r="I1200" s="3" t="s">
        <v>73</v>
      </c>
      <c r="J1200" s="3" t="s">
        <v>62</v>
      </c>
      <c r="K1200" s="5">
        <v>14</v>
      </c>
      <c r="L1200" s="5">
        <v>69</v>
      </c>
      <c r="N1200" t="s">
        <v>24</v>
      </c>
      <c r="O1200" s="5">
        <v>0</v>
      </c>
      <c r="P1200" s="3" t="s">
        <v>80</v>
      </c>
      <c r="Q1200" s="2">
        <v>272.56</v>
      </c>
      <c r="R1200" s="3" t="s">
        <v>75</v>
      </c>
      <c r="S1200">
        <f>COUNTIF(A:A,A1200)</f>
        <v>1</v>
      </c>
      <c r="T1200" t="str">
        <f>IF(OR(H1200="",LOWER(TRIM(H1200&amp;""))="missing",LOWER(TRIM(H1200&amp;""))=""),"Missing/",IFERROR(IF(OR(VALUE(H1200)&lt;0,VALUE(H1200)&gt;110),"Invalid","Valid"),"Check Format"))</f>
        <v>Missing/</v>
      </c>
      <c r="U1200" t="str">
        <f>IF(Raw_Data[[#This Row],[Age_Check]]="Valid",H1200,"")</f>
        <v/>
      </c>
      <c r="V1200" t="str">
        <f>IF(OR(K1200="",UPPER(TRIM(K1200&amp;""))="",LOWER(TRIM(K1200&amp;""))="",LOWER(TRIM(K1200&amp;""))="",LOWER(TRIM(K1200&amp;""))="missing"),"Missing/",IFERROR(IF(VALUE(K1200)&lt;0,"Invalid","Valid"),"Check Format"))</f>
        <v>Valid</v>
      </c>
      <c r="W1200" t="str">
        <f>IF(OR(E1200="",F1200=""),"Missing Date/Time",IFERROR(IF(F1200&gt;E1200,"Arrival After Appointment","OK"),"Check Format"))</f>
        <v>OK</v>
      </c>
      <c r="X1200" t="str">
        <f>IF(OR(F1200="",G1200=""),"Missing Date/Time",IFERROR(IF(G1200&lt;F1200,"Discharge Before Arrival","OK"),"Check Format"))</f>
        <v>OK</v>
      </c>
    </row>
    <row r="1201" spans="1:24" x14ac:dyDescent="0.25">
      <c r="A1201" s="2" t="s">
        <v>1862</v>
      </c>
      <c r="B1201" s="2" t="s">
        <v>900</v>
      </c>
      <c r="C1201" s="3" t="s">
        <v>37</v>
      </c>
      <c r="D1201" s="3" t="s">
        <v>23</v>
      </c>
      <c r="E1201" s="4">
        <v>45900.541666666664</v>
      </c>
      <c r="F1201" s="4">
        <v>45900.540277777778</v>
      </c>
      <c r="G1201" s="4">
        <v>45900.609722222223</v>
      </c>
      <c r="H1201" s="5">
        <v>29</v>
      </c>
      <c r="I1201" s="3" t="s">
        <v>73</v>
      </c>
      <c r="J1201" s="3" t="s">
        <v>62</v>
      </c>
      <c r="K1201" s="5">
        <v>81</v>
      </c>
      <c r="L1201" s="5">
        <v>17</v>
      </c>
      <c r="M1201" s="3" t="s">
        <v>87</v>
      </c>
      <c r="N1201" t="s">
        <v>100</v>
      </c>
      <c r="O1201" s="5">
        <v>3</v>
      </c>
      <c r="P1201" s="3" t="s">
        <v>25</v>
      </c>
      <c r="Q1201" s="2">
        <v>141.08000000000001</v>
      </c>
      <c r="R1201" s="3" t="s">
        <v>75</v>
      </c>
      <c r="S1201">
        <f>COUNTIF(A:A,A1201)</f>
        <v>1</v>
      </c>
      <c r="T1201" t="str">
        <f>IF(OR(H1201="",LOWER(TRIM(H1201&amp;""))="missing",LOWER(TRIM(H1201&amp;""))=""),"Missing/",IFERROR(IF(OR(VALUE(H1201)&lt;0,VALUE(H1201)&gt;110),"Invalid","Valid"),"Check Format"))</f>
        <v>Valid</v>
      </c>
      <c r="U1201">
        <f>IF(Raw_Data[[#This Row],[Age_Check]]="Valid",H1201,"")</f>
        <v>29</v>
      </c>
      <c r="V1201" t="str">
        <f>IF(OR(K1201="",UPPER(TRIM(K1201&amp;""))="",LOWER(TRIM(K1201&amp;""))="",LOWER(TRIM(K1201&amp;""))="",LOWER(TRIM(K1201&amp;""))="missing"),"Missing/",IFERROR(IF(VALUE(K1201)&lt;0,"Invalid","Valid"),"Check Format"))</f>
        <v>Valid</v>
      </c>
      <c r="W1201" t="str">
        <f>IF(OR(E1201="",F1201=""),"Missing Date/Time",IFERROR(IF(F1201&gt;E1201,"Arrival After Appointment","OK"),"Check Format"))</f>
        <v>OK</v>
      </c>
      <c r="X1201" t="str">
        <f>IF(OR(F1201="",G1201=""),"Missing Date/Time",IFERROR(IF(G1201&lt;F1201,"Discharge Before Arrival","OK"),"Check Format"))</f>
        <v>OK</v>
      </c>
    </row>
    <row r="1202" spans="1:24" x14ac:dyDescent="0.25">
      <c r="A1202" s="2" t="s">
        <v>1863</v>
      </c>
      <c r="B1202" s="2" t="s">
        <v>301</v>
      </c>
      <c r="C1202" s="3" t="s">
        <v>94</v>
      </c>
      <c r="D1202" s="3" t="s">
        <v>30</v>
      </c>
      <c r="E1202" s="4">
        <v>45524.5625</v>
      </c>
      <c r="F1202" s="4">
        <v>45524.544444444444</v>
      </c>
      <c r="G1202" s="4">
        <v>45524.624305555553</v>
      </c>
      <c r="H1202" s="5">
        <v>145</v>
      </c>
      <c r="I1202" s="3" t="s">
        <v>95</v>
      </c>
      <c r="J1202" s="3" t="s">
        <v>2639</v>
      </c>
      <c r="K1202" s="5">
        <v>52</v>
      </c>
      <c r="L1202" s="5">
        <v>37</v>
      </c>
      <c r="M1202" s="3" t="s">
        <v>50</v>
      </c>
      <c r="N1202" t="s">
        <v>74</v>
      </c>
      <c r="P1202" s="3" t="s">
        <v>42</v>
      </c>
      <c r="Q1202" s="2">
        <v>261.08</v>
      </c>
      <c r="R1202" s="3" t="s">
        <v>75</v>
      </c>
      <c r="S1202">
        <f>COUNTIF(A:A,A1202)</f>
        <v>1</v>
      </c>
      <c r="T1202" t="str">
        <f>IF(OR(H1202="",LOWER(TRIM(H1202&amp;""))="missing",LOWER(TRIM(H1202&amp;""))=""),"Missing/",IFERROR(IF(OR(VALUE(H1202)&lt;0,VALUE(H1202)&gt;110),"Invalid","Valid"),"Check Format"))</f>
        <v>Invalid</v>
      </c>
      <c r="U1202" t="str">
        <f>IF(Raw_Data[[#This Row],[Age_Check]]="Valid",H1202,"")</f>
        <v/>
      </c>
      <c r="V1202" t="str">
        <f>IF(OR(K1202="",UPPER(TRIM(K1202&amp;""))="",LOWER(TRIM(K1202&amp;""))="",LOWER(TRIM(K1202&amp;""))="",LOWER(TRIM(K1202&amp;""))="missing"),"Missing/",IFERROR(IF(VALUE(K1202)&lt;0,"Invalid","Valid"),"Check Format"))</f>
        <v>Valid</v>
      </c>
      <c r="W1202" t="str">
        <f>IF(OR(E1202="",F1202=""),"Missing Date/Time",IFERROR(IF(F1202&gt;E1202,"Arrival After Appointment","OK"),"Check Format"))</f>
        <v>OK</v>
      </c>
      <c r="X1202" t="str">
        <f>IF(OR(F1202="",G1202=""),"Missing Date/Time",IFERROR(IF(G1202&lt;F1202,"Discharge Before Arrival","OK"),"Check Format"))</f>
        <v>OK</v>
      </c>
    </row>
    <row r="1203" spans="1:24" x14ac:dyDescent="0.25">
      <c r="A1203" s="2" t="s">
        <v>1864</v>
      </c>
      <c r="B1203" s="2" t="s">
        <v>1061</v>
      </c>
      <c r="C1203" s="3" t="s">
        <v>94</v>
      </c>
      <c r="D1203" s="3" t="s">
        <v>55</v>
      </c>
      <c r="E1203" s="4">
        <v>45449.541666666664</v>
      </c>
      <c r="F1203" s="4">
        <v>45449.525694444441</v>
      </c>
      <c r="G1203" s="4">
        <v>45449.611111111109</v>
      </c>
      <c r="I1203" s="3" t="s">
        <v>73</v>
      </c>
      <c r="K1203" s="5">
        <v>88</v>
      </c>
      <c r="L1203" s="5">
        <v>12</v>
      </c>
      <c r="M1203" s="3" t="s">
        <v>68</v>
      </c>
      <c r="O1203" s="5">
        <v>0</v>
      </c>
      <c r="P1203" s="3" t="s">
        <v>25</v>
      </c>
      <c r="Q1203" s="2">
        <v>255.12</v>
      </c>
      <c r="R1203" s="3" t="s">
        <v>43</v>
      </c>
      <c r="S1203">
        <f>COUNTIF(A:A,A1203)</f>
        <v>1</v>
      </c>
      <c r="T1203" t="str">
        <f>IF(OR(H1203="",LOWER(TRIM(H1203&amp;""))="missing",LOWER(TRIM(H1203&amp;""))=""),"Missing/",IFERROR(IF(OR(VALUE(H1203)&lt;0,VALUE(H1203)&gt;110),"Invalid","Valid"),"Check Format"))</f>
        <v>Missing/</v>
      </c>
      <c r="U1203" t="str">
        <f>IF(Raw_Data[[#This Row],[Age_Check]]="Valid",H1203,"")</f>
        <v/>
      </c>
      <c r="V1203" t="str">
        <f>IF(OR(K1203="",UPPER(TRIM(K1203&amp;""))="",LOWER(TRIM(K1203&amp;""))="",LOWER(TRIM(K1203&amp;""))="",LOWER(TRIM(K1203&amp;""))="missing"),"Missing/",IFERROR(IF(VALUE(K1203)&lt;0,"Invalid","Valid"),"Check Format"))</f>
        <v>Valid</v>
      </c>
      <c r="W1203" t="str">
        <f>IF(OR(E1203="",F1203=""),"Missing Date/Time",IFERROR(IF(F1203&gt;E1203,"Arrival After Appointment","OK"),"Check Format"))</f>
        <v>OK</v>
      </c>
      <c r="X1203" t="str">
        <f>IF(OR(F1203="",G1203=""),"Missing Date/Time",IFERROR(IF(G1203&lt;F1203,"Discharge Before Arrival","OK"),"Check Format"))</f>
        <v>OK</v>
      </c>
    </row>
    <row r="1204" spans="1:24" x14ac:dyDescent="0.25">
      <c r="A1204" s="2" t="s">
        <v>1865</v>
      </c>
      <c r="B1204" s="2" t="s">
        <v>1706</v>
      </c>
      <c r="C1204" s="3" t="s">
        <v>19</v>
      </c>
      <c r="D1204" s="3" t="s">
        <v>30</v>
      </c>
      <c r="E1204" s="4">
        <v>45462.347222222219</v>
      </c>
      <c r="F1204" s="4">
        <v>45462.329861111109</v>
      </c>
      <c r="G1204" s="4">
        <v>45462.425000000003</v>
      </c>
      <c r="J1204" s="3" t="s">
        <v>171</v>
      </c>
      <c r="K1204" s="5">
        <v>68</v>
      </c>
      <c r="L1204" s="5">
        <v>44</v>
      </c>
      <c r="M1204" s="3" t="s">
        <v>63</v>
      </c>
      <c r="N1204" t="s">
        <v>69</v>
      </c>
      <c r="P1204" s="3" t="s">
        <v>42</v>
      </c>
      <c r="Q1204" s="2">
        <v>262.32</v>
      </c>
      <c r="R1204" s="3" t="s">
        <v>58</v>
      </c>
      <c r="S1204">
        <f>COUNTIF(A:A,A1204)</f>
        <v>1</v>
      </c>
      <c r="T1204" t="str">
        <f>IF(OR(H1204="",LOWER(TRIM(H1204&amp;""))="missing",LOWER(TRIM(H1204&amp;""))=""),"Missing/",IFERROR(IF(OR(VALUE(H1204)&lt;0,VALUE(H1204)&gt;110),"Invalid","Valid"),"Check Format"))</f>
        <v>Missing/</v>
      </c>
      <c r="U1204" t="str">
        <f>IF(Raw_Data[[#This Row],[Age_Check]]="Valid",H1204,"")</f>
        <v/>
      </c>
      <c r="V1204" t="str">
        <f>IF(OR(K1204="",UPPER(TRIM(K1204&amp;""))="",LOWER(TRIM(K1204&amp;""))="",LOWER(TRIM(K1204&amp;""))="",LOWER(TRIM(K1204&amp;""))="missing"),"Missing/",IFERROR(IF(VALUE(K1204)&lt;0,"Invalid","Valid"),"Check Format"))</f>
        <v>Valid</v>
      </c>
      <c r="W1204" t="str">
        <f>IF(OR(E1204="",F1204=""),"Missing Date/Time",IFERROR(IF(F1204&gt;E1204,"Arrival After Appointment","OK"),"Check Format"))</f>
        <v>OK</v>
      </c>
      <c r="X1204" t="str">
        <f>IF(OR(F1204="",G1204=""),"Missing Date/Time",IFERROR(IF(G1204&lt;F1204,"Discharge Before Arrival","OK"),"Check Format"))</f>
        <v>OK</v>
      </c>
    </row>
    <row r="1205" spans="1:24" x14ac:dyDescent="0.25">
      <c r="A1205" s="2" t="s">
        <v>1866</v>
      </c>
      <c r="B1205" s="2" t="s">
        <v>1867</v>
      </c>
      <c r="C1205" s="3" t="s">
        <v>19</v>
      </c>
      <c r="D1205" s="3" t="s">
        <v>209</v>
      </c>
      <c r="E1205" s="4">
        <v>45994.513888888891</v>
      </c>
      <c r="F1205" s="4">
        <v>45994.498611111114</v>
      </c>
      <c r="G1205" s="4">
        <v>45994.548611111109</v>
      </c>
      <c r="H1205" s="5">
        <v>89</v>
      </c>
      <c r="I1205" s="3" t="s">
        <v>73</v>
      </c>
      <c r="J1205" s="3" t="s">
        <v>22</v>
      </c>
      <c r="K1205" s="5">
        <v>19</v>
      </c>
      <c r="L1205" s="5">
        <v>31</v>
      </c>
      <c r="N1205" t="s">
        <v>24</v>
      </c>
      <c r="O1205" s="5">
        <v>2</v>
      </c>
      <c r="P1205" s="3" t="s">
        <v>42</v>
      </c>
      <c r="Q1205" s="2">
        <v>102.48</v>
      </c>
      <c r="R1205" s="3" t="s">
        <v>58</v>
      </c>
      <c r="S1205">
        <f>COUNTIF(A:A,A1205)</f>
        <v>1</v>
      </c>
      <c r="T1205" t="str">
        <f>IF(OR(H1205="",LOWER(TRIM(H1205&amp;""))="missing",LOWER(TRIM(H1205&amp;""))=""),"Missing/",IFERROR(IF(OR(VALUE(H1205)&lt;0,VALUE(H1205)&gt;110),"Invalid","Valid"),"Check Format"))</f>
        <v>Valid</v>
      </c>
      <c r="U1205">
        <f>IF(Raw_Data[[#This Row],[Age_Check]]="Valid",H1205,"")</f>
        <v>89</v>
      </c>
      <c r="V1205" t="str">
        <f>IF(OR(K1205="",UPPER(TRIM(K1205&amp;""))="",LOWER(TRIM(K1205&amp;""))="",LOWER(TRIM(K1205&amp;""))="",LOWER(TRIM(K1205&amp;""))="missing"),"Missing/",IFERROR(IF(VALUE(K1205)&lt;0,"Invalid","Valid"),"Check Format"))</f>
        <v>Valid</v>
      </c>
      <c r="W1205" t="str">
        <f>IF(OR(E1205="",F1205=""),"Missing Date/Time",IFERROR(IF(F1205&gt;E1205,"Arrival After Appointment","OK"),"Check Format"))</f>
        <v>OK</v>
      </c>
      <c r="X1205" t="str">
        <f>IF(OR(F1205="",G1205=""),"Missing Date/Time",IFERROR(IF(G1205&lt;F1205,"Discharge Before Arrival","OK"),"Check Format"))</f>
        <v>OK</v>
      </c>
    </row>
    <row r="1206" spans="1:24" x14ac:dyDescent="0.25">
      <c r="A1206" s="2" t="s">
        <v>1868</v>
      </c>
      <c r="B1206" s="2" t="s">
        <v>1869</v>
      </c>
      <c r="C1206" s="3" t="s">
        <v>19</v>
      </c>
      <c r="D1206" s="3" t="s">
        <v>174</v>
      </c>
      <c r="E1206" s="4">
        <v>45394.78125</v>
      </c>
      <c r="F1206" s="4">
        <v>45394.761805555558</v>
      </c>
      <c r="G1206" s="4">
        <v>45394.80972222222</v>
      </c>
      <c r="I1206" s="3" t="s">
        <v>95</v>
      </c>
      <c r="J1206" s="3" t="s">
        <v>2639</v>
      </c>
      <c r="K1206" s="5">
        <v>3</v>
      </c>
      <c r="L1206" s="5">
        <v>38</v>
      </c>
      <c r="M1206" s="3" t="s">
        <v>68</v>
      </c>
      <c r="N1206" t="s">
        <v>69</v>
      </c>
      <c r="P1206" s="3" t="s">
        <v>42</v>
      </c>
      <c r="Q1206" s="2">
        <v>345.92</v>
      </c>
      <c r="R1206" s="3" t="s">
        <v>43</v>
      </c>
      <c r="S1206">
        <f>COUNTIF(A:A,A1206)</f>
        <v>1</v>
      </c>
      <c r="T1206" t="str">
        <f>IF(OR(H1206="",LOWER(TRIM(H1206&amp;""))="missing",LOWER(TRIM(H1206&amp;""))=""),"Missing/",IFERROR(IF(OR(VALUE(H1206)&lt;0,VALUE(H1206)&gt;110),"Invalid","Valid"),"Check Format"))</f>
        <v>Missing/</v>
      </c>
      <c r="U1206" t="str">
        <f>IF(Raw_Data[[#This Row],[Age_Check]]="Valid",H1206,"")</f>
        <v/>
      </c>
      <c r="V1206" t="str">
        <f>IF(OR(K1206="",UPPER(TRIM(K1206&amp;""))="",LOWER(TRIM(K1206&amp;""))="",LOWER(TRIM(K1206&amp;""))="",LOWER(TRIM(K1206&amp;""))="missing"),"Missing/",IFERROR(IF(VALUE(K1206)&lt;0,"Invalid","Valid"),"Check Format"))</f>
        <v>Valid</v>
      </c>
      <c r="W1206" t="str">
        <f>IF(OR(E1206="",F1206=""),"Missing Date/Time",IFERROR(IF(F1206&gt;E1206,"Arrival After Appointment","OK"),"Check Format"))</f>
        <v>OK</v>
      </c>
      <c r="X1206" t="str">
        <f>IF(OR(F1206="",G1206=""),"Missing Date/Time",IFERROR(IF(G1206&lt;F1206,"Discharge Before Arrival","OK"),"Check Format"))</f>
        <v>OK</v>
      </c>
    </row>
    <row r="1207" spans="1:24" x14ac:dyDescent="0.25">
      <c r="A1207" s="2" t="s">
        <v>1871</v>
      </c>
      <c r="B1207" s="2" t="s">
        <v>1157</v>
      </c>
      <c r="D1207" s="3" t="s">
        <v>23</v>
      </c>
      <c r="E1207" s="4">
        <v>45439.78125</v>
      </c>
      <c r="F1207" s="4">
        <v>45439.779861111114</v>
      </c>
      <c r="G1207" s="4">
        <v>45439.844444444447</v>
      </c>
      <c r="I1207" s="3" t="s">
        <v>95</v>
      </c>
      <c r="J1207" s="3" t="s">
        <v>150</v>
      </c>
      <c r="K1207" s="5">
        <v>62</v>
      </c>
      <c r="L1207" s="5">
        <v>29</v>
      </c>
      <c r="M1207" s="3" t="s">
        <v>87</v>
      </c>
      <c r="N1207" t="s">
        <v>103</v>
      </c>
      <c r="O1207" s="5">
        <v>6</v>
      </c>
      <c r="P1207" s="3" t="s">
        <v>80</v>
      </c>
      <c r="Q1207" s="2">
        <v>41.06</v>
      </c>
      <c r="R1207" s="3" t="s">
        <v>75</v>
      </c>
      <c r="S1207">
        <f>COUNTIF(A:A,A1207)</f>
        <v>1</v>
      </c>
      <c r="T1207" t="str">
        <f>IF(OR(H1207="",LOWER(TRIM(H1207&amp;""))="missing",LOWER(TRIM(H1207&amp;""))=""),"Missing/",IFERROR(IF(OR(VALUE(H1207)&lt;0,VALUE(H1207)&gt;110),"Invalid","Valid"),"Check Format"))</f>
        <v>Missing/</v>
      </c>
      <c r="U1207" t="str">
        <f>IF(Raw_Data[[#This Row],[Age_Check]]="Valid",H1207,"")</f>
        <v/>
      </c>
      <c r="V1207" t="str">
        <f>IF(OR(K1207="",UPPER(TRIM(K1207&amp;""))="",LOWER(TRIM(K1207&amp;""))="",LOWER(TRIM(K1207&amp;""))="",LOWER(TRIM(K1207&amp;""))="missing"),"Missing/",IFERROR(IF(VALUE(K1207)&lt;0,"Invalid","Valid"),"Check Format"))</f>
        <v>Valid</v>
      </c>
      <c r="W1207" t="str">
        <f>IF(OR(E1207="",F1207=""),"Missing Date/Time",IFERROR(IF(F1207&gt;E1207,"Arrival After Appointment","OK"),"Check Format"))</f>
        <v>OK</v>
      </c>
      <c r="X1207" t="str">
        <f>IF(OR(F1207="",G1207=""),"Missing Date/Time",IFERROR(IF(G1207&lt;F1207,"Discharge Before Arrival","OK"),"Check Format"))</f>
        <v>OK</v>
      </c>
    </row>
    <row r="1208" spans="1:24" x14ac:dyDescent="0.25">
      <c r="A1208" s="2" t="s">
        <v>1872</v>
      </c>
      <c r="B1208" s="2" t="s">
        <v>204</v>
      </c>
      <c r="C1208" s="3" t="s">
        <v>94</v>
      </c>
      <c r="D1208" s="3" t="s">
        <v>72</v>
      </c>
      <c r="E1208" s="4" t="s">
        <v>1873</v>
      </c>
      <c r="F1208" s="4">
        <v>45337.442361111112</v>
      </c>
      <c r="G1208" s="4">
        <v>45337.509722222225</v>
      </c>
      <c r="H1208" s="5">
        <v>145</v>
      </c>
      <c r="I1208" s="3" t="s">
        <v>73</v>
      </c>
      <c r="J1208" s="3" t="s">
        <v>171</v>
      </c>
      <c r="K1208" s="5">
        <v>66</v>
      </c>
      <c r="L1208" s="5">
        <v>18</v>
      </c>
      <c r="N1208" t="s">
        <v>74</v>
      </c>
      <c r="O1208" s="5">
        <v>6</v>
      </c>
      <c r="P1208" s="3" t="s">
        <v>42</v>
      </c>
      <c r="R1208" s="3" t="s">
        <v>75</v>
      </c>
      <c r="S1208">
        <f>COUNTIF(A:A,A1208)</f>
        <v>1</v>
      </c>
      <c r="T1208" t="str">
        <f>IF(OR(H1208="",LOWER(TRIM(H1208&amp;""))="missing",LOWER(TRIM(H1208&amp;""))=""),"Missing/",IFERROR(IF(OR(VALUE(H1208)&lt;0,VALUE(H1208)&gt;110),"Invalid","Valid"),"Check Format"))</f>
        <v>Invalid</v>
      </c>
      <c r="U1208" t="str">
        <f>IF(Raw_Data[[#This Row],[Age_Check]]="Valid",H1208,"")</f>
        <v/>
      </c>
      <c r="V1208" t="str">
        <f>IF(OR(K1208="",UPPER(TRIM(K1208&amp;""))="",LOWER(TRIM(K1208&amp;""))="",LOWER(TRIM(K1208&amp;""))="",LOWER(TRIM(K1208&amp;""))="missing"),"Missing/",IFERROR(IF(VALUE(K1208)&lt;0,"Invalid","Valid"),"Check Format"))</f>
        <v>Valid</v>
      </c>
      <c r="W1208" t="str">
        <f>IF(OR(E1208="",F1208=""),"Missing Date/Time",IFERROR(IF(F1208&gt;E1208,"Arrival After Appointment","OK"),"Check Format"))</f>
        <v>OK</v>
      </c>
      <c r="X1208" t="str">
        <f>IF(OR(F1208="",G1208=""),"Missing Date/Time",IFERROR(IF(G1208&lt;F1208,"Discharge Before Arrival","OK"),"Check Format"))</f>
        <v>OK</v>
      </c>
    </row>
    <row r="1209" spans="1:24" x14ac:dyDescent="0.25">
      <c r="A1209" s="2" t="s">
        <v>1874</v>
      </c>
      <c r="B1209" s="2" t="s">
        <v>247</v>
      </c>
      <c r="C1209" s="3" t="s">
        <v>19</v>
      </c>
      <c r="D1209" s="3" t="s">
        <v>20</v>
      </c>
      <c r="E1209" s="4" t="s">
        <v>1875</v>
      </c>
      <c r="F1209" s="4">
        <v>46018.604861111111</v>
      </c>
      <c r="G1209" s="4">
        <v>46018.654861111114</v>
      </c>
      <c r="H1209" s="5">
        <v>145</v>
      </c>
      <c r="I1209" s="3" t="s">
        <v>73</v>
      </c>
      <c r="J1209" s="3" t="s">
        <v>67</v>
      </c>
      <c r="K1209" s="5">
        <v>0</v>
      </c>
      <c r="L1209" s="5">
        <v>53</v>
      </c>
      <c r="M1209" s="3" t="s">
        <v>41</v>
      </c>
      <c r="O1209" s="5">
        <v>1</v>
      </c>
      <c r="P1209" s="3" t="s">
        <v>80</v>
      </c>
      <c r="Q1209" s="2">
        <v>221.67</v>
      </c>
      <c r="R1209" s="3" t="s">
        <v>43</v>
      </c>
      <c r="S1209">
        <f>COUNTIF(A:A,A1209)</f>
        <v>1</v>
      </c>
      <c r="T1209" t="str">
        <f>IF(OR(H1209="",LOWER(TRIM(H1209&amp;""))="missing",LOWER(TRIM(H1209&amp;""))=""),"Missing/",IFERROR(IF(OR(VALUE(H1209)&lt;0,VALUE(H1209)&gt;110),"Invalid","Valid"),"Check Format"))</f>
        <v>Invalid</v>
      </c>
      <c r="U1209" t="str">
        <f>IF(Raw_Data[[#This Row],[Age_Check]]="Valid",H1209,"")</f>
        <v/>
      </c>
      <c r="V1209" t="str">
        <f>IF(OR(K1209="",UPPER(TRIM(K1209&amp;""))="",LOWER(TRIM(K1209&amp;""))="",LOWER(TRIM(K1209&amp;""))="",LOWER(TRIM(K1209&amp;""))="missing"),"Missing/",IFERROR(IF(VALUE(K1209)&lt;0,"Invalid","Valid"),"Check Format"))</f>
        <v>Valid</v>
      </c>
      <c r="W1209" t="str">
        <f>IF(OR(E1209="",F1209=""),"Missing Date/Time",IFERROR(IF(F1209&gt;E1209,"Arrival After Appointment","OK"),"Check Format"))</f>
        <v>OK</v>
      </c>
      <c r="X1209" t="str">
        <f>IF(OR(F1209="",G1209=""),"Missing Date/Time",IFERROR(IF(G1209&lt;F1209,"Discharge Before Arrival","OK"),"Check Format"))</f>
        <v>OK</v>
      </c>
    </row>
    <row r="1210" spans="1:24" x14ac:dyDescent="0.25">
      <c r="A1210" s="2" t="s">
        <v>1876</v>
      </c>
      <c r="B1210" s="2" t="s">
        <v>813</v>
      </c>
      <c r="C1210" s="3" t="s">
        <v>37</v>
      </c>
      <c r="D1210" s="3" t="s">
        <v>209</v>
      </c>
      <c r="E1210" s="4">
        <v>45575.378472222219</v>
      </c>
      <c r="F1210" s="4">
        <v>45575.370138888888</v>
      </c>
      <c r="G1210" s="4">
        <v>45575.444444444445</v>
      </c>
      <c r="I1210" s="3" t="s">
        <v>95</v>
      </c>
      <c r="J1210" s="3" t="s">
        <v>150</v>
      </c>
      <c r="K1210" s="5">
        <v>59</v>
      </c>
      <c r="L1210" s="5">
        <v>36</v>
      </c>
      <c r="M1210" s="3" t="s">
        <v>68</v>
      </c>
      <c r="N1210" t="s">
        <v>69</v>
      </c>
      <c r="O1210" s="5">
        <v>6</v>
      </c>
      <c r="P1210" s="3" t="s">
        <v>42</v>
      </c>
      <c r="Q1210" s="2">
        <v>230.95</v>
      </c>
      <c r="R1210" s="3" t="s">
        <v>58</v>
      </c>
      <c r="S1210">
        <f>COUNTIF(A:A,A1210)</f>
        <v>1</v>
      </c>
      <c r="T1210" t="str">
        <f>IF(OR(H1210="",LOWER(TRIM(H1210&amp;""))="missing",LOWER(TRIM(H1210&amp;""))=""),"Missing/",IFERROR(IF(OR(VALUE(H1210)&lt;0,VALUE(H1210)&gt;110),"Invalid","Valid"),"Check Format"))</f>
        <v>Missing/</v>
      </c>
      <c r="U1210" t="str">
        <f>IF(Raw_Data[[#This Row],[Age_Check]]="Valid",H1210,"")</f>
        <v/>
      </c>
      <c r="V1210" t="str">
        <f>IF(OR(K1210="",UPPER(TRIM(K1210&amp;""))="",LOWER(TRIM(K1210&amp;""))="",LOWER(TRIM(K1210&amp;""))="",LOWER(TRIM(K1210&amp;""))="missing"),"Missing/",IFERROR(IF(VALUE(K1210)&lt;0,"Invalid","Valid"),"Check Format"))</f>
        <v>Valid</v>
      </c>
      <c r="W1210" t="str">
        <f>IF(OR(E1210="",F1210=""),"Missing Date/Time",IFERROR(IF(F1210&gt;E1210,"Arrival After Appointment","OK"),"Check Format"))</f>
        <v>OK</v>
      </c>
      <c r="X1210" t="str">
        <f>IF(OR(F1210="",G1210=""),"Missing Date/Time",IFERROR(IF(G1210&lt;F1210,"Discharge Before Arrival","OK"),"Check Format"))</f>
        <v>OK</v>
      </c>
    </row>
    <row r="1211" spans="1:24" x14ac:dyDescent="0.25">
      <c r="A1211" s="2" t="s">
        <v>1877</v>
      </c>
      <c r="B1211" s="2" t="s">
        <v>301</v>
      </c>
      <c r="C1211" s="3" t="s">
        <v>29</v>
      </c>
      <c r="D1211" s="3" t="s">
        <v>106</v>
      </c>
      <c r="E1211" s="4">
        <v>45574.625</v>
      </c>
      <c r="F1211" s="4">
        <v>45574.60833333333</v>
      </c>
      <c r="G1211" s="4">
        <v>45574.703472222223</v>
      </c>
      <c r="J1211" s="3" t="s">
        <v>171</v>
      </c>
      <c r="K1211" s="5">
        <v>65</v>
      </c>
      <c r="L1211" s="5">
        <v>48</v>
      </c>
      <c r="M1211" s="3" t="s">
        <v>23</v>
      </c>
      <c r="N1211" t="s">
        <v>74</v>
      </c>
      <c r="O1211" s="5">
        <v>0</v>
      </c>
      <c r="P1211" s="3" t="s">
        <v>80</v>
      </c>
      <c r="Q1211" s="2">
        <v>121.2</v>
      </c>
      <c r="R1211" s="3" t="s">
        <v>75</v>
      </c>
      <c r="S1211">
        <f>COUNTIF(A:A,A1211)</f>
        <v>1</v>
      </c>
      <c r="T1211" t="str">
        <f>IF(OR(H1211="",LOWER(TRIM(H1211&amp;""))="missing",LOWER(TRIM(H1211&amp;""))=""),"Missing/",IFERROR(IF(OR(VALUE(H1211)&lt;0,VALUE(H1211)&gt;110),"Invalid","Valid"),"Check Format"))</f>
        <v>Missing/</v>
      </c>
      <c r="U1211" t="str">
        <f>IF(Raw_Data[[#This Row],[Age_Check]]="Valid",H1211,"")</f>
        <v/>
      </c>
      <c r="V1211" t="str">
        <f>IF(OR(K1211="",UPPER(TRIM(K1211&amp;""))="",LOWER(TRIM(K1211&amp;""))="",LOWER(TRIM(K1211&amp;""))="",LOWER(TRIM(K1211&amp;""))="missing"),"Missing/",IFERROR(IF(VALUE(K1211)&lt;0,"Invalid","Valid"),"Check Format"))</f>
        <v>Valid</v>
      </c>
      <c r="W1211" t="str">
        <f>IF(OR(E1211="",F1211=""),"Missing Date/Time",IFERROR(IF(F1211&gt;E1211,"Arrival After Appointment","OK"),"Check Format"))</f>
        <v>OK</v>
      </c>
      <c r="X1211" t="str">
        <f>IF(OR(F1211="",G1211=""),"Missing Date/Time",IFERROR(IF(G1211&lt;F1211,"Discharge Before Arrival","OK"),"Check Format"))</f>
        <v>OK</v>
      </c>
    </row>
    <row r="1212" spans="1:24" x14ac:dyDescent="0.25">
      <c r="A1212" s="2" t="s">
        <v>1878</v>
      </c>
      <c r="B1212" s="2" t="s">
        <v>1646</v>
      </c>
      <c r="C1212" s="3" t="s">
        <v>94</v>
      </c>
      <c r="D1212" s="3" t="s">
        <v>38</v>
      </c>
      <c r="E1212" s="4" t="s">
        <v>1879</v>
      </c>
      <c r="F1212" s="4">
        <v>45551.566666666666</v>
      </c>
      <c r="H1212" s="5">
        <v>145</v>
      </c>
      <c r="I1212" s="3" t="s">
        <v>73</v>
      </c>
      <c r="J1212" s="3" t="s">
        <v>2639</v>
      </c>
      <c r="K1212" s="5">
        <v>103</v>
      </c>
      <c r="L1212" s="5">
        <v>37</v>
      </c>
      <c r="M1212" s="3" t="s">
        <v>50</v>
      </c>
      <c r="N1212" t="s">
        <v>100</v>
      </c>
      <c r="P1212" s="3" t="s">
        <v>25</v>
      </c>
      <c r="Q1212" s="2">
        <v>160.52000000000001</v>
      </c>
      <c r="R1212" s="3" t="s">
        <v>26</v>
      </c>
      <c r="S1212">
        <f>COUNTIF(A:A,A1212)</f>
        <v>1</v>
      </c>
      <c r="T1212" t="str">
        <f>IF(OR(H1212="",LOWER(TRIM(H1212&amp;""))="missing",LOWER(TRIM(H1212&amp;""))=""),"Missing/",IFERROR(IF(OR(VALUE(H1212)&lt;0,VALUE(H1212)&gt;110),"Invalid","Valid"),"Check Format"))</f>
        <v>Invalid</v>
      </c>
      <c r="U1212" t="str">
        <f>IF(Raw_Data[[#This Row],[Age_Check]]="Valid",H1212,"")</f>
        <v/>
      </c>
      <c r="V1212" t="str">
        <f>IF(OR(K1212="",UPPER(TRIM(K1212&amp;""))="",LOWER(TRIM(K1212&amp;""))="",LOWER(TRIM(K1212&amp;""))="",LOWER(TRIM(K1212&amp;""))="missing"),"Missing/",IFERROR(IF(VALUE(K1212)&lt;0,"Invalid","Valid"),"Check Format"))</f>
        <v>Valid</v>
      </c>
      <c r="W1212" t="str">
        <f>IF(OR(E1212="",F1212=""),"Missing Date/Time",IFERROR(IF(F1212&gt;E1212,"Arrival After Appointment","OK"),"Check Format"))</f>
        <v>OK</v>
      </c>
      <c r="X1212" t="str">
        <f>IF(OR(F1212="",G1212=""),"Missing Date/Time",IFERROR(IF(G1212&lt;F1212,"Discharge Before Arrival","OK"),"Check Format"))</f>
        <v>Missing Date/Time</v>
      </c>
    </row>
    <row r="1213" spans="1:24" x14ac:dyDescent="0.25">
      <c r="A1213" s="2" t="s">
        <v>1880</v>
      </c>
      <c r="B1213" s="2" t="s">
        <v>237</v>
      </c>
      <c r="D1213" s="3" t="s">
        <v>66</v>
      </c>
      <c r="E1213" s="4">
        <v>45517.53125</v>
      </c>
      <c r="F1213" s="4">
        <v>45517.527083333334</v>
      </c>
      <c r="I1213" s="3" t="s">
        <v>95</v>
      </c>
      <c r="J1213" s="3" t="s">
        <v>62</v>
      </c>
      <c r="K1213" s="5">
        <v>13</v>
      </c>
      <c r="L1213" s="5">
        <v>37</v>
      </c>
      <c r="M1213" s="3" t="s">
        <v>63</v>
      </c>
      <c r="N1213" t="s">
        <v>100</v>
      </c>
      <c r="P1213" s="3" t="s">
        <v>80</v>
      </c>
      <c r="R1213" s="3" t="s">
        <v>58</v>
      </c>
      <c r="S1213">
        <f>COUNTIF(A:A,A1213)</f>
        <v>1</v>
      </c>
      <c r="T1213" t="str">
        <f>IF(OR(H1213="",LOWER(TRIM(H1213&amp;""))="missing",LOWER(TRIM(H1213&amp;""))=""),"Missing/",IFERROR(IF(OR(VALUE(H1213)&lt;0,VALUE(H1213)&gt;110),"Invalid","Valid"),"Check Format"))</f>
        <v>Missing/</v>
      </c>
      <c r="U1213" t="str">
        <f>IF(Raw_Data[[#This Row],[Age_Check]]="Valid",H1213,"")</f>
        <v/>
      </c>
      <c r="V1213" t="str">
        <f>IF(OR(K1213="",UPPER(TRIM(K1213&amp;""))="",LOWER(TRIM(K1213&amp;""))="",LOWER(TRIM(K1213&amp;""))="",LOWER(TRIM(K1213&amp;""))="missing"),"Missing/",IFERROR(IF(VALUE(K1213)&lt;0,"Invalid","Valid"),"Check Format"))</f>
        <v>Valid</v>
      </c>
      <c r="W1213" t="str">
        <f>IF(OR(E1213="",F1213=""),"Missing Date/Time",IFERROR(IF(F1213&gt;E1213,"Arrival After Appointment","OK"),"Check Format"))</f>
        <v>OK</v>
      </c>
      <c r="X1213" t="str">
        <f>IF(OR(F1213="",G1213=""),"Missing Date/Time",IFERROR(IF(G1213&lt;F1213,"Discharge Before Arrival","OK"),"Check Format"))</f>
        <v>Missing Date/Time</v>
      </c>
    </row>
    <row r="1214" spans="1:24" x14ac:dyDescent="0.25">
      <c r="A1214" s="2" t="s">
        <v>1881</v>
      </c>
      <c r="B1214" s="2" t="s">
        <v>735</v>
      </c>
      <c r="C1214" s="3" t="s">
        <v>46</v>
      </c>
      <c r="D1214" s="3" t="s">
        <v>20</v>
      </c>
      <c r="E1214" s="4">
        <v>45941.736111111109</v>
      </c>
      <c r="F1214" s="4">
        <v>45941.724305555559</v>
      </c>
      <c r="G1214" s="4">
        <v>45941.769444444442</v>
      </c>
      <c r="I1214" s="3" t="s">
        <v>95</v>
      </c>
      <c r="J1214" s="3" t="s">
        <v>150</v>
      </c>
      <c r="K1214" s="5">
        <v>28</v>
      </c>
      <c r="L1214" s="5">
        <v>20</v>
      </c>
      <c r="M1214" s="3" t="s">
        <v>87</v>
      </c>
      <c r="N1214" t="s">
        <v>74</v>
      </c>
      <c r="O1214" s="5">
        <v>3</v>
      </c>
      <c r="P1214" s="3" t="s">
        <v>25</v>
      </c>
      <c r="Q1214" s="2">
        <v>79.77</v>
      </c>
      <c r="R1214" s="3" t="s">
        <v>26</v>
      </c>
      <c r="S1214">
        <f>COUNTIF(A:A,A1214)</f>
        <v>1</v>
      </c>
      <c r="T1214" t="str">
        <f>IF(OR(H1214="",LOWER(TRIM(H1214&amp;""))="missing",LOWER(TRIM(H1214&amp;""))=""),"Missing/",IFERROR(IF(OR(VALUE(H1214)&lt;0,VALUE(H1214)&gt;110),"Invalid","Valid"),"Check Format"))</f>
        <v>Missing/</v>
      </c>
      <c r="U1214" t="str">
        <f>IF(Raw_Data[[#This Row],[Age_Check]]="Valid",H1214,"")</f>
        <v/>
      </c>
      <c r="V1214" t="str">
        <f>IF(OR(K1214="",UPPER(TRIM(K1214&amp;""))="",LOWER(TRIM(K1214&amp;""))="",LOWER(TRIM(K1214&amp;""))="",LOWER(TRIM(K1214&amp;""))="missing"),"Missing/",IFERROR(IF(VALUE(K1214)&lt;0,"Invalid","Valid"),"Check Format"))</f>
        <v>Valid</v>
      </c>
      <c r="W1214" t="str">
        <f>IF(OR(E1214="",F1214=""),"Missing Date/Time",IFERROR(IF(F1214&gt;E1214,"Arrival After Appointment","OK"),"Check Format"))</f>
        <v>OK</v>
      </c>
      <c r="X1214" t="str">
        <f>IF(OR(F1214="",G1214=""),"Missing Date/Time",IFERROR(IF(G1214&lt;F1214,"Discharge Before Arrival","OK"),"Check Format"))</f>
        <v>OK</v>
      </c>
    </row>
    <row r="1215" spans="1:24" x14ac:dyDescent="0.25">
      <c r="A1215" s="2" t="s">
        <v>1882</v>
      </c>
      <c r="B1215" s="2" t="s">
        <v>590</v>
      </c>
      <c r="C1215" s="3" t="s">
        <v>37</v>
      </c>
      <c r="D1215" s="3" t="s">
        <v>38</v>
      </c>
      <c r="E1215" s="4">
        <v>45530.368055555555</v>
      </c>
      <c r="F1215" s="4">
        <v>45530.355555555558</v>
      </c>
      <c r="G1215" s="4">
        <v>45530.430555555555</v>
      </c>
      <c r="I1215" s="3" t="s">
        <v>73</v>
      </c>
      <c r="J1215" s="3" t="s">
        <v>62</v>
      </c>
      <c r="K1215" s="5">
        <v>20</v>
      </c>
      <c r="L1215" s="5">
        <v>70</v>
      </c>
      <c r="M1215" s="3" t="s">
        <v>41</v>
      </c>
      <c r="N1215" t="s">
        <v>24</v>
      </c>
      <c r="O1215" s="5">
        <v>3</v>
      </c>
      <c r="R1215" s="3" t="s">
        <v>26</v>
      </c>
      <c r="S1215">
        <f>COUNTIF(A:A,A1215)</f>
        <v>1</v>
      </c>
      <c r="T1215" t="str">
        <f>IF(OR(H1215="",LOWER(TRIM(H1215&amp;""))="missing",LOWER(TRIM(H1215&amp;""))=""),"Missing/",IFERROR(IF(OR(VALUE(H1215)&lt;0,VALUE(H1215)&gt;110),"Invalid","Valid"),"Check Format"))</f>
        <v>Missing/</v>
      </c>
      <c r="U1215" t="str">
        <f>IF(Raw_Data[[#This Row],[Age_Check]]="Valid",H1215,"")</f>
        <v/>
      </c>
      <c r="V1215" t="str">
        <f>IF(OR(K1215="",UPPER(TRIM(K1215&amp;""))="",LOWER(TRIM(K1215&amp;""))="",LOWER(TRIM(K1215&amp;""))="",LOWER(TRIM(K1215&amp;""))="missing"),"Missing/",IFERROR(IF(VALUE(K1215)&lt;0,"Invalid","Valid"),"Check Format"))</f>
        <v>Valid</v>
      </c>
      <c r="W1215" t="str">
        <f>IF(OR(E1215="",F1215=""),"Missing Date/Time",IFERROR(IF(F1215&gt;E1215,"Arrival After Appointment","OK"),"Check Format"))</f>
        <v>OK</v>
      </c>
      <c r="X1215" t="str">
        <f>IF(OR(F1215="",G1215=""),"Missing Date/Time",IFERROR(IF(G1215&lt;F1215,"Discharge Before Arrival","OK"),"Check Format"))</f>
        <v>OK</v>
      </c>
    </row>
    <row r="1216" spans="1:24" x14ac:dyDescent="0.25">
      <c r="A1216" s="2" t="s">
        <v>1883</v>
      </c>
      <c r="B1216" s="2" t="s">
        <v>186</v>
      </c>
      <c r="C1216" s="3" t="s">
        <v>29</v>
      </c>
      <c r="D1216" s="3" t="s">
        <v>106</v>
      </c>
      <c r="E1216" s="4">
        <v>45602.774305555555</v>
      </c>
      <c r="F1216" s="4">
        <v>45602.755555555559</v>
      </c>
      <c r="G1216" s="4">
        <v>45602.892361111109</v>
      </c>
      <c r="I1216" s="3" t="s">
        <v>95</v>
      </c>
      <c r="J1216" s="3" t="s">
        <v>2639</v>
      </c>
      <c r="K1216" s="5">
        <v>104</v>
      </c>
      <c r="L1216" s="5">
        <v>66</v>
      </c>
      <c r="M1216" s="3" t="s">
        <v>32</v>
      </c>
      <c r="O1216" s="5">
        <v>6</v>
      </c>
      <c r="P1216" s="3" t="s">
        <v>42</v>
      </c>
      <c r="Q1216" s="2">
        <v>47.17</v>
      </c>
      <c r="R1216" s="3" t="s">
        <v>58</v>
      </c>
      <c r="S1216">
        <f>COUNTIF(A:A,A1216)</f>
        <v>1</v>
      </c>
      <c r="T1216" t="str">
        <f>IF(OR(H1216="",LOWER(TRIM(H1216&amp;""))="missing",LOWER(TRIM(H1216&amp;""))=""),"Missing/",IFERROR(IF(OR(VALUE(H1216)&lt;0,VALUE(H1216)&gt;110),"Invalid","Valid"),"Check Format"))</f>
        <v>Missing/</v>
      </c>
      <c r="U1216" t="str">
        <f>IF(Raw_Data[[#This Row],[Age_Check]]="Valid",H1216,"")</f>
        <v/>
      </c>
      <c r="V1216" t="str">
        <f>IF(OR(K1216="",UPPER(TRIM(K1216&amp;""))="",LOWER(TRIM(K1216&amp;""))="",LOWER(TRIM(K1216&amp;""))="",LOWER(TRIM(K1216&amp;""))="missing"),"Missing/",IFERROR(IF(VALUE(K1216)&lt;0,"Invalid","Valid"),"Check Format"))</f>
        <v>Valid</v>
      </c>
      <c r="W1216" t="str">
        <f>IF(OR(E1216="",F1216=""),"Missing Date/Time",IFERROR(IF(F1216&gt;E1216,"Arrival After Appointment","OK"),"Check Format"))</f>
        <v>OK</v>
      </c>
      <c r="X1216" t="str">
        <f>IF(OR(F1216="",G1216=""),"Missing Date/Time",IFERROR(IF(G1216&lt;F1216,"Discharge Before Arrival","OK"),"Check Format"))</f>
        <v>OK</v>
      </c>
    </row>
    <row r="1217" spans="1:24" x14ac:dyDescent="0.25">
      <c r="A1217" s="2" t="s">
        <v>1884</v>
      </c>
      <c r="B1217" s="2" t="s">
        <v>941</v>
      </c>
      <c r="C1217" s="3" t="s">
        <v>29</v>
      </c>
      <c r="D1217" s="3" t="s">
        <v>61</v>
      </c>
      <c r="E1217" s="4">
        <v>45787.690972222219</v>
      </c>
      <c r="F1217" s="4">
        <v>45787.681250000001</v>
      </c>
      <c r="G1217" s="4">
        <v>45787.738194444442</v>
      </c>
      <c r="H1217" s="5">
        <v>58</v>
      </c>
      <c r="I1217" s="3" t="s">
        <v>95</v>
      </c>
      <c r="J1217" s="3" t="s">
        <v>67</v>
      </c>
      <c r="K1217" s="5">
        <v>60</v>
      </c>
      <c r="L1217" s="5">
        <v>8</v>
      </c>
      <c r="O1217" s="5">
        <v>6</v>
      </c>
      <c r="P1217" s="3" t="s">
        <v>25</v>
      </c>
      <c r="Q1217" s="2">
        <v>89.34</v>
      </c>
      <c r="R1217" s="3" t="s">
        <v>58</v>
      </c>
      <c r="S1217">
        <f>COUNTIF(A:A,A1217)</f>
        <v>1</v>
      </c>
      <c r="T1217" t="str">
        <f>IF(OR(H1217="",LOWER(TRIM(H1217&amp;""))="missing",LOWER(TRIM(H1217&amp;""))=""),"Missing/",IFERROR(IF(OR(VALUE(H1217)&lt;0,VALUE(H1217)&gt;110),"Invalid","Valid"),"Check Format"))</f>
        <v>Valid</v>
      </c>
      <c r="U1217">
        <f>IF(Raw_Data[[#This Row],[Age_Check]]="Valid",H1217,"")</f>
        <v>58</v>
      </c>
      <c r="V1217" t="str">
        <f>IF(OR(K1217="",UPPER(TRIM(K1217&amp;""))="",LOWER(TRIM(K1217&amp;""))="",LOWER(TRIM(K1217&amp;""))="",LOWER(TRIM(K1217&amp;""))="missing"),"Missing/",IFERROR(IF(VALUE(K1217)&lt;0,"Invalid","Valid"),"Check Format"))</f>
        <v>Valid</v>
      </c>
      <c r="W1217" t="str">
        <f>IF(OR(E1217="",F1217=""),"Missing Date/Time",IFERROR(IF(F1217&gt;E1217,"Arrival After Appointment","OK"),"Check Format"))</f>
        <v>OK</v>
      </c>
      <c r="X1217" t="str">
        <f>IF(OR(F1217="",G1217=""),"Missing Date/Time",IFERROR(IF(G1217&lt;F1217,"Discharge Before Arrival","OK"),"Check Format"))</f>
        <v>OK</v>
      </c>
    </row>
    <row r="1218" spans="1:24" x14ac:dyDescent="0.25">
      <c r="A1218" s="2" t="s">
        <v>1885</v>
      </c>
      <c r="B1218" s="2" t="s">
        <v>339</v>
      </c>
      <c r="C1218" s="3" t="s">
        <v>46</v>
      </c>
      <c r="D1218" s="3" t="s">
        <v>106</v>
      </c>
      <c r="E1218" s="4" t="s">
        <v>1886</v>
      </c>
      <c r="F1218" s="4">
        <v>45556.720833333333</v>
      </c>
      <c r="G1218" s="4">
        <v>45556.78402777778</v>
      </c>
      <c r="H1218" s="5">
        <v>76</v>
      </c>
      <c r="I1218" s="3" t="s">
        <v>95</v>
      </c>
      <c r="K1218" s="5">
        <v>25</v>
      </c>
      <c r="L1218" s="5">
        <v>54</v>
      </c>
      <c r="M1218" s="3" t="s">
        <v>23</v>
      </c>
      <c r="N1218" t="s">
        <v>24</v>
      </c>
      <c r="O1218" s="5">
        <v>0</v>
      </c>
      <c r="Q1218" s="2">
        <v>113.3</v>
      </c>
      <c r="R1218" s="3" t="s">
        <v>58</v>
      </c>
      <c r="S1218">
        <f>COUNTIF(A:A,A1218)</f>
        <v>1</v>
      </c>
      <c r="T1218" t="str">
        <f>IF(OR(H1218="",LOWER(TRIM(H1218&amp;""))="missing",LOWER(TRIM(H1218&amp;""))=""),"Missing/",IFERROR(IF(OR(VALUE(H1218)&lt;0,VALUE(H1218)&gt;110),"Invalid","Valid"),"Check Format"))</f>
        <v>Valid</v>
      </c>
      <c r="U1218">
        <f>IF(Raw_Data[[#This Row],[Age_Check]]="Valid",H1218,"")</f>
        <v>76</v>
      </c>
      <c r="V1218" t="str">
        <f>IF(OR(K1218="",UPPER(TRIM(K1218&amp;""))="",LOWER(TRIM(K1218&amp;""))="",LOWER(TRIM(K1218&amp;""))="",LOWER(TRIM(K1218&amp;""))="missing"),"Missing/",IFERROR(IF(VALUE(K1218)&lt;0,"Invalid","Valid"),"Check Format"))</f>
        <v>Valid</v>
      </c>
      <c r="W1218" t="str">
        <f>IF(OR(E1218="",F1218=""),"Missing Date/Time",IFERROR(IF(F1218&gt;E1218,"Arrival After Appointment","OK"),"Check Format"))</f>
        <v>OK</v>
      </c>
      <c r="X1218" t="str">
        <f>IF(OR(F1218="",G1218=""),"Missing Date/Time",IFERROR(IF(G1218&lt;F1218,"Discharge Before Arrival","OK"),"Check Format"))</f>
        <v>OK</v>
      </c>
    </row>
    <row r="1219" spans="1:24" x14ac:dyDescent="0.25">
      <c r="A1219" s="2" t="s">
        <v>1887</v>
      </c>
      <c r="B1219" s="2" t="s">
        <v>369</v>
      </c>
      <c r="C1219" s="3" t="s">
        <v>94</v>
      </c>
      <c r="D1219" s="3" t="s">
        <v>174</v>
      </c>
      <c r="E1219" s="4">
        <v>45759.614583333336</v>
      </c>
      <c r="F1219" s="4">
        <v>45759.609722222223</v>
      </c>
      <c r="G1219" s="4">
        <v>45759.709722222222</v>
      </c>
      <c r="I1219" s="3" t="s">
        <v>73</v>
      </c>
      <c r="J1219" s="3" t="s">
        <v>150</v>
      </c>
      <c r="K1219" s="5">
        <v>95</v>
      </c>
      <c r="L1219" s="5">
        <v>42</v>
      </c>
      <c r="M1219" s="3" t="s">
        <v>23</v>
      </c>
      <c r="N1219" t="s">
        <v>100</v>
      </c>
      <c r="O1219" s="5">
        <v>4</v>
      </c>
      <c r="P1219" s="3" t="s">
        <v>25</v>
      </c>
      <c r="Q1219" s="2">
        <v>329.29</v>
      </c>
      <c r="R1219" s="3" t="s">
        <v>26</v>
      </c>
      <c r="S1219">
        <f>COUNTIF(A:A,A1219)</f>
        <v>1</v>
      </c>
      <c r="T1219" t="str">
        <f>IF(OR(H1219="",LOWER(TRIM(H1219&amp;""))="missing",LOWER(TRIM(H1219&amp;""))=""),"Missing/",IFERROR(IF(OR(VALUE(H1219)&lt;0,VALUE(H1219)&gt;110),"Invalid","Valid"),"Check Format"))</f>
        <v>Missing/</v>
      </c>
      <c r="U1219" t="str">
        <f>IF(Raw_Data[[#This Row],[Age_Check]]="Valid",H1219,"")</f>
        <v/>
      </c>
      <c r="V1219" t="str">
        <f>IF(OR(K1219="",UPPER(TRIM(K1219&amp;""))="",LOWER(TRIM(K1219&amp;""))="",LOWER(TRIM(K1219&amp;""))="",LOWER(TRIM(K1219&amp;""))="missing"),"Missing/",IFERROR(IF(VALUE(K1219)&lt;0,"Invalid","Valid"),"Check Format"))</f>
        <v>Valid</v>
      </c>
      <c r="W1219" t="str">
        <f>IF(OR(E1219="",F1219=""),"Missing Date/Time",IFERROR(IF(F1219&gt;E1219,"Arrival After Appointment","OK"),"Check Format"))</f>
        <v>OK</v>
      </c>
      <c r="X1219" t="str">
        <f>IF(OR(F1219="",G1219=""),"Missing Date/Time",IFERROR(IF(G1219&lt;F1219,"Discharge Before Arrival","OK"),"Check Format"))</f>
        <v>OK</v>
      </c>
    </row>
    <row r="1220" spans="1:24" x14ac:dyDescent="0.25">
      <c r="A1220" s="2" t="s">
        <v>1888</v>
      </c>
      <c r="B1220" s="2" t="s">
        <v>138</v>
      </c>
      <c r="C1220" s="3" t="s">
        <v>37</v>
      </c>
      <c r="D1220" s="3" t="s">
        <v>61</v>
      </c>
      <c r="E1220" s="4">
        <v>45325.569444444445</v>
      </c>
      <c r="F1220" s="4">
        <v>45325.552777777775</v>
      </c>
      <c r="G1220" s="4">
        <v>45325.611111111109</v>
      </c>
      <c r="H1220" s="5">
        <v>145</v>
      </c>
      <c r="J1220" s="3" t="s">
        <v>171</v>
      </c>
      <c r="K1220" s="5">
        <v>6</v>
      </c>
      <c r="L1220" s="5">
        <v>54</v>
      </c>
      <c r="M1220" s="3" t="s">
        <v>50</v>
      </c>
      <c r="N1220" t="s">
        <v>103</v>
      </c>
      <c r="O1220" s="5">
        <v>3</v>
      </c>
      <c r="Q1220" s="2">
        <v>236.72</v>
      </c>
      <c r="R1220" s="3" t="s">
        <v>58</v>
      </c>
      <c r="S1220">
        <f>COUNTIF(A:A,A1220)</f>
        <v>1</v>
      </c>
      <c r="T1220" t="str">
        <f>IF(OR(H1220="",LOWER(TRIM(H1220&amp;""))="missing",LOWER(TRIM(H1220&amp;""))=""),"Missing/",IFERROR(IF(OR(VALUE(H1220)&lt;0,VALUE(H1220)&gt;110),"Invalid","Valid"),"Check Format"))</f>
        <v>Invalid</v>
      </c>
      <c r="U1220" t="str">
        <f>IF(Raw_Data[[#This Row],[Age_Check]]="Valid",H1220,"")</f>
        <v/>
      </c>
      <c r="V1220" t="str">
        <f>IF(OR(K1220="",UPPER(TRIM(K1220&amp;""))="",LOWER(TRIM(K1220&amp;""))="",LOWER(TRIM(K1220&amp;""))="",LOWER(TRIM(K1220&amp;""))="missing"),"Missing/",IFERROR(IF(VALUE(K1220)&lt;0,"Invalid","Valid"),"Check Format"))</f>
        <v>Valid</v>
      </c>
      <c r="W1220" t="str">
        <f>IF(OR(E1220="",F1220=""),"Missing Date/Time",IFERROR(IF(F1220&gt;E1220,"Arrival After Appointment","OK"),"Check Format"))</f>
        <v>OK</v>
      </c>
      <c r="X1220" t="str">
        <f>IF(OR(F1220="",G1220=""),"Missing Date/Time",IFERROR(IF(G1220&lt;F1220,"Discharge Before Arrival","OK"),"Check Format"))</f>
        <v>OK</v>
      </c>
    </row>
    <row r="1221" spans="1:24" x14ac:dyDescent="0.25">
      <c r="A1221" s="2" t="s">
        <v>1889</v>
      </c>
      <c r="B1221" s="2" t="s">
        <v>1252</v>
      </c>
      <c r="C1221" s="3" t="s">
        <v>37</v>
      </c>
      <c r="D1221" s="3" t="s">
        <v>72</v>
      </c>
      <c r="E1221" s="4" t="s">
        <v>1890</v>
      </c>
      <c r="F1221" s="4">
        <v>45556.748611111114</v>
      </c>
      <c r="G1221" s="4">
        <v>45556.811111111114</v>
      </c>
      <c r="H1221" s="5">
        <v>145</v>
      </c>
      <c r="I1221" s="3" t="s">
        <v>90</v>
      </c>
      <c r="J1221" s="3" t="s">
        <v>67</v>
      </c>
      <c r="K1221" s="5">
        <v>23</v>
      </c>
      <c r="L1221" s="5">
        <v>50</v>
      </c>
      <c r="M1221" s="3" t="s">
        <v>23</v>
      </c>
      <c r="N1221" t="s">
        <v>69</v>
      </c>
      <c r="O1221" s="5">
        <v>3</v>
      </c>
      <c r="P1221" s="3" t="s">
        <v>80</v>
      </c>
      <c r="Q1221" s="2">
        <v>171.89</v>
      </c>
      <c r="R1221" s="3" t="s">
        <v>58</v>
      </c>
      <c r="S1221">
        <f>COUNTIF(A:A,A1221)</f>
        <v>1</v>
      </c>
      <c r="T1221" t="str">
        <f>IF(OR(H1221="",LOWER(TRIM(H1221&amp;""))="missing",LOWER(TRIM(H1221&amp;""))=""),"Missing/",IFERROR(IF(OR(VALUE(H1221)&lt;0,VALUE(H1221)&gt;110),"Invalid","Valid"),"Check Format"))</f>
        <v>Invalid</v>
      </c>
      <c r="U1221" t="str">
        <f>IF(Raw_Data[[#This Row],[Age_Check]]="Valid",H1221,"")</f>
        <v/>
      </c>
      <c r="V1221" t="str">
        <f>IF(OR(K1221="",UPPER(TRIM(K1221&amp;""))="",LOWER(TRIM(K1221&amp;""))="",LOWER(TRIM(K1221&amp;""))="",LOWER(TRIM(K1221&amp;""))="missing"),"Missing/",IFERROR(IF(VALUE(K1221)&lt;0,"Invalid","Valid"),"Check Format"))</f>
        <v>Valid</v>
      </c>
      <c r="W1221" t="str">
        <f>IF(OR(E1221="",F1221=""),"Missing Date/Time",IFERROR(IF(F1221&gt;E1221,"Arrival After Appointment","OK"),"Check Format"))</f>
        <v>OK</v>
      </c>
      <c r="X1221" t="str">
        <f>IF(OR(F1221="",G1221=""),"Missing Date/Time",IFERROR(IF(G1221&lt;F1221,"Discharge Before Arrival","OK"),"Check Format"))</f>
        <v>OK</v>
      </c>
    </row>
    <row r="1222" spans="1:24" x14ac:dyDescent="0.25">
      <c r="A1222" s="2" t="s">
        <v>1891</v>
      </c>
      <c r="B1222" s="2" t="s">
        <v>1135</v>
      </c>
      <c r="C1222" s="3" t="s">
        <v>19</v>
      </c>
      <c r="D1222" s="3" t="s">
        <v>61</v>
      </c>
      <c r="E1222" s="4">
        <v>45551.652777777781</v>
      </c>
      <c r="F1222" s="4">
        <v>45551.640277777777</v>
      </c>
      <c r="G1222" s="4">
        <v>45551.699305555558</v>
      </c>
      <c r="I1222" s="3" t="s">
        <v>95</v>
      </c>
      <c r="J1222" s="3" t="s">
        <v>150</v>
      </c>
      <c r="K1222" s="5">
        <v>50</v>
      </c>
      <c r="L1222" s="5">
        <v>17</v>
      </c>
      <c r="M1222" s="3" t="s">
        <v>41</v>
      </c>
      <c r="N1222" t="s">
        <v>91</v>
      </c>
      <c r="O1222" s="5">
        <v>6</v>
      </c>
      <c r="R1222" s="3" t="s">
        <v>43</v>
      </c>
      <c r="S1222">
        <f>COUNTIF(A:A,A1222)</f>
        <v>1</v>
      </c>
      <c r="T1222" t="str">
        <f>IF(OR(H1222="",LOWER(TRIM(H1222&amp;""))="missing",LOWER(TRIM(H1222&amp;""))=""),"Missing/",IFERROR(IF(OR(VALUE(H1222)&lt;0,VALUE(H1222)&gt;110),"Invalid","Valid"),"Check Format"))</f>
        <v>Missing/</v>
      </c>
      <c r="U1222" t="str">
        <f>IF(Raw_Data[[#This Row],[Age_Check]]="Valid",H1222,"")</f>
        <v/>
      </c>
      <c r="V1222" t="str">
        <f>IF(OR(K1222="",UPPER(TRIM(K1222&amp;""))="",LOWER(TRIM(K1222&amp;""))="",LOWER(TRIM(K1222&amp;""))="",LOWER(TRIM(K1222&amp;""))="missing"),"Missing/",IFERROR(IF(VALUE(K1222)&lt;0,"Invalid","Valid"),"Check Format"))</f>
        <v>Valid</v>
      </c>
      <c r="W1222" t="str">
        <f>IF(OR(E1222="",F1222=""),"Missing Date/Time",IFERROR(IF(F1222&gt;E1222,"Arrival After Appointment","OK"),"Check Format"))</f>
        <v>OK</v>
      </c>
      <c r="X1222" t="str">
        <f>IF(OR(F1222="",G1222=""),"Missing Date/Time",IFERROR(IF(G1222&lt;F1222,"Discharge Before Arrival","OK"),"Check Format"))</f>
        <v>OK</v>
      </c>
    </row>
    <row r="1223" spans="1:24" x14ac:dyDescent="0.25">
      <c r="A1223" s="2" t="s">
        <v>1892</v>
      </c>
      <c r="B1223" s="2" t="s">
        <v>256</v>
      </c>
      <c r="D1223" s="3" t="s">
        <v>174</v>
      </c>
      <c r="E1223" s="4">
        <v>45427.517361111109</v>
      </c>
      <c r="F1223" s="4">
        <v>45427.517361111109</v>
      </c>
      <c r="G1223" s="4">
        <v>45427.586805555555</v>
      </c>
      <c r="J1223" s="3" t="s">
        <v>67</v>
      </c>
      <c r="K1223" s="5">
        <v>32</v>
      </c>
      <c r="L1223" s="5">
        <v>68</v>
      </c>
      <c r="M1223" s="3" t="s">
        <v>68</v>
      </c>
      <c r="N1223" t="s">
        <v>69</v>
      </c>
      <c r="O1223" s="5">
        <v>1</v>
      </c>
      <c r="P1223" s="3" t="s">
        <v>80</v>
      </c>
      <c r="R1223" s="3" t="s">
        <v>58</v>
      </c>
      <c r="S1223">
        <f>COUNTIF(A:A,A1223)</f>
        <v>1</v>
      </c>
      <c r="T1223" t="str">
        <f>IF(OR(H1223="",LOWER(TRIM(H1223&amp;""))="missing",LOWER(TRIM(H1223&amp;""))=""),"Missing/",IFERROR(IF(OR(VALUE(H1223)&lt;0,VALUE(H1223)&gt;110),"Invalid","Valid"),"Check Format"))</f>
        <v>Missing/</v>
      </c>
      <c r="U1223" t="str">
        <f>IF(Raw_Data[[#This Row],[Age_Check]]="Valid",H1223,"")</f>
        <v/>
      </c>
      <c r="V1223" t="str">
        <f>IF(OR(K1223="",UPPER(TRIM(K1223&amp;""))="",LOWER(TRIM(K1223&amp;""))="",LOWER(TRIM(K1223&amp;""))="",LOWER(TRIM(K1223&amp;""))="missing"),"Missing/",IFERROR(IF(VALUE(K1223)&lt;0,"Invalid","Valid"),"Check Format"))</f>
        <v>Valid</v>
      </c>
      <c r="W1223" t="str">
        <f>IF(OR(E1223="",F1223=""),"Missing Date/Time",IFERROR(IF(F1223&gt;E1223,"Arrival After Appointment","OK"),"Check Format"))</f>
        <v>OK</v>
      </c>
      <c r="X1223" t="str">
        <f>IF(OR(F1223="",G1223=""),"Missing Date/Time",IFERROR(IF(G1223&lt;F1223,"Discharge Before Arrival","OK"),"Check Format"))</f>
        <v>OK</v>
      </c>
    </row>
    <row r="1224" spans="1:24" x14ac:dyDescent="0.25">
      <c r="A1224" s="2" t="s">
        <v>1893</v>
      </c>
      <c r="B1224" s="2" t="s">
        <v>1657</v>
      </c>
      <c r="D1224" s="3" t="s">
        <v>115</v>
      </c>
      <c r="E1224" s="4">
        <v>45702.552083333336</v>
      </c>
      <c r="F1224" s="4">
        <v>45702.532638888886</v>
      </c>
      <c r="G1224" s="4">
        <v>45702.624305555553</v>
      </c>
      <c r="H1224" s="5">
        <v>25</v>
      </c>
      <c r="I1224" s="3" t="s">
        <v>90</v>
      </c>
      <c r="J1224" s="3" t="s">
        <v>171</v>
      </c>
      <c r="K1224" s="5">
        <v>58</v>
      </c>
      <c r="L1224" s="5">
        <v>46</v>
      </c>
      <c r="M1224" s="3" t="s">
        <v>68</v>
      </c>
      <c r="N1224" t="s">
        <v>103</v>
      </c>
      <c r="O1224" s="5">
        <v>0</v>
      </c>
      <c r="P1224" s="3" t="s">
        <v>80</v>
      </c>
      <c r="Q1224" s="2">
        <v>81.73</v>
      </c>
      <c r="R1224" s="3" t="s">
        <v>58</v>
      </c>
      <c r="S1224">
        <f>COUNTIF(A:A,A1224)</f>
        <v>1</v>
      </c>
      <c r="T1224" t="str">
        <f>IF(OR(H1224="",LOWER(TRIM(H1224&amp;""))="missing",LOWER(TRIM(H1224&amp;""))=""),"Missing/",IFERROR(IF(OR(VALUE(H1224)&lt;0,VALUE(H1224)&gt;110),"Invalid","Valid"),"Check Format"))</f>
        <v>Valid</v>
      </c>
      <c r="U1224">
        <f>IF(Raw_Data[[#This Row],[Age_Check]]="Valid",H1224,"")</f>
        <v>25</v>
      </c>
      <c r="V1224" t="str">
        <f>IF(OR(K1224="",UPPER(TRIM(K1224&amp;""))="",LOWER(TRIM(K1224&amp;""))="",LOWER(TRIM(K1224&amp;""))="",LOWER(TRIM(K1224&amp;""))="missing"),"Missing/",IFERROR(IF(VALUE(K1224)&lt;0,"Invalid","Valid"),"Check Format"))</f>
        <v>Valid</v>
      </c>
      <c r="W1224" t="str">
        <f>IF(OR(E1224="",F1224=""),"Missing Date/Time",IFERROR(IF(F1224&gt;E1224,"Arrival After Appointment","OK"),"Check Format"))</f>
        <v>OK</v>
      </c>
      <c r="X1224" t="str">
        <f>IF(OR(F1224="",G1224=""),"Missing Date/Time",IFERROR(IF(G1224&lt;F1224,"Discharge Before Arrival","OK"),"Check Format"))</f>
        <v>OK</v>
      </c>
    </row>
    <row r="1225" spans="1:24" x14ac:dyDescent="0.25">
      <c r="A1225" s="2" t="s">
        <v>1894</v>
      </c>
      <c r="B1225" s="2" t="s">
        <v>1347</v>
      </c>
      <c r="C1225" s="3" t="s">
        <v>46</v>
      </c>
      <c r="D1225" s="3" t="s">
        <v>20</v>
      </c>
      <c r="F1225" s="4">
        <v>45599.354166666664</v>
      </c>
      <c r="G1225" s="4">
        <v>45599.410416666666</v>
      </c>
      <c r="H1225" s="5">
        <v>5</v>
      </c>
      <c r="J1225" s="3" t="s">
        <v>67</v>
      </c>
      <c r="K1225" s="5">
        <v>30</v>
      </c>
      <c r="L1225" s="5">
        <v>51</v>
      </c>
      <c r="M1225" s="3" t="s">
        <v>32</v>
      </c>
      <c r="N1225" t="s">
        <v>103</v>
      </c>
      <c r="O1225" s="5">
        <v>1</v>
      </c>
      <c r="P1225" s="3" t="s">
        <v>25</v>
      </c>
      <c r="Q1225" s="2">
        <v>37.03</v>
      </c>
      <c r="R1225" s="3" t="s">
        <v>43</v>
      </c>
      <c r="S1225">
        <f>COUNTIF(A:A,A1225)</f>
        <v>1</v>
      </c>
      <c r="T1225" t="str">
        <f>IF(OR(H1225="",LOWER(TRIM(H1225&amp;""))="missing",LOWER(TRIM(H1225&amp;""))=""),"Missing/",IFERROR(IF(OR(VALUE(H1225)&lt;0,VALUE(H1225)&gt;110),"Invalid","Valid"),"Check Format"))</f>
        <v>Valid</v>
      </c>
      <c r="U1225">
        <f>IF(Raw_Data[[#This Row],[Age_Check]]="Valid",H1225,"")</f>
        <v>5</v>
      </c>
      <c r="V1225" t="str">
        <f>IF(OR(K1225="",UPPER(TRIM(K1225&amp;""))="",LOWER(TRIM(K1225&amp;""))="",LOWER(TRIM(K1225&amp;""))="",LOWER(TRIM(K1225&amp;""))="missing"),"Missing/",IFERROR(IF(VALUE(K1225)&lt;0,"Invalid","Valid"),"Check Format"))</f>
        <v>Valid</v>
      </c>
      <c r="W1225" t="str">
        <f>IF(OR(E1225="",F1225=""),"Missing Date/Time",IFERROR(IF(F1225&gt;E1225,"Arrival After Appointment","OK"),"Check Format"))</f>
        <v>Missing Date/Time</v>
      </c>
      <c r="X1225" t="str">
        <f>IF(OR(F1225="",G1225=""),"Missing Date/Time",IFERROR(IF(G1225&lt;F1225,"Discharge Before Arrival","OK"),"Check Format"))</f>
        <v>OK</v>
      </c>
    </row>
    <row r="1226" spans="1:24" x14ac:dyDescent="0.25">
      <c r="A1226" s="2" t="s">
        <v>1895</v>
      </c>
      <c r="B1226" s="2" t="s">
        <v>1896</v>
      </c>
      <c r="D1226" s="3" t="s">
        <v>61</v>
      </c>
      <c r="E1226" s="4">
        <v>45792.513888888891</v>
      </c>
      <c r="F1226" s="4">
        <v>45792.499305555553</v>
      </c>
      <c r="G1226" s="4">
        <v>45792.565972222219</v>
      </c>
      <c r="I1226" s="3" t="s">
        <v>95</v>
      </c>
      <c r="J1226" s="3" t="s">
        <v>150</v>
      </c>
      <c r="K1226" s="5">
        <v>43</v>
      </c>
      <c r="L1226" s="5">
        <v>32</v>
      </c>
      <c r="N1226" t="s">
        <v>69</v>
      </c>
      <c r="P1226" s="3" t="s">
        <v>42</v>
      </c>
      <c r="R1226" s="3" t="s">
        <v>58</v>
      </c>
      <c r="S1226">
        <f>COUNTIF(A:A,A1226)</f>
        <v>1</v>
      </c>
      <c r="T1226" t="str">
        <f>IF(OR(H1226="",LOWER(TRIM(H1226&amp;""))="missing",LOWER(TRIM(H1226&amp;""))=""),"Missing/",IFERROR(IF(OR(VALUE(H1226)&lt;0,VALUE(H1226)&gt;110),"Invalid","Valid"),"Check Format"))</f>
        <v>Missing/</v>
      </c>
      <c r="U1226" t="str">
        <f>IF(Raw_Data[[#This Row],[Age_Check]]="Valid",H1226,"")</f>
        <v/>
      </c>
      <c r="V1226" t="str">
        <f>IF(OR(K1226="",UPPER(TRIM(K1226&amp;""))="",LOWER(TRIM(K1226&amp;""))="",LOWER(TRIM(K1226&amp;""))="",LOWER(TRIM(K1226&amp;""))="missing"),"Missing/",IFERROR(IF(VALUE(K1226)&lt;0,"Invalid","Valid"),"Check Format"))</f>
        <v>Valid</v>
      </c>
      <c r="W1226" t="str">
        <f>IF(OR(E1226="",F1226=""),"Missing Date/Time",IFERROR(IF(F1226&gt;E1226,"Arrival After Appointment","OK"),"Check Format"))</f>
        <v>OK</v>
      </c>
      <c r="X1226" t="str">
        <f>IF(OR(F1226="",G1226=""),"Missing Date/Time",IFERROR(IF(G1226&lt;F1226,"Discharge Before Arrival","OK"),"Check Format"))</f>
        <v>OK</v>
      </c>
    </row>
    <row r="1227" spans="1:24" x14ac:dyDescent="0.25">
      <c r="A1227" s="2" t="s">
        <v>1897</v>
      </c>
      <c r="B1227" s="2" t="s">
        <v>1175</v>
      </c>
      <c r="C1227" s="3" t="s">
        <v>94</v>
      </c>
      <c r="D1227" s="3" t="s">
        <v>106</v>
      </c>
      <c r="E1227" s="4">
        <v>45750.472222222219</v>
      </c>
      <c r="G1227" s="4">
        <v>45750.53402777778</v>
      </c>
      <c r="J1227" s="3" t="s">
        <v>171</v>
      </c>
      <c r="K1227" s="5">
        <v>61</v>
      </c>
      <c r="L1227" s="5">
        <v>28</v>
      </c>
      <c r="M1227" s="3" t="s">
        <v>50</v>
      </c>
      <c r="N1227" t="s">
        <v>24</v>
      </c>
      <c r="P1227" s="3" t="s">
        <v>25</v>
      </c>
      <c r="Q1227" s="2">
        <v>176.67</v>
      </c>
      <c r="R1227" s="3" t="s">
        <v>43</v>
      </c>
      <c r="S1227">
        <f>COUNTIF(A:A,A1227)</f>
        <v>1</v>
      </c>
      <c r="T1227" t="str">
        <f>IF(OR(H1227="",LOWER(TRIM(H1227&amp;""))="missing",LOWER(TRIM(H1227&amp;""))=""),"Missing/",IFERROR(IF(OR(VALUE(H1227)&lt;0,VALUE(H1227)&gt;110),"Invalid","Valid"),"Check Format"))</f>
        <v>Missing/</v>
      </c>
      <c r="U1227" t="str">
        <f>IF(Raw_Data[[#This Row],[Age_Check]]="Valid",H1227,"")</f>
        <v/>
      </c>
      <c r="V1227" t="str">
        <f>IF(OR(K1227="",UPPER(TRIM(K1227&amp;""))="",LOWER(TRIM(K1227&amp;""))="",LOWER(TRIM(K1227&amp;""))="",LOWER(TRIM(K1227&amp;""))="missing"),"Missing/",IFERROR(IF(VALUE(K1227)&lt;0,"Invalid","Valid"),"Check Format"))</f>
        <v>Valid</v>
      </c>
      <c r="W1227" t="str">
        <f>IF(OR(E1227="",F1227=""),"Missing Date/Time",IFERROR(IF(F1227&gt;E1227,"Arrival After Appointment","OK"),"Check Format"))</f>
        <v>Missing Date/Time</v>
      </c>
      <c r="X1227" t="str">
        <f>IF(OR(F1227="",G1227=""),"Missing Date/Time",IFERROR(IF(G1227&lt;F1227,"Discharge Before Arrival","OK"),"Check Format"))</f>
        <v>Missing Date/Time</v>
      </c>
    </row>
    <row r="1228" spans="1:24" x14ac:dyDescent="0.25">
      <c r="A1228" s="2" t="s">
        <v>1898</v>
      </c>
      <c r="B1228" s="2" t="s">
        <v>108</v>
      </c>
      <c r="C1228" s="3" t="s">
        <v>46</v>
      </c>
      <c r="D1228" s="3" t="s">
        <v>72</v>
      </c>
      <c r="E1228" s="4">
        <v>45839.784722222219</v>
      </c>
      <c r="F1228" s="4">
        <v>45839.771527777775</v>
      </c>
      <c r="G1228" s="4">
        <v>45839.872916666667</v>
      </c>
      <c r="I1228" s="3" t="s">
        <v>73</v>
      </c>
      <c r="J1228" s="3" t="s">
        <v>67</v>
      </c>
      <c r="K1228" s="5">
        <v>1440</v>
      </c>
      <c r="L1228" s="5">
        <v>45</v>
      </c>
      <c r="M1228" s="3" t="s">
        <v>63</v>
      </c>
      <c r="P1228" s="3" t="s">
        <v>25</v>
      </c>
      <c r="Q1228" s="2">
        <v>66.14</v>
      </c>
      <c r="R1228" s="3" t="s">
        <v>58</v>
      </c>
      <c r="S1228">
        <f>COUNTIF(A:A,A1228)</f>
        <v>1</v>
      </c>
      <c r="T1228" t="str">
        <f>IF(OR(H1228="",LOWER(TRIM(H1228&amp;""))="missing",LOWER(TRIM(H1228&amp;""))=""),"Missing/",IFERROR(IF(OR(VALUE(H1228)&lt;0,VALUE(H1228)&gt;110),"Invalid","Valid"),"Check Format"))</f>
        <v>Missing/</v>
      </c>
      <c r="U1228" t="str">
        <f>IF(Raw_Data[[#This Row],[Age_Check]]="Valid",H1228,"")</f>
        <v/>
      </c>
      <c r="V1228" t="str">
        <f>IF(OR(K1228="",UPPER(TRIM(K1228&amp;""))="",LOWER(TRIM(K1228&amp;""))="",LOWER(TRIM(K1228&amp;""))="",LOWER(TRIM(K1228&amp;""))="missing"),"Missing/",IFERROR(IF(VALUE(K1228)&lt;0,"Invalid","Valid"),"Check Format"))</f>
        <v>Valid</v>
      </c>
      <c r="W1228" t="str">
        <f>IF(OR(E1228="",F1228=""),"Missing Date/Time",IFERROR(IF(F1228&gt;E1228,"Arrival After Appointment","OK"),"Check Format"))</f>
        <v>OK</v>
      </c>
      <c r="X1228" t="str">
        <f>IF(OR(F1228="",G1228=""),"Missing Date/Time",IFERROR(IF(G1228&lt;F1228,"Discharge Before Arrival","OK"),"Check Format"))</f>
        <v>OK</v>
      </c>
    </row>
    <row r="1229" spans="1:24" x14ac:dyDescent="0.25">
      <c r="A1229" s="2" t="s">
        <v>1899</v>
      </c>
      <c r="B1229" s="2" t="s">
        <v>307</v>
      </c>
      <c r="C1229" s="3" t="s">
        <v>94</v>
      </c>
      <c r="D1229" s="3" t="s">
        <v>47</v>
      </c>
      <c r="E1229" s="4">
        <v>45734.614583333336</v>
      </c>
      <c r="F1229" s="4">
        <v>45734.602083333331</v>
      </c>
      <c r="G1229" s="4">
        <v>45734.68472222222</v>
      </c>
      <c r="H1229" s="5">
        <v>71</v>
      </c>
      <c r="J1229" s="3" t="s">
        <v>62</v>
      </c>
      <c r="K1229" s="5">
        <v>48</v>
      </c>
      <c r="L1229" s="5">
        <v>53</v>
      </c>
      <c r="M1229" s="3" t="s">
        <v>41</v>
      </c>
      <c r="N1229" t="s">
        <v>69</v>
      </c>
      <c r="P1229" s="3" t="s">
        <v>80</v>
      </c>
      <c r="Q1229" s="2">
        <v>216.57</v>
      </c>
      <c r="R1229" s="3" t="s">
        <v>58</v>
      </c>
      <c r="S1229">
        <f>COUNTIF(A:A,A1229)</f>
        <v>1</v>
      </c>
      <c r="T1229" t="str">
        <f>IF(OR(H1229="",LOWER(TRIM(H1229&amp;""))="missing",LOWER(TRIM(H1229&amp;""))=""),"Missing/",IFERROR(IF(OR(VALUE(H1229)&lt;0,VALUE(H1229)&gt;110),"Invalid","Valid"),"Check Format"))</f>
        <v>Valid</v>
      </c>
      <c r="U1229">
        <f>IF(Raw_Data[[#This Row],[Age_Check]]="Valid",H1229,"")</f>
        <v>71</v>
      </c>
      <c r="V1229" t="str">
        <f>IF(OR(K1229="",UPPER(TRIM(K1229&amp;""))="",LOWER(TRIM(K1229&amp;""))="",LOWER(TRIM(K1229&amp;""))="",LOWER(TRIM(K1229&amp;""))="missing"),"Missing/",IFERROR(IF(VALUE(K1229)&lt;0,"Invalid","Valid"),"Check Format"))</f>
        <v>Valid</v>
      </c>
      <c r="W1229" t="str">
        <f>IF(OR(E1229="",F1229=""),"Missing Date/Time",IFERROR(IF(F1229&gt;E1229,"Arrival After Appointment","OK"),"Check Format"))</f>
        <v>OK</v>
      </c>
      <c r="X1229" t="str">
        <f>IF(OR(F1229="",G1229=""),"Missing Date/Time",IFERROR(IF(G1229&lt;F1229,"Discharge Before Arrival","OK"),"Check Format"))</f>
        <v>OK</v>
      </c>
    </row>
    <row r="1230" spans="1:24" x14ac:dyDescent="0.25">
      <c r="A1230" s="2" t="s">
        <v>1900</v>
      </c>
      <c r="B1230" s="2" t="s">
        <v>197</v>
      </c>
      <c r="C1230" s="3" t="s">
        <v>29</v>
      </c>
      <c r="D1230" s="3" t="s">
        <v>115</v>
      </c>
      <c r="E1230" s="4">
        <v>45494.614583333336</v>
      </c>
      <c r="F1230" s="4">
        <v>45494.59375</v>
      </c>
      <c r="G1230" s="4">
        <v>45494.647222222222</v>
      </c>
      <c r="H1230" s="5">
        <v>47</v>
      </c>
      <c r="I1230" s="3" t="s">
        <v>73</v>
      </c>
      <c r="J1230" s="3" t="s">
        <v>150</v>
      </c>
      <c r="K1230" s="5">
        <v>9</v>
      </c>
      <c r="L1230" s="5">
        <v>38</v>
      </c>
      <c r="N1230" t="s">
        <v>24</v>
      </c>
      <c r="O1230" s="5">
        <v>5</v>
      </c>
      <c r="P1230" s="3" t="s">
        <v>25</v>
      </c>
      <c r="Q1230" s="2">
        <v>0</v>
      </c>
      <c r="R1230" s="3" t="s">
        <v>58</v>
      </c>
      <c r="S1230">
        <f>COUNTIF(A:A,A1230)</f>
        <v>1</v>
      </c>
      <c r="T1230" t="str">
        <f>IF(OR(H1230="",LOWER(TRIM(H1230&amp;""))="missing",LOWER(TRIM(H1230&amp;""))=""),"Missing/",IFERROR(IF(OR(VALUE(H1230)&lt;0,VALUE(H1230)&gt;110),"Invalid","Valid"),"Check Format"))</f>
        <v>Valid</v>
      </c>
      <c r="U1230">
        <f>IF(Raw_Data[[#This Row],[Age_Check]]="Valid",H1230,"")</f>
        <v>47</v>
      </c>
      <c r="V1230" t="str">
        <f>IF(OR(K1230="",UPPER(TRIM(K1230&amp;""))="",LOWER(TRIM(K1230&amp;""))="",LOWER(TRIM(K1230&amp;""))="",LOWER(TRIM(K1230&amp;""))="missing"),"Missing/",IFERROR(IF(VALUE(K1230)&lt;0,"Invalid","Valid"),"Check Format"))</f>
        <v>Valid</v>
      </c>
      <c r="W1230" t="str">
        <f>IF(OR(E1230="",F1230=""),"Missing Date/Time",IFERROR(IF(F1230&gt;E1230,"Arrival After Appointment","OK"),"Check Format"))</f>
        <v>OK</v>
      </c>
      <c r="X1230" t="str">
        <f>IF(OR(F1230="",G1230=""),"Missing Date/Time",IFERROR(IF(G1230&lt;F1230,"Discharge Before Arrival","OK"),"Check Format"))</f>
        <v>OK</v>
      </c>
    </row>
    <row r="1231" spans="1:24" x14ac:dyDescent="0.25">
      <c r="A1231" s="2" t="s">
        <v>1901</v>
      </c>
      <c r="B1231" s="2" t="s">
        <v>1039</v>
      </c>
      <c r="D1231" s="3" t="s">
        <v>38</v>
      </c>
      <c r="E1231" s="4" t="s">
        <v>1902</v>
      </c>
      <c r="F1231" s="4">
        <v>45762.484027777777</v>
      </c>
      <c r="G1231" s="4">
        <v>45762.583333333336</v>
      </c>
      <c r="J1231" s="3" t="s">
        <v>62</v>
      </c>
      <c r="K1231" s="5">
        <v>59</v>
      </c>
      <c r="L1231" s="5">
        <v>66</v>
      </c>
      <c r="M1231" s="3" t="s">
        <v>23</v>
      </c>
      <c r="P1231" s="3" t="s">
        <v>25</v>
      </c>
      <c r="Q1231" s="2">
        <v>69.17</v>
      </c>
      <c r="R1231" s="3" t="s">
        <v>26</v>
      </c>
      <c r="S1231">
        <f>COUNTIF(A:A,A1231)</f>
        <v>1</v>
      </c>
      <c r="T1231" t="str">
        <f>IF(OR(H1231="",LOWER(TRIM(H1231&amp;""))="missing",LOWER(TRIM(H1231&amp;""))=""),"Missing/",IFERROR(IF(OR(VALUE(H1231)&lt;0,VALUE(H1231)&gt;110),"Invalid","Valid"),"Check Format"))</f>
        <v>Missing/</v>
      </c>
      <c r="U1231" t="str">
        <f>IF(Raw_Data[[#This Row],[Age_Check]]="Valid",H1231,"")</f>
        <v/>
      </c>
      <c r="V1231" t="str">
        <f>IF(OR(K1231="",UPPER(TRIM(K1231&amp;""))="",LOWER(TRIM(K1231&amp;""))="",LOWER(TRIM(K1231&amp;""))="",LOWER(TRIM(K1231&amp;""))="missing"),"Missing/",IFERROR(IF(VALUE(K1231)&lt;0,"Invalid","Valid"),"Check Format"))</f>
        <v>Valid</v>
      </c>
      <c r="W1231" t="str">
        <f>IF(OR(E1231="",F1231=""),"Missing Date/Time",IFERROR(IF(F1231&gt;E1231,"Arrival After Appointment","OK"),"Check Format"))</f>
        <v>OK</v>
      </c>
      <c r="X1231" t="str">
        <f>IF(OR(F1231="",G1231=""),"Missing Date/Time",IFERROR(IF(G1231&lt;F1231,"Discharge Before Arrival","OK"),"Check Format"))</f>
        <v>OK</v>
      </c>
    </row>
    <row r="1232" spans="1:24" x14ac:dyDescent="0.25">
      <c r="A1232" s="2" t="s">
        <v>1903</v>
      </c>
      <c r="B1232" s="2" t="s">
        <v>723</v>
      </c>
      <c r="C1232" s="3" t="s">
        <v>46</v>
      </c>
      <c r="D1232" s="3" t="s">
        <v>99</v>
      </c>
      <c r="E1232" s="4">
        <v>45752.451388888891</v>
      </c>
      <c r="F1232" s="4">
        <v>45752.4375</v>
      </c>
      <c r="G1232" s="4">
        <v>45752.502083333333</v>
      </c>
      <c r="J1232" s="3" t="s">
        <v>67</v>
      </c>
      <c r="K1232" s="5">
        <v>28</v>
      </c>
      <c r="L1232" s="5">
        <v>45</v>
      </c>
      <c r="M1232" s="3" t="s">
        <v>32</v>
      </c>
      <c r="O1232" s="5">
        <v>6</v>
      </c>
      <c r="Q1232" s="2">
        <v>21.58</v>
      </c>
      <c r="R1232" s="3" t="s">
        <v>58</v>
      </c>
      <c r="S1232">
        <f>COUNTIF(A:A,A1232)</f>
        <v>1</v>
      </c>
      <c r="T1232" t="str">
        <f>IF(OR(H1232="",LOWER(TRIM(H1232&amp;""))="missing",LOWER(TRIM(H1232&amp;""))=""),"Missing/",IFERROR(IF(OR(VALUE(H1232)&lt;0,VALUE(H1232)&gt;110),"Invalid","Valid"),"Check Format"))</f>
        <v>Missing/</v>
      </c>
      <c r="U1232" t="str">
        <f>IF(Raw_Data[[#This Row],[Age_Check]]="Valid",H1232,"")</f>
        <v/>
      </c>
      <c r="V1232" t="str">
        <f>IF(OR(K1232="",UPPER(TRIM(K1232&amp;""))="",LOWER(TRIM(K1232&amp;""))="",LOWER(TRIM(K1232&amp;""))="",LOWER(TRIM(K1232&amp;""))="missing"),"Missing/",IFERROR(IF(VALUE(K1232)&lt;0,"Invalid","Valid"),"Check Format"))</f>
        <v>Valid</v>
      </c>
      <c r="W1232" t="str">
        <f>IF(OR(E1232="",F1232=""),"Missing Date/Time",IFERROR(IF(F1232&gt;E1232,"Arrival After Appointment","OK"),"Check Format"))</f>
        <v>OK</v>
      </c>
      <c r="X1232" t="str">
        <f>IF(OR(F1232="",G1232=""),"Missing Date/Time",IFERROR(IF(G1232&lt;F1232,"Discharge Before Arrival","OK"),"Check Format"))</f>
        <v>OK</v>
      </c>
    </row>
    <row r="1233" spans="1:24" x14ac:dyDescent="0.25">
      <c r="A1233" s="2" t="s">
        <v>1904</v>
      </c>
      <c r="B1233" s="2" t="s">
        <v>1371</v>
      </c>
      <c r="C1233" s="3" t="s">
        <v>46</v>
      </c>
      <c r="D1233" s="3" t="s">
        <v>106</v>
      </c>
      <c r="E1233" s="4">
        <v>45606.444444444445</v>
      </c>
      <c r="F1233" s="4">
        <v>45606.439583333333</v>
      </c>
      <c r="G1233" s="4">
        <v>45606.497916666667</v>
      </c>
      <c r="H1233" s="5">
        <v>68</v>
      </c>
      <c r="I1233" s="3" t="s">
        <v>90</v>
      </c>
      <c r="J1233" s="3" t="s">
        <v>67</v>
      </c>
      <c r="K1233" s="5">
        <v>35</v>
      </c>
      <c r="L1233" s="5">
        <v>-10</v>
      </c>
      <c r="M1233" s="3" t="s">
        <v>68</v>
      </c>
      <c r="N1233" t="s">
        <v>103</v>
      </c>
      <c r="O1233" s="5">
        <v>0</v>
      </c>
      <c r="P1233" s="3" t="s">
        <v>25</v>
      </c>
      <c r="Q1233" s="2">
        <v>94.26</v>
      </c>
      <c r="R1233" s="3" t="s">
        <v>58</v>
      </c>
      <c r="S1233">
        <f>COUNTIF(A:A,A1233)</f>
        <v>1</v>
      </c>
      <c r="T1233" t="str">
        <f>IF(OR(H1233="",LOWER(TRIM(H1233&amp;""))="missing",LOWER(TRIM(H1233&amp;""))=""),"Missing/",IFERROR(IF(OR(VALUE(H1233)&lt;0,VALUE(H1233)&gt;110),"Invalid","Valid"),"Check Format"))</f>
        <v>Valid</v>
      </c>
      <c r="U1233">
        <f>IF(Raw_Data[[#This Row],[Age_Check]]="Valid",H1233,"")</f>
        <v>68</v>
      </c>
      <c r="V1233" t="str">
        <f>IF(OR(K1233="",UPPER(TRIM(K1233&amp;""))="",LOWER(TRIM(K1233&amp;""))="",LOWER(TRIM(K1233&amp;""))="",LOWER(TRIM(K1233&amp;""))="missing"),"Missing/",IFERROR(IF(VALUE(K1233)&lt;0,"Invalid","Valid"),"Check Format"))</f>
        <v>Valid</v>
      </c>
      <c r="W1233" t="str">
        <f>IF(OR(E1233="",F1233=""),"Missing Date/Time",IFERROR(IF(F1233&gt;E1233,"Arrival After Appointment","OK"),"Check Format"))</f>
        <v>OK</v>
      </c>
      <c r="X1233" t="str">
        <f>IF(OR(F1233="",G1233=""),"Missing Date/Time",IFERROR(IF(G1233&lt;F1233,"Discharge Before Arrival","OK"),"Check Format"))</f>
        <v>OK</v>
      </c>
    </row>
    <row r="1234" spans="1:24" x14ac:dyDescent="0.25">
      <c r="A1234" s="2" t="s">
        <v>1905</v>
      </c>
      <c r="B1234" s="2" t="s">
        <v>822</v>
      </c>
      <c r="C1234" s="3" t="s">
        <v>94</v>
      </c>
      <c r="D1234" s="3" t="s">
        <v>72</v>
      </c>
      <c r="E1234" s="4">
        <v>45654.59375</v>
      </c>
      <c r="F1234" s="4">
        <v>45654.578472222223</v>
      </c>
      <c r="G1234" s="4">
        <v>45654.65902777778</v>
      </c>
      <c r="H1234" s="5">
        <v>17</v>
      </c>
      <c r="I1234" s="3" t="s">
        <v>39</v>
      </c>
      <c r="J1234" s="3" t="s">
        <v>62</v>
      </c>
      <c r="K1234" s="5">
        <v>49</v>
      </c>
      <c r="L1234" s="5">
        <v>45</v>
      </c>
      <c r="M1234" s="3" t="s">
        <v>63</v>
      </c>
      <c r="O1234" s="5">
        <v>1</v>
      </c>
      <c r="P1234" s="3" t="s">
        <v>80</v>
      </c>
      <c r="Q1234" s="2">
        <v>178.72</v>
      </c>
      <c r="R1234" s="3" t="s">
        <v>43</v>
      </c>
      <c r="S1234">
        <f>COUNTIF(A:A,A1234)</f>
        <v>1</v>
      </c>
      <c r="T1234" t="str">
        <f>IF(OR(H1234="",LOWER(TRIM(H1234&amp;""))="missing",LOWER(TRIM(H1234&amp;""))=""),"Missing/",IFERROR(IF(OR(VALUE(H1234)&lt;0,VALUE(H1234)&gt;110),"Invalid","Valid"),"Check Format"))</f>
        <v>Valid</v>
      </c>
      <c r="U1234">
        <f>IF(Raw_Data[[#This Row],[Age_Check]]="Valid",H1234,"")</f>
        <v>17</v>
      </c>
      <c r="V1234" t="str">
        <f>IF(OR(K1234="",UPPER(TRIM(K1234&amp;""))="",LOWER(TRIM(K1234&amp;""))="",LOWER(TRIM(K1234&amp;""))="",LOWER(TRIM(K1234&amp;""))="missing"),"Missing/",IFERROR(IF(VALUE(K1234)&lt;0,"Invalid","Valid"),"Check Format"))</f>
        <v>Valid</v>
      </c>
      <c r="W1234" t="str">
        <f>IF(OR(E1234="",F1234=""),"Missing Date/Time",IFERROR(IF(F1234&gt;E1234,"Arrival After Appointment","OK"),"Check Format"))</f>
        <v>OK</v>
      </c>
      <c r="X1234" t="str">
        <f>IF(OR(F1234="",G1234=""),"Missing Date/Time",IFERROR(IF(G1234&lt;F1234,"Discharge Before Arrival","OK"),"Check Format"))</f>
        <v>OK</v>
      </c>
    </row>
    <row r="1235" spans="1:24" x14ac:dyDescent="0.25">
      <c r="A1235" s="2" t="s">
        <v>1906</v>
      </c>
      <c r="B1235" s="2" t="s">
        <v>599</v>
      </c>
      <c r="C1235" s="3" t="s">
        <v>37</v>
      </c>
      <c r="D1235" s="3" t="s">
        <v>47</v>
      </c>
      <c r="E1235" s="4">
        <v>45301.708333333336</v>
      </c>
      <c r="F1235" s="4">
        <v>45566.693055555559</v>
      </c>
      <c r="H1235" s="5">
        <v>23</v>
      </c>
      <c r="I1235" s="3" t="s">
        <v>95</v>
      </c>
      <c r="J1235" s="3" t="s">
        <v>62</v>
      </c>
      <c r="K1235" s="5">
        <v>67</v>
      </c>
      <c r="L1235" s="5">
        <v>25</v>
      </c>
      <c r="M1235" s="3" t="s">
        <v>63</v>
      </c>
      <c r="N1235" t="s">
        <v>100</v>
      </c>
      <c r="P1235" s="3" t="s">
        <v>80</v>
      </c>
      <c r="Q1235" s="2">
        <v>174.6</v>
      </c>
      <c r="R1235" s="3" t="s">
        <v>58</v>
      </c>
      <c r="S1235">
        <f>COUNTIF(A:A,A1235)</f>
        <v>1</v>
      </c>
      <c r="T1235" t="str">
        <f>IF(OR(H1235="",LOWER(TRIM(H1235&amp;""))="missing",LOWER(TRIM(H1235&amp;""))=""),"Missing/",IFERROR(IF(OR(VALUE(H1235)&lt;0,VALUE(H1235)&gt;110),"Invalid","Valid"),"Check Format"))</f>
        <v>Valid</v>
      </c>
      <c r="U1235">
        <f>IF(Raw_Data[[#This Row],[Age_Check]]="Valid",H1235,"")</f>
        <v>23</v>
      </c>
      <c r="V1235" t="str">
        <f>IF(OR(K1235="",UPPER(TRIM(K1235&amp;""))="",LOWER(TRIM(K1235&amp;""))="",LOWER(TRIM(K1235&amp;""))="",LOWER(TRIM(K1235&amp;""))="missing"),"Missing/",IFERROR(IF(VALUE(K1235)&lt;0,"Invalid","Valid"),"Check Format"))</f>
        <v>Valid</v>
      </c>
      <c r="W1235" t="str">
        <f>IF(OR(E1235="",F1235=""),"Missing Date/Time",IFERROR(IF(F1235&gt;E1235,"Arrival After Appointment","OK"),"Check Format"))</f>
        <v>Arrival After Appointment</v>
      </c>
      <c r="X1235" t="str">
        <f>IF(OR(F1235="",G1235=""),"Missing Date/Time",IFERROR(IF(G1235&lt;F1235,"Discharge Before Arrival","OK"),"Check Format"))</f>
        <v>Missing Date/Time</v>
      </c>
    </row>
    <row r="1236" spans="1:24" x14ac:dyDescent="0.25">
      <c r="A1236" s="2" t="s">
        <v>1907</v>
      </c>
      <c r="B1236" s="2" t="s">
        <v>196</v>
      </c>
      <c r="C1236" s="3" t="s">
        <v>46</v>
      </c>
      <c r="D1236" s="3" t="s">
        <v>30</v>
      </c>
      <c r="E1236" s="4">
        <v>45509.677083333336</v>
      </c>
      <c r="F1236" s="4">
        <v>45420.664583333331</v>
      </c>
      <c r="G1236" s="4">
        <v>45420.741666666669</v>
      </c>
      <c r="J1236" s="3" t="s">
        <v>2639</v>
      </c>
      <c r="K1236" s="5">
        <v>53</v>
      </c>
      <c r="L1236" s="5">
        <v>40</v>
      </c>
      <c r="N1236" t="s">
        <v>69</v>
      </c>
      <c r="O1236" s="5">
        <v>4</v>
      </c>
      <c r="P1236" s="3" t="s">
        <v>25</v>
      </c>
      <c r="Q1236" s="2">
        <v>105.25</v>
      </c>
      <c r="R1236" s="3" t="s">
        <v>26</v>
      </c>
      <c r="S1236">
        <f>COUNTIF(A:A,A1236)</f>
        <v>1</v>
      </c>
      <c r="T1236" t="str">
        <f>IF(OR(H1236="",LOWER(TRIM(H1236&amp;""))="missing",LOWER(TRIM(H1236&amp;""))=""),"Missing/",IFERROR(IF(OR(VALUE(H1236)&lt;0,VALUE(H1236)&gt;110),"Invalid","Valid"),"Check Format"))</f>
        <v>Missing/</v>
      </c>
      <c r="U1236" t="str">
        <f>IF(Raw_Data[[#This Row],[Age_Check]]="Valid",H1236,"")</f>
        <v/>
      </c>
      <c r="V1236" t="str">
        <f>IF(OR(K1236="",UPPER(TRIM(K1236&amp;""))="",LOWER(TRIM(K1236&amp;""))="",LOWER(TRIM(K1236&amp;""))="",LOWER(TRIM(K1236&amp;""))="missing"),"Missing/",IFERROR(IF(VALUE(K1236)&lt;0,"Invalid","Valid"),"Check Format"))</f>
        <v>Valid</v>
      </c>
      <c r="W1236" t="str">
        <f>IF(OR(E1236="",F1236=""),"Missing Date/Time",IFERROR(IF(F1236&gt;E1236,"Arrival After Appointment","OK"),"Check Format"))</f>
        <v>OK</v>
      </c>
      <c r="X1236" t="str">
        <f>IF(OR(F1236="",G1236=""),"Missing Date/Time",IFERROR(IF(G1236&lt;F1236,"Discharge Before Arrival","OK"),"Check Format"))</f>
        <v>OK</v>
      </c>
    </row>
    <row r="1237" spans="1:24" x14ac:dyDescent="0.25">
      <c r="A1237" s="2" t="s">
        <v>1908</v>
      </c>
      <c r="B1237" s="2" t="s">
        <v>465</v>
      </c>
      <c r="C1237" s="3" t="s">
        <v>46</v>
      </c>
      <c r="D1237" s="3" t="s">
        <v>99</v>
      </c>
      <c r="E1237" s="4">
        <v>45459.763888888891</v>
      </c>
      <c r="G1237" s="4">
        <v>45459.809027777781</v>
      </c>
      <c r="H1237" s="5">
        <v>77</v>
      </c>
      <c r="J1237" s="3" t="s">
        <v>62</v>
      </c>
      <c r="K1237" s="5">
        <v>51</v>
      </c>
      <c r="L1237" s="5">
        <v>14</v>
      </c>
      <c r="M1237" s="3" t="s">
        <v>87</v>
      </c>
      <c r="N1237" t="s">
        <v>74</v>
      </c>
      <c r="O1237" s="5">
        <v>0</v>
      </c>
      <c r="P1237" s="3" t="s">
        <v>80</v>
      </c>
      <c r="R1237" s="3" t="s">
        <v>75</v>
      </c>
      <c r="S1237">
        <f>COUNTIF(A:A,A1237)</f>
        <v>1</v>
      </c>
      <c r="T1237" t="str">
        <f>IF(OR(H1237="",LOWER(TRIM(H1237&amp;""))="missing",LOWER(TRIM(H1237&amp;""))=""),"Missing/",IFERROR(IF(OR(VALUE(H1237)&lt;0,VALUE(H1237)&gt;110),"Invalid","Valid"),"Check Format"))</f>
        <v>Valid</v>
      </c>
      <c r="U1237">
        <f>IF(Raw_Data[[#This Row],[Age_Check]]="Valid",H1237,"")</f>
        <v>77</v>
      </c>
      <c r="V1237" t="str">
        <f>IF(OR(K1237="",UPPER(TRIM(K1237&amp;""))="",LOWER(TRIM(K1237&amp;""))="",LOWER(TRIM(K1237&amp;""))="",LOWER(TRIM(K1237&amp;""))="missing"),"Missing/",IFERROR(IF(VALUE(K1237)&lt;0,"Invalid","Valid"),"Check Format"))</f>
        <v>Valid</v>
      </c>
      <c r="W1237" t="str">
        <f>IF(OR(E1237="",F1237=""),"Missing Date/Time",IFERROR(IF(F1237&gt;E1237,"Arrival After Appointment","OK"),"Check Format"))</f>
        <v>Missing Date/Time</v>
      </c>
      <c r="X1237" t="str">
        <f>IF(OR(F1237="",G1237=""),"Missing Date/Time",IFERROR(IF(G1237&lt;F1237,"Discharge Before Arrival","OK"),"Check Format"))</f>
        <v>Missing Date/Time</v>
      </c>
    </row>
    <row r="1238" spans="1:24" x14ac:dyDescent="0.25">
      <c r="A1238" s="2" t="s">
        <v>1909</v>
      </c>
      <c r="B1238" s="2" t="s">
        <v>1179</v>
      </c>
      <c r="C1238" s="3" t="s">
        <v>94</v>
      </c>
      <c r="D1238" s="3" t="s">
        <v>47</v>
      </c>
      <c r="E1238" s="4">
        <v>46014.517361111109</v>
      </c>
      <c r="F1238" s="4">
        <v>46014.515277777777</v>
      </c>
      <c r="G1238" s="4">
        <v>46014.568055555559</v>
      </c>
      <c r="H1238" s="5">
        <v>76</v>
      </c>
      <c r="I1238" s="3" t="s">
        <v>95</v>
      </c>
      <c r="J1238" s="3" t="s">
        <v>22</v>
      </c>
      <c r="K1238" s="5">
        <v>56</v>
      </c>
      <c r="L1238" s="5">
        <v>17</v>
      </c>
      <c r="N1238" t="s">
        <v>24</v>
      </c>
      <c r="O1238" s="5">
        <v>6</v>
      </c>
      <c r="P1238" s="3" t="s">
        <v>80</v>
      </c>
      <c r="Q1238" s="2">
        <v>55.88</v>
      </c>
      <c r="R1238" s="3" t="s">
        <v>75</v>
      </c>
      <c r="S1238">
        <f>COUNTIF(A:A,A1238)</f>
        <v>1</v>
      </c>
      <c r="T1238" t="str">
        <f>IF(OR(H1238="",LOWER(TRIM(H1238&amp;""))="missing",LOWER(TRIM(H1238&amp;""))=""),"Missing/",IFERROR(IF(OR(VALUE(H1238)&lt;0,VALUE(H1238)&gt;110),"Invalid","Valid"),"Check Format"))</f>
        <v>Valid</v>
      </c>
      <c r="U1238">
        <f>IF(Raw_Data[[#This Row],[Age_Check]]="Valid",H1238,"")</f>
        <v>76</v>
      </c>
      <c r="V1238" t="str">
        <f>IF(OR(K1238="",UPPER(TRIM(K1238&amp;""))="",LOWER(TRIM(K1238&amp;""))="",LOWER(TRIM(K1238&amp;""))="",LOWER(TRIM(K1238&amp;""))="missing"),"Missing/",IFERROR(IF(VALUE(K1238)&lt;0,"Invalid","Valid"),"Check Format"))</f>
        <v>Valid</v>
      </c>
      <c r="W1238" t="str">
        <f>IF(OR(E1238="",F1238=""),"Missing Date/Time",IFERROR(IF(F1238&gt;E1238,"Arrival After Appointment","OK"),"Check Format"))</f>
        <v>OK</v>
      </c>
      <c r="X1238" t="str">
        <f>IF(OR(F1238="",G1238=""),"Missing Date/Time",IFERROR(IF(G1238&lt;F1238,"Discharge Before Arrival","OK"),"Check Format"))</f>
        <v>OK</v>
      </c>
    </row>
    <row r="1239" spans="1:24" x14ac:dyDescent="0.25">
      <c r="A1239" s="2" t="s">
        <v>1910</v>
      </c>
      <c r="B1239" s="2" t="s">
        <v>229</v>
      </c>
      <c r="C1239" s="3" t="s">
        <v>94</v>
      </c>
      <c r="D1239" s="3" t="s">
        <v>99</v>
      </c>
      <c r="E1239" s="4">
        <v>45311.475694444445</v>
      </c>
      <c r="F1239" s="4">
        <v>45311.463888888888</v>
      </c>
      <c r="G1239" s="4">
        <v>45311.546527777777</v>
      </c>
      <c r="H1239" s="5">
        <v>58</v>
      </c>
      <c r="I1239" s="3" t="s">
        <v>73</v>
      </c>
      <c r="J1239" s="3" t="s">
        <v>2639</v>
      </c>
      <c r="K1239" s="5">
        <v>67</v>
      </c>
      <c r="L1239" s="5">
        <v>35</v>
      </c>
      <c r="M1239" s="3" t="s">
        <v>23</v>
      </c>
      <c r="N1239" t="s">
        <v>24</v>
      </c>
      <c r="O1239" s="5">
        <v>0</v>
      </c>
      <c r="P1239" s="3" t="s">
        <v>80</v>
      </c>
      <c r="Q1239" s="2">
        <v>207.63</v>
      </c>
      <c r="R1239" s="3" t="s">
        <v>43</v>
      </c>
      <c r="S1239">
        <f>COUNTIF(A:A,A1239)</f>
        <v>1</v>
      </c>
      <c r="T1239" t="str">
        <f>IF(OR(H1239="",LOWER(TRIM(H1239&amp;""))="missing",LOWER(TRIM(H1239&amp;""))=""),"Missing/",IFERROR(IF(OR(VALUE(H1239)&lt;0,VALUE(H1239)&gt;110),"Invalid","Valid"),"Check Format"))</f>
        <v>Valid</v>
      </c>
      <c r="U1239">
        <f>IF(Raw_Data[[#This Row],[Age_Check]]="Valid",H1239,"")</f>
        <v>58</v>
      </c>
      <c r="V1239" t="str">
        <f>IF(OR(K1239="",UPPER(TRIM(K1239&amp;""))="",LOWER(TRIM(K1239&amp;""))="",LOWER(TRIM(K1239&amp;""))="",LOWER(TRIM(K1239&amp;""))="missing"),"Missing/",IFERROR(IF(VALUE(K1239)&lt;0,"Invalid","Valid"),"Check Format"))</f>
        <v>Valid</v>
      </c>
      <c r="W1239" t="str">
        <f>IF(OR(E1239="",F1239=""),"Missing Date/Time",IFERROR(IF(F1239&gt;E1239,"Arrival After Appointment","OK"),"Check Format"))</f>
        <v>OK</v>
      </c>
      <c r="X1239" t="str">
        <f>IF(OR(F1239="",G1239=""),"Missing Date/Time",IFERROR(IF(G1239&lt;F1239,"Discharge Before Arrival","OK"),"Check Format"))</f>
        <v>OK</v>
      </c>
    </row>
    <row r="1240" spans="1:24" x14ac:dyDescent="0.25">
      <c r="A1240" s="2" t="s">
        <v>1911</v>
      </c>
      <c r="B1240" s="2" t="s">
        <v>1912</v>
      </c>
      <c r="D1240" s="3" t="s">
        <v>66</v>
      </c>
      <c r="E1240" s="4">
        <v>45477.4375</v>
      </c>
      <c r="F1240" s="4">
        <v>45477.4375</v>
      </c>
      <c r="G1240" s="4">
        <v>45477.493750000001</v>
      </c>
      <c r="H1240" s="5">
        <v>47</v>
      </c>
      <c r="I1240" s="3" t="s">
        <v>73</v>
      </c>
      <c r="J1240" s="3" t="s">
        <v>22</v>
      </c>
      <c r="K1240" s="5">
        <v>42</v>
      </c>
      <c r="L1240" s="5">
        <v>39</v>
      </c>
      <c r="M1240" s="3" t="s">
        <v>68</v>
      </c>
      <c r="N1240" t="s">
        <v>74</v>
      </c>
      <c r="P1240" s="3" t="s">
        <v>25</v>
      </c>
      <c r="Q1240" s="2">
        <v>189.06</v>
      </c>
      <c r="R1240" s="3" t="s">
        <v>58</v>
      </c>
      <c r="S1240">
        <f>COUNTIF(A:A,A1240)</f>
        <v>1</v>
      </c>
      <c r="T1240" t="str">
        <f>IF(OR(H1240="",LOWER(TRIM(H1240&amp;""))="missing",LOWER(TRIM(H1240&amp;""))=""),"Missing/",IFERROR(IF(OR(VALUE(H1240)&lt;0,VALUE(H1240)&gt;110),"Invalid","Valid"),"Check Format"))</f>
        <v>Valid</v>
      </c>
      <c r="U1240">
        <f>IF(Raw_Data[[#This Row],[Age_Check]]="Valid",H1240,"")</f>
        <v>47</v>
      </c>
      <c r="V1240" t="str">
        <f>IF(OR(K1240="",UPPER(TRIM(K1240&amp;""))="",LOWER(TRIM(K1240&amp;""))="",LOWER(TRIM(K1240&amp;""))="",LOWER(TRIM(K1240&amp;""))="missing"),"Missing/",IFERROR(IF(VALUE(K1240)&lt;0,"Invalid","Valid"),"Check Format"))</f>
        <v>Valid</v>
      </c>
      <c r="W1240" t="str">
        <f>IF(OR(E1240="",F1240=""),"Missing Date/Time",IFERROR(IF(F1240&gt;E1240,"Arrival After Appointment","OK"),"Check Format"))</f>
        <v>OK</v>
      </c>
      <c r="X1240" t="str">
        <f>IF(OR(F1240="",G1240=""),"Missing Date/Time",IFERROR(IF(G1240&lt;F1240,"Discharge Before Arrival","OK"),"Check Format"))</f>
        <v>OK</v>
      </c>
    </row>
    <row r="1241" spans="1:24" x14ac:dyDescent="0.25">
      <c r="A1241" s="2" t="s">
        <v>1913</v>
      </c>
      <c r="B1241" s="2" t="s">
        <v>1914</v>
      </c>
      <c r="C1241" s="3" t="s">
        <v>29</v>
      </c>
      <c r="D1241" s="3" t="s">
        <v>99</v>
      </c>
      <c r="E1241" s="4">
        <v>45626.333333333336</v>
      </c>
      <c r="F1241" s="4">
        <v>45626.322916666664</v>
      </c>
      <c r="I1241" s="3" t="s">
        <v>95</v>
      </c>
      <c r="J1241" s="3" t="s">
        <v>62</v>
      </c>
      <c r="K1241" s="5">
        <v>73</v>
      </c>
      <c r="L1241" s="5">
        <v>17</v>
      </c>
      <c r="M1241" s="3" t="s">
        <v>63</v>
      </c>
      <c r="N1241" t="s">
        <v>69</v>
      </c>
      <c r="P1241" s="3" t="s">
        <v>80</v>
      </c>
      <c r="Q1241" s="2">
        <v>156.94999999999999</v>
      </c>
      <c r="R1241" s="3" t="s">
        <v>58</v>
      </c>
      <c r="S1241">
        <f>COUNTIF(A:A,A1241)</f>
        <v>1</v>
      </c>
      <c r="T1241" t="str">
        <f>IF(OR(H1241="",LOWER(TRIM(H1241&amp;""))="missing",LOWER(TRIM(H1241&amp;""))=""),"Missing/",IFERROR(IF(OR(VALUE(H1241)&lt;0,VALUE(H1241)&gt;110),"Invalid","Valid"),"Check Format"))</f>
        <v>Missing/</v>
      </c>
      <c r="U1241" t="str">
        <f>IF(Raw_Data[[#This Row],[Age_Check]]="Valid",H1241,"")</f>
        <v/>
      </c>
      <c r="V1241" t="str">
        <f>IF(OR(K1241="",UPPER(TRIM(K1241&amp;""))="",LOWER(TRIM(K1241&amp;""))="",LOWER(TRIM(K1241&amp;""))="",LOWER(TRIM(K1241&amp;""))="missing"),"Missing/",IFERROR(IF(VALUE(K1241)&lt;0,"Invalid","Valid"),"Check Format"))</f>
        <v>Valid</v>
      </c>
      <c r="W1241" t="str">
        <f>IF(OR(E1241="",F1241=""),"Missing Date/Time",IFERROR(IF(F1241&gt;E1241,"Arrival After Appointment","OK"),"Check Format"))</f>
        <v>OK</v>
      </c>
      <c r="X1241" t="str">
        <f>IF(OR(F1241="",G1241=""),"Missing Date/Time",IFERROR(IF(G1241&lt;F1241,"Discharge Before Arrival","OK"),"Check Format"))</f>
        <v>Missing Date/Time</v>
      </c>
    </row>
    <row r="1242" spans="1:24" x14ac:dyDescent="0.25">
      <c r="A1242" s="2" t="s">
        <v>1915</v>
      </c>
      <c r="B1242" s="2" t="s">
        <v>331</v>
      </c>
      <c r="C1242" s="3" t="s">
        <v>19</v>
      </c>
      <c r="D1242" s="3" t="s">
        <v>115</v>
      </c>
      <c r="E1242" s="4">
        <v>45381.392361111109</v>
      </c>
      <c r="F1242" s="4">
        <v>45381.373611111114</v>
      </c>
      <c r="G1242" s="4">
        <v>45381.463194444441</v>
      </c>
      <c r="H1242" s="5">
        <v>93</v>
      </c>
      <c r="I1242" s="3" t="s">
        <v>39</v>
      </c>
      <c r="J1242" s="3" t="s">
        <v>2639</v>
      </c>
      <c r="K1242" s="5">
        <v>70</v>
      </c>
      <c r="L1242" s="5">
        <v>32</v>
      </c>
      <c r="M1242" s="3" t="s">
        <v>50</v>
      </c>
      <c r="N1242" t="s">
        <v>103</v>
      </c>
      <c r="O1242" s="5">
        <v>5</v>
      </c>
      <c r="P1242" s="3" t="s">
        <v>25</v>
      </c>
      <c r="Q1242" s="2">
        <v>0</v>
      </c>
      <c r="R1242" s="3" t="s">
        <v>58</v>
      </c>
      <c r="S1242">
        <f>COUNTIF(A:A,A1242)</f>
        <v>1</v>
      </c>
      <c r="T1242" t="str">
        <f>IF(OR(H1242="",LOWER(TRIM(H1242&amp;""))="missing",LOWER(TRIM(H1242&amp;""))=""),"Missing/",IFERROR(IF(OR(VALUE(H1242)&lt;0,VALUE(H1242)&gt;110),"Invalid","Valid"),"Check Format"))</f>
        <v>Valid</v>
      </c>
      <c r="U1242">
        <f>IF(Raw_Data[[#This Row],[Age_Check]]="Valid",H1242,"")</f>
        <v>93</v>
      </c>
      <c r="V1242" t="str">
        <f>IF(OR(K1242="",UPPER(TRIM(K1242&amp;""))="",LOWER(TRIM(K1242&amp;""))="",LOWER(TRIM(K1242&amp;""))="",LOWER(TRIM(K1242&amp;""))="missing"),"Missing/",IFERROR(IF(VALUE(K1242)&lt;0,"Invalid","Valid"),"Check Format"))</f>
        <v>Valid</v>
      </c>
      <c r="W1242" t="str">
        <f>IF(OR(E1242="",F1242=""),"Missing Date/Time",IFERROR(IF(F1242&gt;E1242,"Arrival After Appointment","OK"),"Check Format"))</f>
        <v>OK</v>
      </c>
      <c r="X1242" t="str">
        <f>IF(OR(F1242="",G1242=""),"Missing Date/Time",IFERROR(IF(G1242&lt;F1242,"Discharge Before Arrival","OK"),"Check Format"))</f>
        <v>OK</v>
      </c>
    </row>
    <row r="1243" spans="1:24" x14ac:dyDescent="0.25">
      <c r="A1243" s="2" t="s">
        <v>1916</v>
      </c>
      <c r="B1243" s="2" t="s">
        <v>298</v>
      </c>
      <c r="C1243" s="3" t="s">
        <v>37</v>
      </c>
      <c r="D1243" s="3" t="s">
        <v>209</v>
      </c>
      <c r="E1243" s="4">
        <v>45613.524305555555</v>
      </c>
      <c r="F1243" s="4">
        <v>45613.513194444444</v>
      </c>
      <c r="G1243" s="4">
        <v>45613.617361111108</v>
      </c>
      <c r="I1243" s="3" t="s">
        <v>73</v>
      </c>
      <c r="J1243" s="3" t="s">
        <v>62</v>
      </c>
      <c r="K1243" s="5">
        <v>63</v>
      </c>
      <c r="L1243" s="5">
        <v>71</v>
      </c>
      <c r="M1243" s="3" t="s">
        <v>87</v>
      </c>
      <c r="N1243" t="s">
        <v>69</v>
      </c>
      <c r="O1243" s="5">
        <v>4</v>
      </c>
      <c r="Q1243" s="2">
        <v>116.2</v>
      </c>
      <c r="R1243" s="3" t="s">
        <v>26</v>
      </c>
      <c r="S1243">
        <f>COUNTIF(A:A,A1243)</f>
        <v>1</v>
      </c>
      <c r="T1243" t="str">
        <f>IF(OR(H1243="",LOWER(TRIM(H1243&amp;""))="missing",LOWER(TRIM(H1243&amp;""))=""),"Missing/",IFERROR(IF(OR(VALUE(H1243)&lt;0,VALUE(H1243)&gt;110),"Invalid","Valid"),"Check Format"))</f>
        <v>Missing/</v>
      </c>
      <c r="U1243" t="str">
        <f>IF(Raw_Data[[#This Row],[Age_Check]]="Valid",H1243,"")</f>
        <v/>
      </c>
      <c r="V1243" t="str">
        <f>IF(OR(K1243="",UPPER(TRIM(K1243&amp;""))="",LOWER(TRIM(K1243&amp;""))="",LOWER(TRIM(K1243&amp;""))="",LOWER(TRIM(K1243&amp;""))="missing"),"Missing/",IFERROR(IF(VALUE(K1243)&lt;0,"Invalid","Valid"),"Check Format"))</f>
        <v>Valid</v>
      </c>
      <c r="W1243" t="str">
        <f>IF(OR(E1243="",F1243=""),"Missing Date/Time",IFERROR(IF(F1243&gt;E1243,"Arrival After Appointment","OK"),"Check Format"))</f>
        <v>OK</v>
      </c>
      <c r="X1243" t="str">
        <f>IF(OR(F1243="",G1243=""),"Missing Date/Time",IFERROR(IF(G1243&lt;F1243,"Discharge Before Arrival","OK"),"Check Format"))</f>
        <v>OK</v>
      </c>
    </row>
    <row r="1244" spans="1:24" x14ac:dyDescent="0.25">
      <c r="A1244" s="2" t="s">
        <v>1917</v>
      </c>
      <c r="B1244" s="2" t="s">
        <v>616</v>
      </c>
      <c r="C1244" s="3" t="s">
        <v>19</v>
      </c>
      <c r="D1244" s="3" t="s">
        <v>106</v>
      </c>
      <c r="E1244" s="4">
        <v>45535.506944444445</v>
      </c>
      <c r="F1244" s="4">
        <v>45535.500694444447</v>
      </c>
      <c r="G1244" s="4">
        <v>45535.555555555555</v>
      </c>
      <c r="H1244" s="5">
        <v>145</v>
      </c>
      <c r="I1244" s="3" t="s">
        <v>95</v>
      </c>
      <c r="J1244" s="3" t="s">
        <v>67</v>
      </c>
      <c r="K1244" s="5">
        <v>32</v>
      </c>
      <c r="L1244" s="5">
        <v>38</v>
      </c>
      <c r="M1244" s="3" t="s">
        <v>41</v>
      </c>
      <c r="N1244" t="s">
        <v>69</v>
      </c>
      <c r="O1244" s="5">
        <v>0</v>
      </c>
      <c r="P1244" s="3" t="s">
        <v>25</v>
      </c>
      <c r="Q1244" s="2">
        <v>169.99</v>
      </c>
      <c r="R1244" s="3" t="s">
        <v>43</v>
      </c>
      <c r="S1244">
        <f>COUNTIF(A:A,A1244)</f>
        <v>1</v>
      </c>
      <c r="T1244" t="str">
        <f>IF(OR(H1244="",LOWER(TRIM(H1244&amp;""))="missing",LOWER(TRIM(H1244&amp;""))=""),"Missing/",IFERROR(IF(OR(VALUE(H1244)&lt;0,VALUE(H1244)&gt;110),"Invalid","Valid"),"Check Format"))</f>
        <v>Invalid</v>
      </c>
      <c r="U1244" t="str">
        <f>IF(Raw_Data[[#This Row],[Age_Check]]="Valid",H1244,"")</f>
        <v/>
      </c>
      <c r="V1244" t="str">
        <f>IF(OR(K1244="",UPPER(TRIM(K1244&amp;""))="",LOWER(TRIM(K1244&amp;""))="",LOWER(TRIM(K1244&amp;""))="",LOWER(TRIM(K1244&amp;""))="missing"),"Missing/",IFERROR(IF(VALUE(K1244)&lt;0,"Invalid","Valid"),"Check Format"))</f>
        <v>Valid</v>
      </c>
      <c r="W1244" t="str">
        <f>IF(OR(E1244="",F1244=""),"Missing Date/Time",IFERROR(IF(F1244&gt;E1244,"Arrival After Appointment","OK"),"Check Format"))</f>
        <v>OK</v>
      </c>
      <c r="X1244" t="str">
        <f>IF(OR(F1244="",G1244=""),"Missing Date/Time",IFERROR(IF(G1244&lt;F1244,"Discharge Before Arrival","OK"),"Check Format"))</f>
        <v>OK</v>
      </c>
    </row>
    <row r="1245" spans="1:24" x14ac:dyDescent="0.25">
      <c r="A1245" s="2" t="s">
        <v>1918</v>
      </c>
      <c r="B1245" s="2" t="s">
        <v>1179</v>
      </c>
      <c r="C1245" s="3" t="s">
        <v>94</v>
      </c>
      <c r="D1245" s="3" t="s">
        <v>66</v>
      </c>
      <c r="E1245" s="4">
        <v>45809.329861111109</v>
      </c>
      <c r="F1245" s="4">
        <v>45809.311111111114</v>
      </c>
      <c r="H1245" s="5">
        <v>76</v>
      </c>
      <c r="I1245" s="3" t="s">
        <v>73</v>
      </c>
      <c r="J1245" s="3" t="s">
        <v>67</v>
      </c>
      <c r="K1245" s="5">
        <v>99</v>
      </c>
      <c r="L1245" s="5">
        <v>9</v>
      </c>
      <c r="M1245" s="3" t="s">
        <v>23</v>
      </c>
      <c r="O1245" s="5">
        <v>5</v>
      </c>
      <c r="P1245" s="3" t="s">
        <v>25</v>
      </c>
      <c r="Q1245" s="2">
        <v>203.51</v>
      </c>
      <c r="R1245" s="3" t="s">
        <v>58</v>
      </c>
      <c r="S1245">
        <f>COUNTIF(A:A,A1245)</f>
        <v>1</v>
      </c>
      <c r="T1245" t="str">
        <f>IF(OR(H1245="",LOWER(TRIM(H1245&amp;""))="missing",LOWER(TRIM(H1245&amp;""))=""),"Missing/",IFERROR(IF(OR(VALUE(H1245)&lt;0,VALUE(H1245)&gt;110),"Invalid","Valid"),"Check Format"))</f>
        <v>Valid</v>
      </c>
      <c r="U1245">
        <f>IF(Raw_Data[[#This Row],[Age_Check]]="Valid",H1245,"")</f>
        <v>76</v>
      </c>
      <c r="V1245" t="str">
        <f>IF(OR(K1245="",UPPER(TRIM(K1245&amp;""))="",LOWER(TRIM(K1245&amp;""))="",LOWER(TRIM(K1245&amp;""))="",LOWER(TRIM(K1245&amp;""))="missing"),"Missing/",IFERROR(IF(VALUE(K1245)&lt;0,"Invalid","Valid"),"Check Format"))</f>
        <v>Valid</v>
      </c>
      <c r="W1245" t="str">
        <f>IF(OR(E1245="",F1245=""),"Missing Date/Time",IFERROR(IF(F1245&gt;E1245,"Arrival After Appointment","OK"),"Check Format"))</f>
        <v>OK</v>
      </c>
      <c r="X1245" t="str">
        <f>IF(OR(F1245="",G1245=""),"Missing Date/Time",IFERROR(IF(G1245&lt;F1245,"Discharge Before Arrival","OK"),"Check Format"))</f>
        <v>Missing Date/Time</v>
      </c>
    </row>
    <row r="1246" spans="1:24" x14ac:dyDescent="0.25">
      <c r="A1246" s="2" t="s">
        <v>1919</v>
      </c>
      <c r="B1246" s="2" t="s">
        <v>791</v>
      </c>
      <c r="C1246" s="3" t="s">
        <v>29</v>
      </c>
      <c r="D1246" s="3" t="s">
        <v>174</v>
      </c>
      <c r="E1246" s="4" t="s">
        <v>1920</v>
      </c>
      <c r="F1246" s="4">
        <v>45827.334027777775</v>
      </c>
      <c r="G1246" s="4">
        <v>45827.428472222222</v>
      </c>
      <c r="H1246" s="5">
        <v>44</v>
      </c>
      <c r="K1246" s="5">
        <v>78</v>
      </c>
      <c r="L1246" s="5">
        <v>29</v>
      </c>
      <c r="N1246" t="s">
        <v>91</v>
      </c>
      <c r="O1246" s="5">
        <v>6</v>
      </c>
      <c r="Q1246" s="2">
        <v>172.09</v>
      </c>
      <c r="R1246" s="3" t="s">
        <v>58</v>
      </c>
      <c r="S1246">
        <f>COUNTIF(A:A,A1246)</f>
        <v>1</v>
      </c>
      <c r="T1246" t="str">
        <f>IF(OR(H1246="",LOWER(TRIM(H1246&amp;""))="missing",LOWER(TRIM(H1246&amp;""))=""),"Missing/",IFERROR(IF(OR(VALUE(H1246)&lt;0,VALUE(H1246)&gt;110),"Invalid","Valid"),"Check Format"))</f>
        <v>Valid</v>
      </c>
      <c r="U1246">
        <f>IF(Raw_Data[[#This Row],[Age_Check]]="Valid",H1246,"")</f>
        <v>44</v>
      </c>
      <c r="V1246" t="str">
        <f>IF(OR(K1246="",UPPER(TRIM(K1246&amp;""))="",LOWER(TRIM(K1246&amp;""))="",LOWER(TRIM(K1246&amp;""))="",LOWER(TRIM(K1246&amp;""))="missing"),"Missing/",IFERROR(IF(VALUE(K1246)&lt;0,"Invalid","Valid"),"Check Format"))</f>
        <v>Valid</v>
      </c>
      <c r="W1246" t="str">
        <f>IF(OR(E1246="",F1246=""),"Missing Date/Time",IFERROR(IF(F1246&gt;E1246,"Arrival After Appointment","OK"),"Check Format"))</f>
        <v>OK</v>
      </c>
      <c r="X1246" t="str">
        <f>IF(OR(F1246="",G1246=""),"Missing Date/Time",IFERROR(IF(G1246&lt;F1246,"Discharge Before Arrival","OK"),"Check Format"))</f>
        <v>OK</v>
      </c>
    </row>
    <row r="1247" spans="1:24" x14ac:dyDescent="0.25">
      <c r="A1247" s="2" t="s">
        <v>1921</v>
      </c>
      <c r="B1247" s="2" t="s">
        <v>984</v>
      </c>
      <c r="C1247" s="3" t="s">
        <v>19</v>
      </c>
      <c r="D1247" s="3" t="s">
        <v>106</v>
      </c>
      <c r="E1247" s="4">
        <v>45451.774305555555</v>
      </c>
      <c r="F1247" s="4">
        <v>45451.753472222219</v>
      </c>
      <c r="G1247" s="4">
        <v>45451.87222222222</v>
      </c>
      <c r="I1247" s="3" t="s">
        <v>73</v>
      </c>
      <c r="J1247" s="3" t="s">
        <v>171</v>
      </c>
      <c r="K1247" s="5">
        <v>94</v>
      </c>
      <c r="L1247" s="5">
        <v>47</v>
      </c>
      <c r="M1247" s="3" t="s">
        <v>32</v>
      </c>
      <c r="N1247" t="s">
        <v>24</v>
      </c>
      <c r="P1247" s="3" t="s">
        <v>25</v>
      </c>
      <c r="Q1247" s="2">
        <v>53.56</v>
      </c>
      <c r="R1247" s="3" t="s">
        <v>43</v>
      </c>
      <c r="S1247">
        <f>COUNTIF(A:A,A1247)</f>
        <v>1</v>
      </c>
      <c r="T1247" t="str">
        <f>IF(OR(H1247="",LOWER(TRIM(H1247&amp;""))="missing",LOWER(TRIM(H1247&amp;""))=""),"Missing/",IFERROR(IF(OR(VALUE(H1247)&lt;0,VALUE(H1247)&gt;110),"Invalid","Valid"),"Check Format"))</f>
        <v>Missing/</v>
      </c>
      <c r="U1247" t="str">
        <f>IF(Raw_Data[[#This Row],[Age_Check]]="Valid",H1247,"")</f>
        <v/>
      </c>
      <c r="V1247" t="str">
        <f>IF(OR(K1247="",UPPER(TRIM(K1247&amp;""))="",LOWER(TRIM(K1247&amp;""))="",LOWER(TRIM(K1247&amp;""))="",LOWER(TRIM(K1247&amp;""))="missing"),"Missing/",IFERROR(IF(VALUE(K1247)&lt;0,"Invalid","Valid"),"Check Format"))</f>
        <v>Valid</v>
      </c>
      <c r="W1247" t="str">
        <f>IF(OR(E1247="",F1247=""),"Missing Date/Time",IFERROR(IF(F1247&gt;E1247,"Arrival After Appointment","OK"),"Check Format"))</f>
        <v>OK</v>
      </c>
      <c r="X1247" t="str">
        <f>IF(OR(F1247="",G1247=""),"Missing Date/Time",IFERROR(IF(G1247&lt;F1247,"Discharge Before Arrival","OK"),"Check Format"))</f>
        <v>OK</v>
      </c>
    </row>
    <row r="1248" spans="1:24" x14ac:dyDescent="0.25">
      <c r="A1248" s="2" t="s">
        <v>1922</v>
      </c>
      <c r="B1248" s="2" t="s">
        <v>898</v>
      </c>
      <c r="C1248" s="3" t="s">
        <v>29</v>
      </c>
      <c r="D1248" s="3" t="s">
        <v>149</v>
      </c>
      <c r="E1248" s="4">
        <v>45838.416666666664</v>
      </c>
      <c r="F1248" s="4">
        <v>45838.411111111112</v>
      </c>
      <c r="G1248" s="4">
        <v>45838.49722222222</v>
      </c>
      <c r="H1248" s="5">
        <v>145</v>
      </c>
      <c r="I1248" s="3" t="s">
        <v>73</v>
      </c>
      <c r="J1248" s="3" t="s">
        <v>67</v>
      </c>
      <c r="K1248" s="5">
        <v>86</v>
      </c>
      <c r="L1248" s="5">
        <v>30</v>
      </c>
      <c r="N1248" t="s">
        <v>24</v>
      </c>
      <c r="O1248" s="5">
        <v>0</v>
      </c>
      <c r="P1248" s="3" t="s">
        <v>80</v>
      </c>
      <c r="Q1248" s="2">
        <v>150.83000000000001</v>
      </c>
      <c r="R1248" s="3" t="s">
        <v>58</v>
      </c>
      <c r="S1248">
        <f>COUNTIF(A:A,A1248)</f>
        <v>1</v>
      </c>
      <c r="T1248" t="str">
        <f>IF(OR(H1248="",LOWER(TRIM(H1248&amp;""))="missing",LOWER(TRIM(H1248&amp;""))=""),"Missing/",IFERROR(IF(OR(VALUE(H1248)&lt;0,VALUE(H1248)&gt;110),"Invalid","Valid"),"Check Format"))</f>
        <v>Invalid</v>
      </c>
      <c r="U1248" t="str">
        <f>IF(Raw_Data[[#This Row],[Age_Check]]="Valid",H1248,"")</f>
        <v/>
      </c>
      <c r="V1248" t="str">
        <f>IF(OR(K1248="",UPPER(TRIM(K1248&amp;""))="",LOWER(TRIM(K1248&amp;""))="",LOWER(TRIM(K1248&amp;""))="",LOWER(TRIM(K1248&amp;""))="missing"),"Missing/",IFERROR(IF(VALUE(K1248)&lt;0,"Invalid","Valid"),"Check Format"))</f>
        <v>Valid</v>
      </c>
      <c r="W1248" t="str">
        <f>IF(OR(E1248="",F1248=""),"Missing Date/Time",IFERROR(IF(F1248&gt;E1248,"Arrival After Appointment","OK"),"Check Format"))</f>
        <v>OK</v>
      </c>
      <c r="X1248" t="str">
        <f>IF(OR(F1248="",G1248=""),"Missing Date/Time",IFERROR(IF(G1248&lt;F1248,"Discharge Before Arrival","OK"),"Check Format"))</f>
        <v>OK</v>
      </c>
    </row>
    <row r="1249" spans="1:24" x14ac:dyDescent="0.25">
      <c r="A1249" s="2" t="s">
        <v>1923</v>
      </c>
      <c r="B1249" s="2" t="s">
        <v>357</v>
      </c>
      <c r="C1249" s="3" t="s">
        <v>19</v>
      </c>
      <c r="D1249" s="3" t="s">
        <v>106</v>
      </c>
      <c r="E1249" s="4">
        <v>45719.600694444445</v>
      </c>
      <c r="F1249" s="4">
        <v>45719.593055555553</v>
      </c>
      <c r="G1249" s="4">
        <v>45719.662499999999</v>
      </c>
      <c r="H1249" s="5">
        <v>145</v>
      </c>
      <c r="I1249" s="3" t="s">
        <v>39</v>
      </c>
      <c r="J1249" s="3" t="s">
        <v>62</v>
      </c>
      <c r="K1249" s="5">
        <v>60</v>
      </c>
      <c r="L1249" s="5">
        <v>29</v>
      </c>
      <c r="N1249" t="s">
        <v>24</v>
      </c>
      <c r="O1249" s="5">
        <v>3</v>
      </c>
      <c r="P1249" s="3" t="s">
        <v>25</v>
      </c>
      <c r="R1249" s="3" t="s">
        <v>58</v>
      </c>
      <c r="S1249">
        <f>COUNTIF(A:A,A1249)</f>
        <v>1</v>
      </c>
      <c r="T1249" t="str">
        <f>IF(OR(H1249="",LOWER(TRIM(H1249&amp;""))="missing",LOWER(TRIM(H1249&amp;""))=""),"Missing/",IFERROR(IF(OR(VALUE(H1249)&lt;0,VALUE(H1249)&gt;110),"Invalid","Valid"),"Check Format"))</f>
        <v>Invalid</v>
      </c>
      <c r="U1249" t="str">
        <f>IF(Raw_Data[[#This Row],[Age_Check]]="Valid",H1249,"")</f>
        <v/>
      </c>
      <c r="V1249" t="str">
        <f>IF(OR(K1249="",UPPER(TRIM(K1249&amp;""))="",LOWER(TRIM(K1249&amp;""))="",LOWER(TRIM(K1249&amp;""))="",LOWER(TRIM(K1249&amp;""))="missing"),"Missing/",IFERROR(IF(VALUE(K1249)&lt;0,"Invalid","Valid"),"Check Format"))</f>
        <v>Valid</v>
      </c>
      <c r="W1249" t="str">
        <f>IF(OR(E1249="",F1249=""),"Missing Date/Time",IFERROR(IF(F1249&gt;E1249,"Arrival After Appointment","OK"),"Check Format"))</f>
        <v>OK</v>
      </c>
      <c r="X1249" t="str">
        <f>IF(OR(F1249="",G1249=""),"Missing Date/Time",IFERROR(IF(G1249&lt;F1249,"Discharge Before Arrival","OK"),"Check Format"))</f>
        <v>OK</v>
      </c>
    </row>
    <row r="1250" spans="1:24" x14ac:dyDescent="0.25">
      <c r="A1250" s="2" t="s">
        <v>1924</v>
      </c>
      <c r="B1250" s="2" t="s">
        <v>1359</v>
      </c>
      <c r="C1250" s="3" t="s">
        <v>37</v>
      </c>
      <c r="D1250" s="3" t="s">
        <v>106</v>
      </c>
      <c r="E1250" s="4">
        <v>45353.392361111109</v>
      </c>
      <c r="F1250" s="4">
        <v>45325.381944444445</v>
      </c>
      <c r="G1250" s="4">
        <v>45325.481944444444</v>
      </c>
      <c r="H1250" s="5">
        <v>61</v>
      </c>
      <c r="I1250" s="3" t="s">
        <v>73</v>
      </c>
      <c r="K1250" s="5">
        <v>99</v>
      </c>
      <c r="L1250" s="5">
        <v>30</v>
      </c>
      <c r="M1250" s="3" t="s">
        <v>23</v>
      </c>
      <c r="N1250" t="s">
        <v>69</v>
      </c>
      <c r="O1250" s="5">
        <v>0</v>
      </c>
      <c r="P1250" s="3" t="s">
        <v>25</v>
      </c>
      <c r="Q1250" s="2">
        <v>55.44</v>
      </c>
      <c r="R1250" s="3" t="s">
        <v>43</v>
      </c>
      <c r="S1250">
        <f>COUNTIF(A:A,A1250)</f>
        <v>1</v>
      </c>
      <c r="T1250" t="str">
        <f>IF(OR(H1250="",LOWER(TRIM(H1250&amp;""))="missing",LOWER(TRIM(H1250&amp;""))=""),"Missing/",IFERROR(IF(OR(VALUE(H1250)&lt;0,VALUE(H1250)&gt;110),"Invalid","Valid"),"Check Format"))</f>
        <v>Valid</v>
      </c>
      <c r="U1250">
        <f>IF(Raw_Data[[#This Row],[Age_Check]]="Valid",H1250,"")</f>
        <v>61</v>
      </c>
      <c r="V1250" t="str">
        <f>IF(OR(K1250="",UPPER(TRIM(K1250&amp;""))="",LOWER(TRIM(K1250&amp;""))="",LOWER(TRIM(K1250&amp;""))="",LOWER(TRIM(K1250&amp;""))="missing"),"Missing/",IFERROR(IF(VALUE(K1250)&lt;0,"Invalid","Valid"),"Check Format"))</f>
        <v>Valid</v>
      </c>
      <c r="W1250" t="str">
        <f>IF(OR(E1250="",F1250=""),"Missing Date/Time",IFERROR(IF(F1250&gt;E1250,"Arrival After Appointment","OK"),"Check Format"))</f>
        <v>OK</v>
      </c>
      <c r="X1250" t="str">
        <f>IF(OR(F1250="",G1250=""),"Missing Date/Time",IFERROR(IF(G1250&lt;F1250,"Discharge Before Arrival","OK"),"Check Format"))</f>
        <v>OK</v>
      </c>
    </row>
    <row r="1251" spans="1:24" x14ac:dyDescent="0.25">
      <c r="A1251" s="2" t="s">
        <v>1925</v>
      </c>
      <c r="B1251" s="2" t="s">
        <v>437</v>
      </c>
      <c r="C1251" s="3" t="s">
        <v>46</v>
      </c>
      <c r="D1251" s="3" t="s">
        <v>106</v>
      </c>
      <c r="E1251" s="4">
        <v>45784.715277777781</v>
      </c>
      <c r="F1251" s="4">
        <v>45784.707638888889</v>
      </c>
      <c r="G1251" s="4">
        <v>45784.770138888889</v>
      </c>
      <c r="I1251" s="3" t="s">
        <v>95</v>
      </c>
      <c r="J1251" s="3" t="s">
        <v>67</v>
      </c>
      <c r="K1251" s="5">
        <v>44</v>
      </c>
      <c r="L1251" s="5">
        <v>35</v>
      </c>
      <c r="M1251" s="3" t="s">
        <v>87</v>
      </c>
      <c r="N1251" t="s">
        <v>91</v>
      </c>
      <c r="O1251" s="5">
        <v>3</v>
      </c>
      <c r="P1251" s="3" t="s">
        <v>25</v>
      </c>
      <c r="Q1251" s="2">
        <v>243.34</v>
      </c>
      <c r="R1251" s="3" t="s">
        <v>58</v>
      </c>
      <c r="S1251">
        <f>COUNTIF(A:A,A1251)</f>
        <v>1</v>
      </c>
      <c r="T1251" t="str">
        <f>IF(OR(H1251="",LOWER(TRIM(H1251&amp;""))="missing",LOWER(TRIM(H1251&amp;""))=""),"Missing/",IFERROR(IF(OR(VALUE(H1251)&lt;0,VALUE(H1251)&gt;110),"Invalid","Valid"),"Check Format"))</f>
        <v>Missing/</v>
      </c>
      <c r="U1251" t="str">
        <f>IF(Raw_Data[[#This Row],[Age_Check]]="Valid",H1251,"")</f>
        <v/>
      </c>
      <c r="V1251" t="str">
        <f>IF(OR(K1251="",UPPER(TRIM(K1251&amp;""))="",LOWER(TRIM(K1251&amp;""))="",LOWER(TRIM(K1251&amp;""))="",LOWER(TRIM(K1251&amp;""))="missing"),"Missing/",IFERROR(IF(VALUE(K1251)&lt;0,"Invalid","Valid"),"Check Format"))</f>
        <v>Valid</v>
      </c>
      <c r="W1251" t="str">
        <f>IF(OR(E1251="",F1251=""),"Missing Date/Time",IFERROR(IF(F1251&gt;E1251,"Arrival After Appointment","OK"),"Check Format"))</f>
        <v>OK</v>
      </c>
      <c r="X1251" t="str">
        <f>IF(OR(F1251="",G1251=""),"Missing Date/Time",IFERROR(IF(G1251&lt;F1251,"Discharge Before Arrival","OK"),"Check Format"))</f>
        <v>OK</v>
      </c>
    </row>
    <row r="1252" spans="1:24" x14ac:dyDescent="0.25">
      <c r="A1252" s="2" t="s">
        <v>1926</v>
      </c>
      <c r="B1252" s="2" t="s">
        <v>1867</v>
      </c>
      <c r="D1252" s="3" t="s">
        <v>47</v>
      </c>
      <c r="E1252" s="4">
        <v>45505.690972222219</v>
      </c>
      <c r="F1252" s="4">
        <v>45505.682638888888</v>
      </c>
      <c r="H1252" s="5">
        <v>1</v>
      </c>
      <c r="I1252" s="3" t="s">
        <v>90</v>
      </c>
      <c r="J1252" s="3" t="s">
        <v>67</v>
      </c>
      <c r="K1252" s="5">
        <v>79</v>
      </c>
      <c r="L1252" s="5">
        <v>16</v>
      </c>
      <c r="M1252" s="3" t="s">
        <v>50</v>
      </c>
      <c r="O1252" s="5">
        <v>2</v>
      </c>
      <c r="P1252" s="3" t="s">
        <v>25</v>
      </c>
      <c r="Q1252" s="2">
        <v>343.82</v>
      </c>
      <c r="R1252" s="3" t="s">
        <v>75</v>
      </c>
      <c r="S1252">
        <f>COUNTIF(A:A,A1252)</f>
        <v>1</v>
      </c>
      <c r="T1252" t="str">
        <f>IF(OR(H1252="",LOWER(TRIM(H1252&amp;""))="missing",LOWER(TRIM(H1252&amp;""))=""),"Missing/",IFERROR(IF(OR(VALUE(H1252)&lt;0,VALUE(H1252)&gt;110),"Invalid","Valid"),"Check Format"))</f>
        <v>Valid</v>
      </c>
      <c r="U1252">
        <f>IF(Raw_Data[[#This Row],[Age_Check]]="Valid",H1252,"")</f>
        <v>1</v>
      </c>
      <c r="V1252" t="str">
        <f>IF(OR(K1252="",UPPER(TRIM(K1252&amp;""))="",LOWER(TRIM(K1252&amp;""))="",LOWER(TRIM(K1252&amp;""))="",LOWER(TRIM(K1252&amp;""))="missing"),"Missing/",IFERROR(IF(VALUE(K1252)&lt;0,"Invalid","Valid"),"Check Format"))</f>
        <v>Valid</v>
      </c>
      <c r="W1252" t="str">
        <f>IF(OR(E1252="",F1252=""),"Missing Date/Time",IFERROR(IF(F1252&gt;E1252,"Arrival After Appointment","OK"),"Check Format"))</f>
        <v>OK</v>
      </c>
      <c r="X1252" t="str">
        <f>IF(OR(F1252="",G1252=""),"Missing Date/Time",IFERROR(IF(G1252&lt;F1252,"Discharge Before Arrival","OK"),"Check Format"))</f>
        <v>Missing Date/Time</v>
      </c>
    </row>
    <row r="1253" spans="1:24" x14ac:dyDescent="0.25">
      <c r="A1253" s="2" t="s">
        <v>1927</v>
      </c>
      <c r="B1253" s="2" t="s">
        <v>1026</v>
      </c>
      <c r="C1253" s="3" t="s">
        <v>94</v>
      </c>
      <c r="D1253" s="3" t="s">
        <v>66</v>
      </c>
      <c r="E1253" s="4">
        <v>45523.315972222219</v>
      </c>
      <c r="F1253" s="4">
        <v>45523.310416666667</v>
      </c>
      <c r="G1253" s="4">
        <v>45523.4</v>
      </c>
      <c r="H1253" s="5">
        <v>145</v>
      </c>
      <c r="J1253" s="3" t="s">
        <v>22</v>
      </c>
      <c r="K1253" s="5">
        <v>67</v>
      </c>
      <c r="L1253" s="5">
        <v>54</v>
      </c>
      <c r="M1253" s="3" t="s">
        <v>32</v>
      </c>
      <c r="N1253" t="s">
        <v>24</v>
      </c>
      <c r="O1253" s="5">
        <v>6</v>
      </c>
      <c r="P1253" s="3" t="s">
        <v>25</v>
      </c>
      <c r="Q1253" s="2">
        <v>132.86000000000001</v>
      </c>
      <c r="R1253" s="3" t="s">
        <v>43</v>
      </c>
      <c r="S1253">
        <f>COUNTIF(A:A,A1253)</f>
        <v>1</v>
      </c>
      <c r="T1253" t="str">
        <f>IF(OR(H1253="",LOWER(TRIM(H1253&amp;""))="missing",LOWER(TRIM(H1253&amp;""))=""),"Missing/",IFERROR(IF(OR(VALUE(H1253)&lt;0,VALUE(H1253)&gt;110),"Invalid","Valid"),"Check Format"))</f>
        <v>Invalid</v>
      </c>
      <c r="U1253" t="str">
        <f>IF(Raw_Data[[#This Row],[Age_Check]]="Valid",H1253,"")</f>
        <v/>
      </c>
      <c r="V1253" t="str">
        <f>IF(OR(K1253="",UPPER(TRIM(K1253&amp;""))="",LOWER(TRIM(K1253&amp;""))="",LOWER(TRIM(K1253&amp;""))="",LOWER(TRIM(K1253&amp;""))="missing"),"Missing/",IFERROR(IF(VALUE(K1253)&lt;0,"Invalid","Valid"),"Check Format"))</f>
        <v>Valid</v>
      </c>
      <c r="W1253" t="str">
        <f>IF(OR(E1253="",F1253=""),"Missing Date/Time",IFERROR(IF(F1253&gt;E1253,"Arrival After Appointment","OK"),"Check Format"))</f>
        <v>OK</v>
      </c>
      <c r="X1253" t="str">
        <f>IF(OR(F1253="",G1253=""),"Missing Date/Time",IFERROR(IF(G1253&lt;F1253,"Discharge Before Arrival","OK"),"Check Format"))</f>
        <v>OK</v>
      </c>
    </row>
    <row r="1254" spans="1:24" x14ac:dyDescent="0.25">
      <c r="A1254" s="2" t="s">
        <v>1928</v>
      </c>
      <c r="B1254" s="2" t="s">
        <v>556</v>
      </c>
      <c r="C1254" s="3" t="s">
        <v>94</v>
      </c>
      <c r="D1254" s="3" t="s">
        <v>55</v>
      </c>
      <c r="E1254" s="4">
        <v>45939.541666666664</v>
      </c>
      <c r="F1254" s="4">
        <v>45939.520833333336</v>
      </c>
      <c r="G1254" s="4">
        <v>45939.627083333333</v>
      </c>
      <c r="I1254" s="3" t="s">
        <v>73</v>
      </c>
      <c r="J1254" s="3" t="s">
        <v>67</v>
      </c>
      <c r="K1254" s="5">
        <v>76</v>
      </c>
      <c r="L1254" s="5">
        <v>47</v>
      </c>
      <c r="M1254" s="3" t="s">
        <v>32</v>
      </c>
      <c r="N1254" t="s">
        <v>100</v>
      </c>
      <c r="O1254" s="5">
        <v>2</v>
      </c>
      <c r="P1254" s="3" t="s">
        <v>42</v>
      </c>
      <c r="Q1254" s="2">
        <v>242.46</v>
      </c>
      <c r="R1254" s="3" t="s">
        <v>26</v>
      </c>
      <c r="S1254">
        <f>COUNTIF(A:A,A1254)</f>
        <v>1</v>
      </c>
      <c r="T1254" t="str">
        <f>IF(OR(H1254="",LOWER(TRIM(H1254&amp;""))="missing",LOWER(TRIM(H1254&amp;""))=""),"Missing/",IFERROR(IF(OR(VALUE(H1254)&lt;0,VALUE(H1254)&gt;110),"Invalid","Valid"),"Check Format"))</f>
        <v>Missing/</v>
      </c>
      <c r="U1254" t="str">
        <f>IF(Raw_Data[[#This Row],[Age_Check]]="Valid",H1254,"")</f>
        <v/>
      </c>
      <c r="V1254" t="str">
        <f>IF(OR(K1254="",UPPER(TRIM(K1254&amp;""))="",LOWER(TRIM(K1254&amp;""))="",LOWER(TRIM(K1254&amp;""))="",LOWER(TRIM(K1254&amp;""))="missing"),"Missing/",IFERROR(IF(VALUE(K1254)&lt;0,"Invalid","Valid"),"Check Format"))</f>
        <v>Valid</v>
      </c>
      <c r="W1254" t="str">
        <f>IF(OR(E1254="",F1254=""),"Missing Date/Time",IFERROR(IF(F1254&gt;E1254,"Arrival After Appointment","OK"),"Check Format"))</f>
        <v>OK</v>
      </c>
      <c r="X1254" t="str">
        <f>IF(OR(F1254="",G1254=""),"Missing Date/Time",IFERROR(IF(G1254&lt;F1254,"Discharge Before Arrival","OK"),"Check Format"))</f>
        <v>OK</v>
      </c>
    </row>
    <row r="1255" spans="1:24" x14ac:dyDescent="0.25">
      <c r="A1255" s="2" t="s">
        <v>1929</v>
      </c>
      <c r="B1255" s="2" t="s">
        <v>547</v>
      </c>
      <c r="C1255" s="3" t="s">
        <v>94</v>
      </c>
      <c r="D1255" s="3" t="s">
        <v>209</v>
      </c>
      <c r="E1255" s="4">
        <v>45820.715277777781</v>
      </c>
      <c r="F1255" s="4">
        <v>45820.714583333334</v>
      </c>
      <c r="G1255" s="4">
        <v>45820.813888888886</v>
      </c>
      <c r="H1255" s="5">
        <v>23</v>
      </c>
      <c r="K1255" s="5">
        <v>95</v>
      </c>
      <c r="L1255" s="5">
        <v>47</v>
      </c>
      <c r="M1255" s="3" t="s">
        <v>68</v>
      </c>
      <c r="N1255" t="s">
        <v>24</v>
      </c>
      <c r="Q1255" s="2">
        <v>119.79</v>
      </c>
      <c r="R1255" s="3" t="s">
        <v>26</v>
      </c>
      <c r="S1255">
        <f>COUNTIF(A:A,A1255)</f>
        <v>1</v>
      </c>
      <c r="T1255" t="str">
        <f>IF(OR(H1255="",LOWER(TRIM(H1255&amp;""))="missing",LOWER(TRIM(H1255&amp;""))=""),"Missing/",IFERROR(IF(OR(VALUE(H1255)&lt;0,VALUE(H1255)&gt;110),"Invalid","Valid"),"Check Format"))</f>
        <v>Valid</v>
      </c>
      <c r="U1255">
        <f>IF(Raw_Data[[#This Row],[Age_Check]]="Valid",H1255,"")</f>
        <v>23</v>
      </c>
      <c r="V1255" t="str">
        <f>IF(OR(K1255="",UPPER(TRIM(K1255&amp;""))="",LOWER(TRIM(K1255&amp;""))="",LOWER(TRIM(K1255&amp;""))="",LOWER(TRIM(K1255&amp;""))="missing"),"Missing/",IFERROR(IF(VALUE(K1255)&lt;0,"Invalid","Valid"),"Check Format"))</f>
        <v>Valid</v>
      </c>
      <c r="W1255" t="str">
        <f>IF(OR(E1255="",F1255=""),"Missing Date/Time",IFERROR(IF(F1255&gt;E1255,"Arrival After Appointment","OK"),"Check Format"))</f>
        <v>OK</v>
      </c>
      <c r="X1255" t="str">
        <f>IF(OR(F1255="",G1255=""),"Missing Date/Time",IFERROR(IF(G1255&lt;F1255,"Discharge Before Arrival","OK"),"Check Format"))</f>
        <v>OK</v>
      </c>
    </row>
    <row r="1256" spans="1:24" x14ac:dyDescent="0.25">
      <c r="A1256" s="2" t="s">
        <v>1930</v>
      </c>
      <c r="B1256" s="2" t="s">
        <v>749</v>
      </c>
      <c r="C1256" s="3" t="s">
        <v>46</v>
      </c>
      <c r="D1256" s="3" t="s">
        <v>174</v>
      </c>
      <c r="E1256" s="4">
        <v>45718.350694444445</v>
      </c>
      <c r="F1256" s="4">
        <v>45718.347916666666</v>
      </c>
      <c r="J1256" s="3" t="s">
        <v>171</v>
      </c>
      <c r="K1256" s="5">
        <v>37</v>
      </c>
      <c r="L1256" s="5">
        <v>37</v>
      </c>
      <c r="M1256" s="3" t="s">
        <v>68</v>
      </c>
      <c r="N1256" t="s">
        <v>103</v>
      </c>
      <c r="O1256" s="5">
        <v>0</v>
      </c>
      <c r="P1256" s="3" t="s">
        <v>80</v>
      </c>
      <c r="Q1256" s="2">
        <v>219.65</v>
      </c>
      <c r="R1256" s="3" t="s">
        <v>43</v>
      </c>
      <c r="S1256">
        <f>COUNTIF(A:A,A1256)</f>
        <v>1</v>
      </c>
      <c r="T1256" t="str">
        <f>IF(OR(H1256="",LOWER(TRIM(H1256&amp;""))="missing",LOWER(TRIM(H1256&amp;""))=""),"Missing/",IFERROR(IF(OR(VALUE(H1256)&lt;0,VALUE(H1256)&gt;110),"Invalid","Valid"),"Check Format"))</f>
        <v>Missing/</v>
      </c>
      <c r="U1256" t="str">
        <f>IF(Raw_Data[[#This Row],[Age_Check]]="Valid",H1256,"")</f>
        <v/>
      </c>
      <c r="V1256" t="str">
        <f>IF(OR(K1256="",UPPER(TRIM(K1256&amp;""))="",LOWER(TRIM(K1256&amp;""))="",LOWER(TRIM(K1256&amp;""))="",LOWER(TRIM(K1256&amp;""))="missing"),"Missing/",IFERROR(IF(VALUE(K1256)&lt;0,"Invalid","Valid"),"Check Format"))</f>
        <v>Valid</v>
      </c>
      <c r="W1256" t="str">
        <f>IF(OR(E1256="",F1256=""),"Missing Date/Time",IFERROR(IF(F1256&gt;E1256,"Arrival After Appointment","OK"),"Check Format"))</f>
        <v>OK</v>
      </c>
      <c r="X1256" t="str">
        <f>IF(OR(F1256="",G1256=""),"Missing Date/Time",IFERROR(IF(G1256&lt;F1256,"Discharge Before Arrival","OK"),"Check Format"))</f>
        <v>Missing Date/Time</v>
      </c>
    </row>
    <row r="1257" spans="1:24" x14ac:dyDescent="0.25">
      <c r="A1257" s="2" t="s">
        <v>1931</v>
      </c>
      <c r="B1257" s="2" t="s">
        <v>1485</v>
      </c>
      <c r="C1257" s="3" t="s">
        <v>94</v>
      </c>
      <c r="D1257" s="3" t="s">
        <v>106</v>
      </c>
      <c r="E1257" s="4">
        <v>45667.302083333336</v>
      </c>
      <c r="F1257" s="4">
        <v>45667.293749999997</v>
      </c>
      <c r="G1257" s="4">
        <v>45667.37222222222</v>
      </c>
      <c r="H1257" s="5">
        <v>15</v>
      </c>
      <c r="J1257" s="3" t="s">
        <v>62</v>
      </c>
      <c r="K1257" s="5">
        <v>50</v>
      </c>
      <c r="L1257" s="5">
        <v>51</v>
      </c>
      <c r="M1257" s="3" t="s">
        <v>50</v>
      </c>
      <c r="O1257" s="5">
        <v>0</v>
      </c>
      <c r="P1257" s="3" t="s">
        <v>25</v>
      </c>
      <c r="R1257" s="3" t="s">
        <v>58</v>
      </c>
      <c r="S1257">
        <f>COUNTIF(A:A,A1257)</f>
        <v>1</v>
      </c>
      <c r="T1257" t="str">
        <f>IF(OR(H1257="",LOWER(TRIM(H1257&amp;""))="missing",LOWER(TRIM(H1257&amp;""))=""),"Missing/",IFERROR(IF(OR(VALUE(H1257)&lt;0,VALUE(H1257)&gt;110),"Invalid","Valid"),"Check Format"))</f>
        <v>Valid</v>
      </c>
      <c r="U1257">
        <f>IF(Raw_Data[[#This Row],[Age_Check]]="Valid",H1257,"")</f>
        <v>15</v>
      </c>
      <c r="V1257" t="str">
        <f>IF(OR(K1257="",UPPER(TRIM(K1257&amp;""))="",LOWER(TRIM(K1257&amp;""))="",LOWER(TRIM(K1257&amp;""))="",LOWER(TRIM(K1257&amp;""))="missing"),"Missing/",IFERROR(IF(VALUE(K1257)&lt;0,"Invalid","Valid"),"Check Format"))</f>
        <v>Valid</v>
      </c>
      <c r="W1257" t="str">
        <f>IF(OR(E1257="",F1257=""),"Missing Date/Time",IFERROR(IF(F1257&gt;E1257,"Arrival After Appointment","OK"),"Check Format"))</f>
        <v>OK</v>
      </c>
      <c r="X1257" t="str">
        <f>IF(OR(F1257="",G1257=""),"Missing Date/Time",IFERROR(IF(G1257&lt;F1257,"Discharge Before Arrival","OK"),"Check Format"))</f>
        <v>OK</v>
      </c>
    </row>
    <row r="1258" spans="1:24" x14ac:dyDescent="0.25">
      <c r="A1258" s="2" t="s">
        <v>1932</v>
      </c>
      <c r="B1258" s="2" t="s">
        <v>1933</v>
      </c>
      <c r="C1258" s="3" t="s">
        <v>94</v>
      </c>
      <c r="D1258" s="3" t="s">
        <v>106</v>
      </c>
      <c r="E1258" s="4">
        <v>45873.753472222219</v>
      </c>
      <c r="F1258" s="4">
        <v>45873.738888888889</v>
      </c>
      <c r="G1258" s="4">
        <v>45873.838888888888</v>
      </c>
      <c r="I1258" s="3" t="s">
        <v>95</v>
      </c>
      <c r="J1258" s="3" t="s">
        <v>62</v>
      </c>
      <c r="K1258" s="5">
        <v>108</v>
      </c>
      <c r="L1258" s="5">
        <v>15</v>
      </c>
      <c r="M1258" s="3" t="s">
        <v>50</v>
      </c>
      <c r="N1258" t="s">
        <v>103</v>
      </c>
      <c r="O1258" s="5">
        <v>1</v>
      </c>
      <c r="P1258" s="3" t="s">
        <v>25</v>
      </c>
      <c r="Q1258" s="2">
        <v>78.05</v>
      </c>
      <c r="R1258" s="3" t="s">
        <v>58</v>
      </c>
      <c r="S1258">
        <f>COUNTIF(A:A,A1258)</f>
        <v>1</v>
      </c>
      <c r="T1258" t="str">
        <f>IF(OR(H1258="",LOWER(TRIM(H1258&amp;""))="missing",LOWER(TRIM(H1258&amp;""))=""),"Missing/",IFERROR(IF(OR(VALUE(H1258)&lt;0,VALUE(H1258)&gt;110),"Invalid","Valid"),"Check Format"))</f>
        <v>Missing/</v>
      </c>
      <c r="U1258" t="str">
        <f>IF(Raw_Data[[#This Row],[Age_Check]]="Valid",H1258,"")</f>
        <v/>
      </c>
      <c r="V1258" t="str">
        <f>IF(OR(K1258="",UPPER(TRIM(K1258&amp;""))="",LOWER(TRIM(K1258&amp;""))="",LOWER(TRIM(K1258&amp;""))="",LOWER(TRIM(K1258&amp;""))="missing"),"Missing/",IFERROR(IF(VALUE(K1258)&lt;0,"Invalid","Valid"),"Check Format"))</f>
        <v>Valid</v>
      </c>
      <c r="W1258" t="str">
        <f>IF(OR(E1258="",F1258=""),"Missing Date/Time",IFERROR(IF(F1258&gt;E1258,"Arrival After Appointment","OK"),"Check Format"))</f>
        <v>OK</v>
      </c>
      <c r="X1258" t="str">
        <f>IF(OR(F1258="",G1258=""),"Missing Date/Time",IFERROR(IF(G1258&lt;F1258,"Discharge Before Arrival","OK"),"Check Format"))</f>
        <v>OK</v>
      </c>
    </row>
    <row r="1259" spans="1:24" x14ac:dyDescent="0.25">
      <c r="A1259" s="2" t="s">
        <v>1934</v>
      </c>
      <c r="B1259" s="2" t="s">
        <v>966</v>
      </c>
      <c r="C1259" s="3" t="s">
        <v>37</v>
      </c>
      <c r="D1259" s="3" t="s">
        <v>23</v>
      </c>
      <c r="E1259" s="4" t="s">
        <v>1935</v>
      </c>
      <c r="F1259" s="4">
        <v>45867.697916666664</v>
      </c>
      <c r="H1259" s="5">
        <v>75</v>
      </c>
      <c r="I1259" s="3" t="s">
        <v>90</v>
      </c>
      <c r="J1259" s="3" t="s">
        <v>22</v>
      </c>
      <c r="K1259" s="5">
        <v>53</v>
      </c>
      <c r="L1259" s="5">
        <v>37</v>
      </c>
      <c r="M1259" s="3" t="s">
        <v>63</v>
      </c>
      <c r="N1259" t="s">
        <v>24</v>
      </c>
      <c r="P1259" s="3" t="s">
        <v>80</v>
      </c>
      <c r="R1259" s="3" t="s">
        <v>75</v>
      </c>
      <c r="S1259">
        <f>COUNTIF(A:A,A1259)</f>
        <v>1</v>
      </c>
      <c r="T1259" t="str">
        <f>IF(OR(H1259="",LOWER(TRIM(H1259&amp;""))="missing",LOWER(TRIM(H1259&amp;""))=""),"Missing/",IFERROR(IF(OR(VALUE(H1259)&lt;0,VALUE(H1259)&gt;110),"Invalid","Valid"),"Check Format"))</f>
        <v>Valid</v>
      </c>
      <c r="U1259">
        <f>IF(Raw_Data[[#This Row],[Age_Check]]="Valid",H1259,"")</f>
        <v>75</v>
      </c>
      <c r="V1259" t="str">
        <f>IF(OR(K1259="",UPPER(TRIM(K1259&amp;""))="",LOWER(TRIM(K1259&amp;""))="",LOWER(TRIM(K1259&amp;""))="",LOWER(TRIM(K1259&amp;""))="missing"),"Missing/",IFERROR(IF(VALUE(K1259)&lt;0,"Invalid","Valid"),"Check Format"))</f>
        <v>Valid</v>
      </c>
      <c r="W1259" t="str">
        <f>IF(OR(E1259="",F1259=""),"Missing Date/Time",IFERROR(IF(F1259&gt;E1259,"Arrival After Appointment","OK"),"Check Format"))</f>
        <v>OK</v>
      </c>
      <c r="X1259" t="str">
        <f>IF(OR(F1259="",G1259=""),"Missing Date/Time",IFERROR(IF(G1259&lt;F1259,"Discharge Before Arrival","OK"),"Check Format"))</f>
        <v>Missing Date/Time</v>
      </c>
    </row>
    <row r="1260" spans="1:24" x14ac:dyDescent="0.25">
      <c r="A1260" s="2" t="s">
        <v>1936</v>
      </c>
      <c r="B1260" s="2" t="s">
        <v>1304</v>
      </c>
      <c r="C1260" s="3" t="s">
        <v>37</v>
      </c>
      <c r="D1260" s="3" t="s">
        <v>174</v>
      </c>
      <c r="E1260" s="4">
        <v>45756.347222222219</v>
      </c>
      <c r="F1260" s="4">
        <v>45756.329861111109</v>
      </c>
      <c r="G1260" s="4">
        <v>45756.413194444445</v>
      </c>
      <c r="I1260" s="3" t="s">
        <v>73</v>
      </c>
      <c r="K1260" s="5">
        <v>39</v>
      </c>
      <c r="L1260" s="5">
        <v>56</v>
      </c>
      <c r="M1260" s="3" t="s">
        <v>68</v>
      </c>
      <c r="N1260" t="s">
        <v>69</v>
      </c>
      <c r="P1260" s="3" t="s">
        <v>80</v>
      </c>
      <c r="Q1260" s="2">
        <v>178.93</v>
      </c>
      <c r="R1260" s="3" t="s">
        <v>58</v>
      </c>
      <c r="S1260">
        <f>COUNTIF(A:A,A1260)</f>
        <v>1</v>
      </c>
      <c r="T1260" t="str">
        <f>IF(OR(H1260="",LOWER(TRIM(H1260&amp;""))="missing",LOWER(TRIM(H1260&amp;""))=""),"Missing/",IFERROR(IF(OR(VALUE(H1260)&lt;0,VALUE(H1260)&gt;110),"Invalid","Valid"),"Check Format"))</f>
        <v>Missing/</v>
      </c>
      <c r="U1260" t="str">
        <f>IF(Raw_Data[[#This Row],[Age_Check]]="Valid",H1260,"")</f>
        <v/>
      </c>
      <c r="V1260" t="str">
        <f>IF(OR(K1260="",UPPER(TRIM(K1260&amp;""))="",LOWER(TRIM(K1260&amp;""))="",LOWER(TRIM(K1260&amp;""))="",LOWER(TRIM(K1260&amp;""))="missing"),"Missing/",IFERROR(IF(VALUE(K1260)&lt;0,"Invalid","Valid"),"Check Format"))</f>
        <v>Valid</v>
      </c>
      <c r="W1260" t="str">
        <f>IF(OR(E1260="",F1260=""),"Missing Date/Time",IFERROR(IF(F1260&gt;E1260,"Arrival After Appointment","OK"),"Check Format"))</f>
        <v>OK</v>
      </c>
      <c r="X1260" t="str">
        <f>IF(OR(F1260="",G1260=""),"Missing Date/Time",IFERROR(IF(G1260&lt;F1260,"Discharge Before Arrival","OK"),"Check Format"))</f>
        <v>OK</v>
      </c>
    </row>
    <row r="1261" spans="1:24" x14ac:dyDescent="0.25">
      <c r="A1261" s="2" t="s">
        <v>1937</v>
      </c>
      <c r="B1261" s="2" t="s">
        <v>45</v>
      </c>
      <c r="C1261" s="3" t="s">
        <v>37</v>
      </c>
      <c r="D1261" s="3" t="s">
        <v>174</v>
      </c>
      <c r="E1261" s="4">
        <v>45752.472222222219</v>
      </c>
      <c r="F1261" s="4">
        <v>45752.456944444442</v>
      </c>
      <c r="G1261" s="4">
        <v>45752.517361111109</v>
      </c>
      <c r="I1261" s="3" t="s">
        <v>73</v>
      </c>
      <c r="K1261" s="5">
        <v>59</v>
      </c>
      <c r="L1261" s="5">
        <v>6</v>
      </c>
      <c r="M1261" s="3" t="s">
        <v>68</v>
      </c>
      <c r="N1261" t="s">
        <v>69</v>
      </c>
      <c r="O1261" s="5">
        <v>3</v>
      </c>
      <c r="Q1261" s="2">
        <v>39.729999999999997</v>
      </c>
      <c r="R1261" s="3" t="s">
        <v>43</v>
      </c>
      <c r="S1261">
        <f>COUNTIF(A:A,A1261)</f>
        <v>1</v>
      </c>
      <c r="T1261" t="str">
        <f>IF(OR(H1261="",LOWER(TRIM(H1261&amp;""))="missing",LOWER(TRIM(H1261&amp;""))=""),"Missing/",IFERROR(IF(OR(VALUE(H1261)&lt;0,VALUE(H1261)&gt;110),"Invalid","Valid"),"Check Format"))</f>
        <v>Missing/</v>
      </c>
      <c r="U1261" t="str">
        <f>IF(Raw_Data[[#This Row],[Age_Check]]="Valid",H1261,"")</f>
        <v/>
      </c>
      <c r="V1261" t="str">
        <f>IF(OR(K1261="",UPPER(TRIM(K1261&amp;""))="",LOWER(TRIM(K1261&amp;""))="",LOWER(TRIM(K1261&amp;""))="",LOWER(TRIM(K1261&amp;""))="missing"),"Missing/",IFERROR(IF(VALUE(K1261)&lt;0,"Invalid","Valid"),"Check Format"))</f>
        <v>Valid</v>
      </c>
      <c r="W1261" t="str">
        <f>IF(OR(E1261="",F1261=""),"Missing Date/Time",IFERROR(IF(F1261&gt;E1261,"Arrival After Appointment","OK"),"Check Format"))</f>
        <v>OK</v>
      </c>
      <c r="X1261" t="str">
        <f>IF(OR(F1261="",G1261=""),"Missing Date/Time",IFERROR(IF(G1261&lt;F1261,"Discharge Before Arrival","OK"),"Check Format"))</f>
        <v>OK</v>
      </c>
    </row>
    <row r="1262" spans="1:24" x14ac:dyDescent="0.25">
      <c r="A1262" s="2" t="s">
        <v>1938</v>
      </c>
      <c r="B1262" s="2" t="s">
        <v>222</v>
      </c>
      <c r="C1262" s="3" t="s">
        <v>37</v>
      </c>
      <c r="D1262" s="3" t="s">
        <v>23</v>
      </c>
      <c r="E1262" s="4" t="s">
        <v>1939</v>
      </c>
      <c r="F1262" s="4">
        <v>45531.353472222225</v>
      </c>
      <c r="H1262" s="5">
        <v>145</v>
      </c>
      <c r="I1262" s="3" t="s">
        <v>95</v>
      </c>
      <c r="K1262" s="5">
        <v>67</v>
      </c>
      <c r="L1262" s="5">
        <v>5</v>
      </c>
      <c r="M1262" s="3" t="s">
        <v>41</v>
      </c>
      <c r="N1262" t="s">
        <v>103</v>
      </c>
      <c r="O1262" s="5">
        <v>1</v>
      </c>
      <c r="P1262" s="3" t="s">
        <v>25</v>
      </c>
      <c r="Q1262" s="2">
        <v>226.01</v>
      </c>
      <c r="R1262" s="3" t="s">
        <v>58</v>
      </c>
      <c r="S1262">
        <f>COUNTIF(A:A,A1262)</f>
        <v>1</v>
      </c>
      <c r="T1262" t="str">
        <f>IF(OR(H1262="",LOWER(TRIM(H1262&amp;""))="missing",LOWER(TRIM(H1262&amp;""))=""),"Missing/",IFERROR(IF(OR(VALUE(H1262)&lt;0,VALUE(H1262)&gt;110),"Invalid","Valid"),"Check Format"))</f>
        <v>Invalid</v>
      </c>
      <c r="U1262" t="str">
        <f>IF(Raw_Data[[#This Row],[Age_Check]]="Valid",H1262,"")</f>
        <v/>
      </c>
      <c r="V1262" t="str">
        <f>IF(OR(K1262="",UPPER(TRIM(K1262&amp;""))="",LOWER(TRIM(K1262&amp;""))="",LOWER(TRIM(K1262&amp;""))="",LOWER(TRIM(K1262&amp;""))="missing"),"Missing/",IFERROR(IF(VALUE(K1262)&lt;0,"Invalid","Valid"),"Check Format"))</f>
        <v>Valid</v>
      </c>
      <c r="W1262" t="str">
        <f>IF(OR(E1262="",F1262=""),"Missing Date/Time",IFERROR(IF(F1262&gt;E1262,"Arrival After Appointment","OK"),"Check Format"))</f>
        <v>OK</v>
      </c>
      <c r="X1262" t="str">
        <f>IF(OR(F1262="",G1262=""),"Missing Date/Time",IFERROR(IF(G1262&lt;F1262,"Discharge Before Arrival","OK"),"Check Format"))</f>
        <v>Missing Date/Time</v>
      </c>
    </row>
    <row r="1263" spans="1:24" x14ac:dyDescent="0.25">
      <c r="A1263" s="2" t="s">
        <v>1940</v>
      </c>
      <c r="B1263" s="2" t="s">
        <v>850</v>
      </c>
      <c r="C1263" s="3" t="s">
        <v>46</v>
      </c>
      <c r="D1263" s="3" t="s">
        <v>174</v>
      </c>
      <c r="E1263" s="4" t="s">
        <v>1941</v>
      </c>
      <c r="F1263" s="4">
        <v>45743.474999999999</v>
      </c>
      <c r="H1263" s="5">
        <v>83</v>
      </c>
      <c r="I1263" s="3" t="s">
        <v>95</v>
      </c>
      <c r="J1263" s="3" t="s">
        <v>67</v>
      </c>
      <c r="K1263" s="5">
        <v>52</v>
      </c>
      <c r="L1263" s="5">
        <v>90</v>
      </c>
      <c r="M1263" s="3" t="s">
        <v>23</v>
      </c>
      <c r="N1263" t="s">
        <v>74</v>
      </c>
      <c r="O1263" s="5">
        <v>0</v>
      </c>
      <c r="P1263" s="3" t="s">
        <v>25</v>
      </c>
      <c r="Q1263" s="2">
        <v>329.63</v>
      </c>
      <c r="R1263" s="3" t="s">
        <v>58</v>
      </c>
      <c r="S1263">
        <f>COUNTIF(A:A,A1263)</f>
        <v>1</v>
      </c>
      <c r="T1263" t="str">
        <f>IF(OR(H1263="",LOWER(TRIM(H1263&amp;""))="missing",LOWER(TRIM(H1263&amp;""))=""),"Missing/",IFERROR(IF(OR(VALUE(H1263)&lt;0,VALUE(H1263)&gt;110),"Invalid","Valid"),"Check Format"))</f>
        <v>Valid</v>
      </c>
      <c r="U1263">
        <f>IF(Raw_Data[[#This Row],[Age_Check]]="Valid",H1263,"")</f>
        <v>83</v>
      </c>
      <c r="V1263" t="str">
        <f>IF(OR(K1263="",UPPER(TRIM(K1263&amp;""))="",LOWER(TRIM(K1263&amp;""))="",LOWER(TRIM(K1263&amp;""))="",LOWER(TRIM(K1263&amp;""))="missing"),"Missing/",IFERROR(IF(VALUE(K1263)&lt;0,"Invalid","Valid"),"Check Format"))</f>
        <v>Valid</v>
      </c>
      <c r="W1263" t="str">
        <f>IF(OR(E1263="",F1263=""),"Missing Date/Time",IFERROR(IF(F1263&gt;E1263,"Arrival After Appointment","OK"),"Check Format"))</f>
        <v>OK</v>
      </c>
      <c r="X1263" t="str">
        <f>IF(OR(F1263="",G1263=""),"Missing Date/Time",IFERROR(IF(G1263&lt;F1263,"Discharge Before Arrival","OK"),"Check Format"))</f>
        <v>Missing Date/Time</v>
      </c>
    </row>
    <row r="1264" spans="1:24" x14ac:dyDescent="0.25">
      <c r="A1264" s="2" t="s">
        <v>1942</v>
      </c>
      <c r="B1264" s="2" t="s">
        <v>1943</v>
      </c>
      <c r="C1264" s="3" t="s">
        <v>46</v>
      </c>
      <c r="D1264" s="3" t="s">
        <v>149</v>
      </c>
      <c r="E1264" s="4">
        <v>45961.600694444445</v>
      </c>
      <c r="F1264" s="4">
        <v>45961.598611111112</v>
      </c>
      <c r="H1264" s="5">
        <v>9</v>
      </c>
      <c r="J1264" s="3" t="s">
        <v>22</v>
      </c>
      <c r="K1264" s="5">
        <v>51</v>
      </c>
      <c r="L1264" s="5">
        <v>30</v>
      </c>
      <c r="N1264" t="s">
        <v>74</v>
      </c>
      <c r="O1264" s="5">
        <v>6</v>
      </c>
      <c r="P1264" s="3" t="s">
        <v>25</v>
      </c>
      <c r="Q1264" s="2">
        <v>224.65</v>
      </c>
      <c r="R1264" s="3" t="s">
        <v>58</v>
      </c>
      <c r="S1264">
        <f>COUNTIF(A:A,A1264)</f>
        <v>1</v>
      </c>
      <c r="T1264" t="str">
        <f>IF(OR(H1264="",LOWER(TRIM(H1264&amp;""))="missing",LOWER(TRIM(H1264&amp;""))=""),"Missing/",IFERROR(IF(OR(VALUE(H1264)&lt;0,VALUE(H1264)&gt;110),"Invalid","Valid"),"Check Format"))</f>
        <v>Valid</v>
      </c>
      <c r="U1264">
        <f>IF(Raw_Data[[#This Row],[Age_Check]]="Valid",H1264,"")</f>
        <v>9</v>
      </c>
      <c r="V1264" t="str">
        <f>IF(OR(K1264="",UPPER(TRIM(K1264&amp;""))="",LOWER(TRIM(K1264&amp;""))="",LOWER(TRIM(K1264&amp;""))="",LOWER(TRIM(K1264&amp;""))="missing"),"Missing/",IFERROR(IF(VALUE(K1264)&lt;0,"Invalid","Valid"),"Check Format"))</f>
        <v>Valid</v>
      </c>
      <c r="W1264" t="str">
        <f>IF(OR(E1264="",F1264=""),"Missing Date/Time",IFERROR(IF(F1264&gt;E1264,"Arrival After Appointment","OK"),"Check Format"))</f>
        <v>OK</v>
      </c>
      <c r="X1264" t="str">
        <f>IF(OR(F1264="",G1264=""),"Missing Date/Time",IFERROR(IF(G1264&lt;F1264,"Discharge Before Arrival","OK"),"Check Format"))</f>
        <v>Missing Date/Time</v>
      </c>
    </row>
    <row r="1265" spans="1:24" x14ac:dyDescent="0.25">
      <c r="A1265" s="2" t="s">
        <v>1944</v>
      </c>
      <c r="B1265" s="2" t="s">
        <v>138</v>
      </c>
      <c r="C1265" s="3" t="s">
        <v>37</v>
      </c>
      <c r="D1265" s="3" t="s">
        <v>174</v>
      </c>
      <c r="E1265" s="4" t="s">
        <v>1945</v>
      </c>
      <c r="F1265" s="4">
        <v>45657.520138888889</v>
      </c>
      <c r="G1265" s="4">
        <v>45657.615972222222</v>
      </c>
      <c r="I1265" s="3" t="s">
        <v>39</v>
      </c>
      <c r="J1265" s="3" t="s">
        <v>67</v>
      </c>
      <c r="K1265" s="5">
        <v>117</v>
      </c>
      <c r="L1265" s="5">
        <v>5</v>
      </c>
      <c r="M1265" s="3" t="s">
        <v>41</v>
      </c>
      <c r="N1265" t="s">
        <v>69</v>
      </c>
      <c r="O1265" s="5">
        <v>2</v>
      </c>
      <c r="P1265" s="3" t="s">
        <v>80</v>
      </c>
      <c r="Q1265" s="2">
        <v>2.09</v>
      </c>
      <c r="R1265" s="3" t="s">
        <v>58</v>
      </c>
      <c r="S1265">
        <f>COUNTIF(A:A,A1265)</f>
        <v>1</v>
      </c>
      <c r="T1265" t="str">
        <f>IF(OR(H1265="",LOWER(TRIM(H1265&amp;""))="missing",LOWER(TRIM(H1265&amp;""))=""),"Missing/",IFERROR(IF(OR(VALUE(H1265)&lt;0,VALUE(H1265)&gt;110),"Invalid","Valid"),"Check Format"))</f>
        <v>Missing/</v>
      </c>
      <c r="U1265" t="str">
        <f>IF(Raw_Data[[#This Row],[Age_Check]]="Valid",H1265,"")</f>
        <v/>
      </c>
      <c r="V1265" t="str">
        <f>IF(OR(K1265="",UPPER(TRIM(K1265&amp;""))="",LOWER(TRIM(K1265&amp;""))="",LOWER(TRIM(K1265&amp;""))="",LOWER(TRIM(K1265&amp;""))="missing"),"Missing/",IFERROR(IF(VALUE(K1265)&lt;0,"Invalid","Valid"),"Check Format"))</f>
        <v>Valid</v>
      </c>
      <c r="W1265" t="str">
        <f>IF(OR(E1265="",F1265=""),"Missing Date/Time",IFERROR(IF(F1265&gt;E1265,"Arrival After Appointment","OK"),"Check Format"))</f>
        <v>OK</v>
      </c>
      <c r="X1265" t="str">
        <f>IF(OR(F1265="",G1265=""),"Missing Date/Time",IFERROR(IF(G1265&lt;F1265,"Discharge Before Arrival","OK"),"Check Format"))</f>
        <v>OK</v>
      </c>
    </row>
    <row r="1266" spans="1:24" x14ac:dyDescent="0.25">
      <c r="A1266" s="2" t="s">
        <v>1946</v>
      </c>
      <c r="B1266" s="2" t="s">
        <v>305</v>
      </c>
      <c r="C1266" s="3" t="s">
        <v>94</v>
      </c>
      <c r="D1266" s="3" t="s">
        <v>72</v>
      </c>
      <c r="E1266" s="4">
        <v>45293.305555555555</v>
      </c>
      <c r="F1266" s="4">
        <v>45293.284722222219</v>
      </c>
      <c r="G1266" s="4">
        <v>45293.359722222223</v>
      </c>
      <c r="I1266" s="3" t="s">
        <v>73</v>
      </c>
      <c r="J1266" s="3" t="s">
        <v>171</v>
      </c>
      <c r="K1266" s="5">
        <v>36</v>
      </c>
      <c r="L1266" s="5">
        <v>42</v>
      </c>
      <c r="M1266" s="3" t="s">
        <v>23</v>
      </c>
      <c r="N1266" t="s">
        <v>24</v>
      </c>
      <c r="Q1266" s="2">
        <v>184.75</v>
      </c>
      <c r="R1266" s="3" t="s">
        <v>43</v>
      </c>
      <c r="S1266">
        <f>COUNTIF(A:A,A1266)</f>
        <v>1</v>
      </c>
      <c r="T1266" t="str">
        <f>IF(OR(H1266="",LOWER(TRIM(H1266&amp;""))="missing",LOWER(TRIM(H1266&amp;""))=""),"Missing/",IFERROR(IF(OR(VALUE(H1266)&lt;0,VALUE(H1266)&gt;110),"Invalid","Valid"),"Check Format"))</f>
        <v>Missing/</v>
      </c>
      <c r="U1266" t="str">
        <f>IF(Raw_Data[[#This Row],[Age_Check]]="Valid",H1266,"")</f>
        <v/>
      </c>
      <c r="V1266" t="str">
        <f>IF(OR(K1266="",UPPER(TRIM(K1266&amp;""))="",LOWER(TRIM(K1266&amp;""))="",LOWER(TRIM(K1266&amp;""))="",LOWER(TRIM(K1266&amp;""))="missing"),"Missing/",IFERROR(IF(VALUE(K1266)&lt;0,"Invalid","Valid"),"Check Format"))</f>
        <v>Valid</v>
      </c>
      <c r="W1266" t="str">
        <f>IF(OR(E1266="",F1266=""),"Missing Date/Time",IFERROR(IF(F1266&gt;E1266,"Arrival After Appointment","OK"),"Check Format"))</f>
        <v>OK</v>
      </c>
      <c r="X1266" t="str">
        <f>IF(OR(F1266="",G1266=""),"Missing Date/Time",IFERROR(IF(G1266&lt;F1266,"Discharge Before Arrival","OK"),"Check Format"))</f>
        <v>OK</v>
      </c>
    </row>
    <row r="1267" spans="1:24" x14ac:dyDescent="0.25">
      <c r="A1267" s="2" t="s">
        <v>1947</v>
      </c>
      <c r="B1267" s="2" t="s">
        <v>1160</v>
      </c>
      <c r="C1267" s="3" t="s">
        <v>37</v>
      </c>
      <c r="D1267" s="3" t="s">
        <v>106</v>
      </c>
      <c r="E1267" s="4">
        <v>45492.777777777781</v>
      </c>
      <c r="F1267" s="4">
        <v>45492.775000000001</v>
      </c>
      <c r="G1267" s="4">
        <v>45492.850694444445</v>
      </c>
      <c r="H1267" s="5">
        <v>145</v>
      </c>
      <c r="I1267" s="3" t="s">
        <v>73</v>
      </c>
      <c r="J1267" s="3" t="s">
        <v>150</v>
      </c>
      <c r="K1267" s="5">
        <v>95</v>
      </c>
      <c r="L1267" s="5">
        <v>10</v>
      </c>
      <c r="M1267" s="3" t="s">
        <v>23</v>
      </c>
      <c r="N1267" t="s">
        <v>103</v>
      </c>
      <c r="P1267" s="3" t="s">
        <v>25</v>
      </c>
      <c r="Q1267" s="2">
        <v>0</v>
      </c>
      <c r="R1267" s="3" t="s">
        <v>58</v>
      </c>
      <c r="S1267">
        <f>COUNTIF(A:A,A1267)</f>
        <v>1</v>
      </c>
      <c r="T1267" t="str">
        <f>IF(OR(H1267="",LOWER(TRIM(H1267&amp;""))="missing",LOWER(TRIM(H1267&amp;""))=""),"Missing/",IFERROR(IF(OR(VALUE(H1267)&lt;0,VALUE(H1267)&gt;110),"Invalid","Valid"),"Check Format"))</f>
        <v>Invalid</v>
      </c>
      <c r="U1267" t="str">
        <f>IF(Raw_Data[[#This Row],[Age_Check]]="Valid",H1267,"")</f>
        <v/>
      </c>
      <c r="V1267" t="str">
        <f>IF(OR(K1267="",UPPER(TRIM(K1267&amp;""))="",LOWER(TRIM(K1267&amp;""))="",LOWER(TRIM(K1267&amp;""))="",LOWER(TRIM(K1267&amp;""))="missing"),"Missing/",IFERROR(IF(VALUE(K1267)&lt;0,"Invalid","Valid"),"Check Format"))</f>
        <v>Valid</v>
      </c>
      <c r="W1267" t="str">
        <f>IF(OR(E1267="",F1267=""),"Missing Date/Time",IFERROR(IF(F1267&gt;E1267,"Arrival After Appointment","OK"),"Check Format"))</f>
        <v>OK</v>
      </c>
      <c r="X1267" t="str">
        <f>IF(OR(F1267="",G1267=""),"Missing Date/Time",IFERROR(IF(G1267&lt;F1267,"Discharge Before Arrival","OK"),"Check Format"))</f>
        <v>OK</v>
      </c>
    </row>
    <row r="1268" spans="1:24" x14ac:dyDescent="0.25">
      <c r="A1268" s="2" t="s">
        <v>1948</v>
      </c>
      <c r="B1268" s="2" t="s">
        <v>842</v>
      </c>
      <c r="C1268" s="3" t="s">
        <v>19</v>
      </c>
      <c r="D1268" s="3" t="s">
        <v>30</v>
      </c>
      <c r="E1268" s="4" t="s">
        <v>1949</v>
      </c>
      <c r="F1268" s="4">
        <v>45742.307638888888</v>
      </c>
      <c r="G1268" s="4">
        <v>45742.385416666664</v>
      </c>
      <c r="H1268" s="5">
        <v>77</v>
      </c>
      <c r="I1268" s="3" t="s">
        <v>73</v>
      </c>
      <c r="J1268" s="3" t="s">
        <v>67</v>
      </c>
      <c r="K1268" s="5">
        <v>88</v>
      </c>
      <c r="L1268" s="5">
        <v>17</v>
      </c>
      <c r="M1268" s="3" t="s">
        <v>23</v>
      </c>
      <c r="N1268" t="s">
        <v>69</v>
      </c>
      <c r="O1268" s="5">
        <v>2</v>
      </c>
      <c r="P1268" s="3" t="s">
        <v>80</v>
      </c>
      <c r="Q1268" s="2">
        <v>0</v>
      </c>
      <c r="R1268" s="3" t="s">
        <v>26</v>
      </c>
      <c r="S1268">
        <f>COUNTIF(A:A,A1268)</f>
        <v>1</v>
      </c>
      <c r="T1268" t="str">
        <f>IF(OR(H1268="",LOWER(TRIM(H1268&amp;""))="missing",LOWER(TRIM(H1268&amp;""))=""),"Missing/",IFERROR(IF(OR(VALUE(H1268)&lt;0,VALUE(H1268)&gt;110),"Invalid","Valid"),"Check Format"))</f>
        <v>Valid</v>
      </c>
      <c r="U1268">
        <f>IF(Raw_Data[[#This Row],[Age_Check]]="Valid",H1268,"")</f>
        <v>77</v>
      </c>
      <c r="V1268" t="str">
        <f>IF(OR(K1268="",UPPER(TRIM(K1268&amp;""))="",LOWER(TRIM(K1268&amp;""))="",LOWER(TRIM(K1268&amp;""))="",LOWER(TRIM(K1268&amp;""))="missing"),"Missing/",IFERROR(IF(VALUE(K1268)&lt;0,"Invalid","Valid"),"Check Format"))</f>
        <v>Valid</v>
      </c>
      <c r="W1268" t="str">
        <f>IF(OR(E1268="",F1268=""),"Missing Date/Time",IFERROR(IF(F1268&gt;E1268,"Arrival After Appointment","OK"),"Check Format"))</f>
        <v>OK</v>
      </c>
      <c r="X1268" t="str">
        <f>IF(OR(F1268="",G1268=""),"Missing Date/Time",IFERROR(IF(G1268&lt;F1268,"Discharge Before Arrival","OK"),"Check Format"))</f>
        <v>OK</v>
      </c>
    </row>
    <row r="1269" spans="1:24" x14ac:dyDescent="0.25">
      <c r="A1269" s="2" t="s">
        <v>1950</v>
      </c>
      <c r="B1269" s="2" t="s">
        <v>197</v>
      </c>
      <c r="C1269" s="3" t="s">
        <v>46</v>
      </c>
      <c r="D1269" s="3" t="s">
        <v>20</v>
      </c>
      <c r="E1269" s="4">
        <v>45561.555555555555</v>
      </c>
      <c r="F1269" s="4">
        <v>45561.541666666664</v>
      </c>
      <c r="G1269" s="4">
        <v>45561.631249999999</v>
      </c>
      <c r="H1269" s="5">
        <v>46</v>
      </c>
      <c r="I1269" s="3" t="s">
        <v>73</v>
      </c>
      <c r="J1269" s="3" t="s">
        <v>67</v>
      </c>
      <c r="K1269" s="5">
        <v>63</v>
      </c>
      <c r="L1269" s="5">
        <v>46</v>
      </c>
      <c r="M1269" s="3" t="s">
        <v>50</v>
      </c>
      <c r="N1269" t="s">
        <v>103</v>
      </c>
      <c r="Q1269" s="2">
        <v>135.24</v>
      </c>
      <c r="R1269" s="3" t="s">
        <v>26</v>
      </c>
      <c r="S1269">
        <f>COUNTIF(A:A,A1269)</f>
        <v>1</v>
      </c>
      <c r="T1269" t="str">
        <f>IF(OR(H1269="",LOWER(TRIM(H1269&amp;""))="missing",LOWER(TRIM(H1269&amp;""))=""),"Missing/",IFERROR(IF(OR(VALUE(H1269)&lt;0,VALUE(H1269)&gt;110),"Invalid","Valid"),"Check Format"))</f>
        <v>Valid</v>
      </c>
      <c r="U1269">
        <f>IF(Raw_Data[[#This Row],[Age_Check]]="Valid",H1269,"")</f>
        <v>46</v>
      </c>
      <c r="V1269" t="str">
        <f>IF(OR(K1269="",UPPER(TRIM(K1269&amp;""))="",LOWER(TRIM(K1269&amp;""))="",LOWER(TRIM(K1269&amp;""))="",LOWER(TRIM(K1269&amp;""))="missing"),"Missing/",IFERROR(IF(VALUE(K1269)&lt;0,"Invalid","Valid"),"Check Format"))</f>
        <v>Valid</v>
      </c>
      <c r="W1269" t="str">
        <f>IF(OR(E1269="",F1269=""),"Missing Date/Time",IFERROR(IF(F1269&gt;E1269,"Arrival After Appointment","OK"),"Check Format"))</f>
        <v>OK</v>
      </c>
      <c r="X1269" t="str">
        <f>IF(OR(F1269="",G1269=""),"Missing Date/Time",IFERROR(IF(G1269&lt;F1269,"Discharge Before Arrival","OK"),"Check Format"))</f>
        <v>OK</v>
      </c>
    </row>
    <row r="1270" spans="1:24" x14ac:dyDescent="0.25">
      <c r="A1270" s="2" t="s">
        <v>1951</v>
      </c>
      <c r="B1270" s="2" t="s">
        <v>609</v>
      </c>
      <c r="C1270" s="3" t="s">
        <v>94</v>
      </c>
      <c r="D1270" s="3" t="s">
        <v>149</v>
      </c>
      <c r="E1270" s="4">
        <v>45446.517361111109</v>
      </c>
      <c r="F1270" s="4">
        <v>45446.51666666667</v>
      </c>
      <c r="H1270" s="5">
        <v>85</v>
      </c>
      <c r="I1270" s="3" t="s">
        <v>95</v>
      </c>
      <c r="J1270" s="3" t="s">
        <v>171</v>
      </c>
      <c r="K1270" s="5">
        <v>41</v>
      </c>
      <c r="L1270" s="5">
        <v>29</v>
      </c>
      <c r="M1270" s="3" t="s">
        <v>23</v>
      </c>
      <c r="N1270" t="s">
        <v>91</v>
      </c>
      <c r="O1270" s="5">
        <v>0</v>
      </c>
      <c r="P1270" s="3" t="s">
        <v>25</v>
      </c>
      <c r="Q1270" s="2">
        <v>115.35</v>
      </c>
      <c r="R1270" s="3" t="s">
        <v>58</v>
      </c>
      <c r="S1270">
        <f>COUNTIF(A:A,A1270)</f>
        <v>1</v>
      </c>
      <c r="T1270" t="str">
        <f>IF(OR(H1270="",LOWER(TRIM(H1270&amp;""))="missing",LOWER(TRIM(H1270&amp;""))=""),"Missing/",IFERROR(IF(OR(VALUE(H1270)&lt;0,VALUE(H1270)&gt;110),"Invalid","Valid"),"Check Format"))</f>
        <v>Valid</v>
      </c>
      <c r="U1270">
        <f>IF(Raw_Data[[#This Row],[Age_Check]]="Valid",H1270,"")</f>
        <v>85</v>
      </c>
      <c r="V1270" t="str">
        <f>IF(OR(K1270="",UPPER(TRIM(K1270&amp;""))="",LOWER(TRIM(K1270&amp;""))="",LOWER(TRIM(K1270&amp;""))="",LOWER(TRIM(K1270&amp;""))="missing"),"Missing/",IFERROR(IF(VALUE(K1270)&lt;0,"Invalid","Valid"),"Check Format"))</f>
        <v>Valid</v>
      </c>
      <c r="W1270" t="str">
        <f>IF(OR(E1270="",F1270=""),"Missing Date/Time",IFERROR(IF(F1270&gt;E1270,"Arrival After Appointment","OK"),"Check Format"))</f>
        <v>OK</v>
      </c>
      <c r="X1270" t="str">
        <f>IF(OR(F1270="",G1270=""),"Missing Date/Time",IFERROR(IF(G1270&lt;F1270,"Discharge Before Arrival","OK"),"Check Format"))</f>
        <v>Missing Date/Time</v>
      </c>
    </row>
    <row r="1271" spans="1:24" x14ac:dyDescent="0.25">
      <c r="A1271" s="2" t="s">
        <v>1952</v>
      </c>
      <c r="B1271" s="2" t="s">
        <v>1687</v>
      </c>
      <c r="C1271" s="3" t="s">
        <v>46</v>
      </c>
      <c r="D1271" s="3" t="s">
        <v>55</v>
      </c>
      <c r="E1271" s="4">
        <v>45930.736111111109</v>
      </c>
      <c r="F1271" s="4">
        <v>45930.724305555559</v>
      </c>
      <c r="G1271" s="4">
        <v>45930.756249999999</v>
      </c>
      <c r="H1271" s="5">
        <v>145</v>
      </c>
      <c r="I1271" s="3" t="s">
        <v>90</v>
      </c>
      <c r="J1271" s="3" t="s">
        <v>62</v>
      </c>
      <c r="K1271" s="5">
        <v>10</v>
      </c>
      <c r="L1271" s="5">
        <v>19</v>
      </c>
      <c r="P1271" s="3" t="s">
        <v>42</v>
      </c>
      <c r="Q1271" s="2">
        <v>186.7</v>
      </c>
      <c r="R1271" s="3" t="s">
        <v>26</v>
      </c>
      <c r="S1271">
        <f>COUNTIF(A:A,A1271)</f>
        <v>1</v>
      </c>
      <c r="T1271" t="str">
        <f>IF(OR(H1271="",LOWER(TRIM(H1271&amp;""))="missing",LOWER(TRIM(H1271&amp;""))=""),"Missing/",IFERROR(IF(OR(VALUE(H1271)&lt;0,VALUE(H1271)&gt;110),"Invalid","Valid"),"Check Format"))</f>
        <v>Invalid</v>
      </c>
      <c r="U1271" t="str">
        <f>IF(Raw_Data[[#This Row],[Age_Check]]="Valid",H1271,"")</f>
        <v/>
      </c>
      <c r="V1271" t="str">
        <f>IF(OR(K1271="",UPPER(TRIM(K1271&amp;""))="",LOWER(TRIM(K1271&amp;""))="",LOWER(TRIM(K1271&amp;""))="",LOWER(TRIM(K1271&amp;""))="missing"),"Missing/",IFERROR(IF(VALUE(K1271)&lt;0,"Invalid","Valid"),"Check Format"))</f>
        <v>Valid</v>
      </c>
      <c r="W1271" t="str">
        <f>IF(OR(E1271="",F1271=""),"Missing Date/Time",IFERROR(IF(F1271&gt;E1271,"Arrival After Appointment","OK"),"Check Format"))</f>
        <v>OK</v>
      </c>
      <c r="X1271" t="str">
        <f>IF(OR(F1271="",G1271=""),"Missing Date/Time",IFERROR(IF(G1271&lt;F1271,"Discharge Before Arrival","OK"),"Check Format"))</f>
        <v>OK</v>
      </c>
    </row>
    <row r="1272" spans="1:24" x14ac:dyDescent="0.25">
      <c r="A1272" s="2" t="s">
        <v>1953</v>
      </c>
      <c r="B1272" s="2" t="s">
        <v>1809</v>
      </c>
      <c r="D1272" s="3" t="s">
        <v>47</v>
      </c>
      <c r="E1272" s="4">
        <v>45604.333333333336</v>
      </c>
      <c r="F1272" s="4">
        <v>45515.3125</v>
      </c>
      <c r="G1272" s="4">
        <v>45515.405555555553</v>
      </c>
      <c r="I1272" s="3" t="s">
        <v>95</v>
      </c>
      <c r="J1272" s="3" t="s">
        <v>22</v>
      </c>
      <c r="K1272" s="5">
        <v>69</v>
      </c>
      <c r="L1272" s="5">
        <v>35</v>
      </c>
      <c r="M1272" s="3" t="s">
        <v>41</v>
      </c>
      <c r="N1272" t="s">
        <v>91</v>
      </c>
      <c r="O1272" s="5">
        <v>6</v>
      </c>
      <c r="P1272" s="3" t="s">
        <v>80</v>
      </c>
      <c r="Q1272" s="2">
        <v>65.39</v>
      </c>
      <c r="R1272" s="3" t="s">
        <v>58</v>
      </c>
      <c r="S1272">
        <f>COUNTIF(A:A,A1272)</f>
        <v>1</v>
      </c>
      <c r="T1272" t="str">
        <f>IF(OR(H1272="",LOWER(TRIM(H1272&amp;""))="missing",LOWER(TRIM(H1272&amp;""))=""),"Missing/",IFERROR(IF(OR(VALUE(H1272)&lt;0,VALUE(H1272)&gt;110),"Invalid","Valid"),"Check Format"))</f>
        <v>Missing/</v>
      </c>
      <c r="U1272" t="str">
        <f>IF(Raw_Data[[#This Row],[Age_Check]]="Valid",H1272,"")</f>
        <v/>
      </c>
      <c r="V1272" t="str">
        <f>IF(OR(K1272="",UPPER(TRIM(K1272&amp;""))="",LOWER(TRIM(K1272&amp;""))="",LOWER(TRIM(K1272&amp;""))="",LOWER(TRIM(K1272&amp;""))="missing"),"Missing/",IFERROR(IF(VALUE(K1272)&lt;0,"Invalid","Valid"),"Check Format"))</f>
        <v>Valid</v>
      </c>
      <c r="W1272" t="str">
        <f>IF(OR(E1272="",F1272=""),"Missing Date/Time",IFERROR(IF(F1272&gt;E1272,"Arrival After Appointment","OK"),"Check Format"))</f>
        <v>OK</v>
      </c>
      <c r="X1272" t="str">
        <f>IF(OR(F1272="",G1272=""),"Missing Date/Time",IFERROR(IF(G1272&lt;F1272,"Discharge Before Arrival","OK"),"Check Format"))</f>
        <v>OK</v>
      </c>
    </row>
    <row r="1273" spans="1:24" x14ac:dyDescent="0.25">
      <c r="A1273" s="2" t="s">
        <v>1954</v>
      </c>
      <c r="B1273" s="2" t="s">
        <v>777</v>
      </c>
      <c r="C1273" s="3" t="s">
        <v>94</v>
      </c>
      <c r="D1273" s="3" t="s">
        <v>38</v>
      </c>
      <c r="E1273" s="4">
        <v>45435.3125</v>
      </c>
      <c r="F1273" s="4">
        <v>45435.310416666667</v>
      </c>
      <c r="G1273" s="4">
        <v>45435.351388888892</v>
      </c>
      <c r="I1273" s="3" t="s">
        <v>73</v>
      </c>
      <c r="J1273" s="3" t="s">
        <v>2639</v>
      </c>
      <c r="K1273" s="5">
        <v>51</v>
      </c>
      <c r="L1273" s="5">
        <v>5</v>
      </c>
      <c r="M1273" s="3" t="s">
        <v>87</v>
      </c>
      <c r="N1273" t="s">
        <v>69</v>
      </c>
      <c r="Q1273" s="2">
        <v>159.28</v>
      </c>
      <c r="R1273" s="3" t="s">
        <v>58</v>
      </c>
      <c r="S1273">
        <f>COUNTIF(A:A,A1273)</f>
        <v>1</v>
      </c>
      <c r="T1273" t="str">
        <f>IF(OR(H1273="",LOWER(TRIM(H1273&amp;""))="missing",LOWER(TRIM(H1273&amp;""))=""),"Missing/",IFERROR(IF(OR(VALUE(H1273)&lt;0,VALUE(H1273)&gt;110),"Invalid","Valid"),"Check Format"))</f>
        <v>Missing/</v>
      </c>
      <c r="U1273" t="str">
        <f>IF(Raw_Data[[#This Row],[Age_Check]]="Valid",H1273,"")</f>
        <v/>
      </c>
      <c r="V1273" t="str">
        <f>IF(OR(K1273="",UPPER(TRIM(K1273&amp;""))="",LOWER(TRIM(K1273&amp;""))="",LOWER(TRIM(K1273&amp;""))="",LOWER(TRIM(K1273&amp;""))="missing"),"Missing/",IFERROR(IF(VALUE(K1273)&lt;0,"Invalid","Valid"),"Check Format"))</f>
        <v>Valid</v>
      </c>
      <c r="W1273" t="str">
        <f>IF(OR(E1273="",F1273=""),"Missing Date/Time",IFERROR(IF(F1273&gt;E1273,"Arrival After Appointment","OK"),"Check Format"))</f>
        <v>OK</v>
      </c>
      <c r="X1273" t="str">
        <f>IF(OR(F1273="",G1273=""),"Missing Date/Time",IFERROR(IF(G1273&lt;F1273,"Discharge Before Arrival","OK"),"Check Format"))</f>
        <v>OK</v>
      </c>
    </row>
    <row r="1274" spans="1:24" x14ac:dyDescent="0.25">
      <c r="A1274" s="2" t="s">
        <v>1955</v>
      </c>
      <c r="B1274" s="2" t="s">
        <v>946</v>
      </c>
      <c r="C1274" s="3" t="s">
        <v>46</v>
      </c>
      <c r="D1274" s="3" t="s">
        <v>72</v>
      </c>
      <c r="E1274" s="4">
        <v>45932.697916666664</v>
      </c>
      <c r="F1274" s="4">
        <v>45932.695138888892</v>
      </c>
      <c r="G1274" s="4">
        <v>45932.776388888888</v>
      </c>
      <c r="H1274" s="5">
        <v>73</v>
      </c>
      <c r="J1274" s="3" t="s">
        <v>62</v>
      </c>
      <c r="K1274" s="5">
        <v>108</v>
      </c>
      <c r="L1274" s="5">
        <v>5</v>
      </c>
      <c r="M1274" s="3" t="s">
        <v>50</v>
      </c>
      <c r="N1274" t="s">
        <v>69</v>
      </c>
      <c r="O1274" s="5">
        <v>6</v>
      </c>
      <c r="P1274" s="3" t="s">
        <v>80</v>
      </c>
      <c r="Q1274" s="2">
        <v>98.13</v>
      </c>
      <c r="R1274" s="3" t="s">
        <v>58</v>
      </c>
      <c r="S1274">
        <f>COUNTIF(A:A,A1274)</f>
        <v>1</v>
      </c>
      <c r="T1274" t="str">
        <f>IF(OR(H1274="",LOWER(TRIM(H1274&amp;""))="missing",LOWER(TRIM(H1274&amp;""))=""),"Missing/",IFERROR(IF(OR(VALUE(H1274)&lt;0,VALUE(H1274)&gt;110),"Invalid","Valid"),"Check Format"))</f>
        <v>Valid</v>
      </c>
      <c r="U1274">
        <f>IF(Raw_Data[[#This Row],[Age_Check]]="Valid",H1274,"")</f>
        <v>73</v>
      </c>
      <c r="V1274" t="str">
        <f>IF(OR(K1274="",UPPER(TRIM(K1274&amp;""))="",LOWER(TRIM(K1274&amp;""))="",LOWER(TRIM(K1274&amp;""))="",LOWER(TRIM(K1274&amp;""))="missing"),"Missing/",IFERROR(IF(VALUE(K1274)&lt;0,"Invalid","Valid"),"Check Format"))</f>
        <v>Valid</v>
      </c>
      <c r="W1274" t="str">
        <f>IF(OR(E1274="",F1274=""),"Missing Date/Time",IFERROR(IF(F1274&gt;E1274,"Arrival After Appointment","OK"),"Check Format"))</f>
        <v>OK</v>
      </c>
      <c r="X1274" t="str">
        <f>IF(OR(F1274="",G1274=""),"Missing Date/Time",IFERROR(IF(G1274&lt;F1274,"Discharge Before Arrival","OK"),"Check Format"))</f>
        <v>OK</v>
      </c>
    </row>
    <row r="1275" spans="1:24" x14ac:dyDescent="0.25">
      <c r="A1275" s="2" t="s">
        <v>1956</v>
      </c>
      <c r="B1275" s="2" t="s">
        <v>1048</v>
      </c>
      <c r="C1275" s="3" t="s">
        <v>29</v>
      </c>
      <c r="D1275" s="3" t="s">
        <v>149</v>
      </c>
      <c r="E1275" s="4">
        <v>45878.440972222219</v>
      </c>
      <c r="F1275" s="4">
        <v>45908.427777777775</v>
      </c>
      <c r="G1275" s="4">
        <v>45908.526388888888</v>
      </c>
      <c r="J1275" s="3" t="s">
        <v>22</v>
      </c>
      <c r="K1275" s="5">
        <v>69</v>
      </c>
      <c r="L1275" s="5">
        <v>54</v>
      </c>
      <c r="M1275" s="3" t="s">
        <v>63</v>
      </c>
      <c r="N1275" t="s">
        <v>24</v>
      </c>
      <c r="O1275" s="5">
        <v>0</v>
      </c>
      <c r="P1275" s="3" t="s">
        <v>25</v>
      </c>
      <c r="Q1275" s="2">
        <v>109.14</v>
      </c>
      <c r="R1275" s="3" t="s">
        <v>58</v>
      </c>
      <c r="S1275">
        <f>COUNTIF(A:A,A1275)</f>
        <v>1</v>
      </c>
      <c r="T1275" t="str">
        <f>IF(OR(H1275="",LOWER(TRIM(H1275&amp;""))="missing",LOWER(TRIM(H1275&amp;""))=""),"Missing/",IFERROR(IF(OR(VALUE(H1275)&lt;0,VALUE(H1275)&gt;110),"Invalid","Valid"),"Check Format"))</f>
        <v>Missing/</v>
      </c>
      <c r="U1275" t="str">
        <f>IF(Raw_Data[[#This Row],[Age_Check]]="Valid",H1275,"")</f>
        <v/>
      </c>
      <c r="V1275" t="str">
        <f>IF(OR(K1275="",UPPER(TRIM(K1275&amp;""))="",LOWER(TRIM(K1275&amp;""))="",LOWER(TRIM(K1275&amp;""))="",LOWER(TRIM(K1275&amp;""))="missing"),"Missing/",IFERROR(IF(VALUE(K1275)&lt;0,"Invalid","Valid"),"Check Format"))</f>
        <v>Valid</v>
      </c>
      <c r="W1275" t="str">
        <f>IF(OR(E1275="",F1275=""),"Missing Date/Time",IFERROR(IF(F1275&gt;E1275,"Arrival After Appointment","OK"),"Check Format"))</f>
        <v>Arrival After Appointment</v>
      </c>
      <c r="X1275" t="str">
        <f>IF(OR(F1275="",G1275=""),"Missing Date/Time",IFERROR(IF(G1275&lt;F1275,"Discharge Before Arrival","OK"),"Check Format"))</f>
        <v>OK</v>
      </c>
    </row>
    <row r="1276" spans="1:24" x14ac:dyDescent="0.25">
      <c r="A1276" s="2" t="s">
        <v>1957</v>
      </c>
      <c r="B1276" s="2" t="s">
        <v>173</v>
      </c>
      <c r="D1276" s="3" t="s">
        <v>149</v>
      </c>
      <c r="E1276" s="4">
        <v>45339.555555555555</v>
      </c>
      <c r="F1276" s="4">
        <v>45339.537499999999</v>
      </c>
      <c r="G1276" s="4">
        <v>45339.581944444442</v>
      </c>
      <c r="H1276" s="5">
        <v>145</v>
      </c>
      <c r="I1276" s="3" t="s">
        <v>95</v>
      </c>
      <c r="J1276" s="3" t="s">
        <v>67</v>
      </c>
      <c r="K1276" s="5">
        <v>33</v>
      </c>
      <c r="L1276" s="5">
        <v>5</v>
      </c>
      <c r="N1276" t="s">
        <v>69</v>
      </c>
      <c r="O1276" s="5">
        <v>0</v>
      </c>
      <c r="P1276" s="3" t="s">
        <v>25</v>
      </c>
      <c r="R1276" s="3" t="s">
        <v>75</v>
      </c>
      <c r="S1276">
        <f>COUNTIF(A:A,A1276)</f>
        <v>1</v>
      </c>
      <c r="T1276" t="str">
        <f>IF(OR(H1276="",LOWER(TRIM(H1276&amp;""))="missing",LOWER(TRIM(H1276&amp;""))=""),"Missing/",IFERROR(IF(OR(VALUE(H1276)&lt;0,VALUE(H1276)&gt;110),"Invalid","Valid"),"Check Format"))</f>
        <v>Invalid</v>
      </c>
      <c r="U1276" t="str">
        <f>IF(Raw_Data[[#This Row],[Age_Check]]="Valid",H1276,"")</f>
        <v/>
      </c>
      <c r="V1276" t="str">
        <f>IF(OR(K1276="",UPPER(TRIM(K1276&amp;""))="",LOWER(TRIM(K1276&amp;""))="",LOWER(TRIM(K1276&amp;""))="",LOWER(TRIM(K1276&amp;""))="missing"),"Missing/",IFERROR(IF(VALUE(K1276)&lt;0,"Invalid","Valid"),"Check Format"))</f>
        <v>Valid</v>
      </c>
      <c r="W1276" t="str">
        <f>IF(OR(E1276="",F1276=""),"Missing Date/Time",IFERROR(IF(F1276&gt;E1276,"Arrival After Appointment","OK"),"Check Format"))</f>
        <v>OK</v>
      </c>
      <c r="X1276" t="str">
        <f>IF(OR(F1276="",G1276=""),"Missing Date/Time",IFERROR(IF(G1276&lt;F1276,"Discharge Before Arrival","OK"),"Check Format"))</f>
        <v>OK</v>
      </c>
    </row>
    <row r="1277" spans="1:24" x14ac:dyDescent="0.25">
      <c r="A1277" s="2" t="s">
        <v>1958</v>
      </c>
      <c r="B1277" s="2" t="s">
        <v>435</v>
      </c>
      <c r="C1277" s="3" t="s">
        <v>94</v>
      </c>
      <c r="D1277" s="3" t="s">
        <v>55</v>
      </c>
      <c r="E1277" s="4">
        <v>45564.552083333336</v>
      </c>
      <c r="F1277" s="4">
        <v>45564.552083333336</v>
      </c>
      <c r="G1277" s="4">
        <v>45564.64166666667</v>
      </c>
      <c r="H1277" s="5">
        <v>145</v>
      </c>
      <c r="I1277" s="3" t="s">
        <v>90</v>
      </c>
      <c r="J1277" s="3" t="s">
        <v>62</v>
      </c>
      <c r="K1277" s="5">
        <v>61</v>
      </c>
      <c r="L1277" s="5">
        <v>68</v>
      </c>
      <c r="M1277" s="3" t="s">
        <v>23</v>
      </c>
      <c r="O1277" s="5">
        <v>6</v>
      </c>
      <c r="P1277" s="3" t="s">
        <v>25</v>
      </c>
      <c r="Q1277" s="2">
        <v>167.19</v>
      </c>
      <c r="R1277" s="3" t="s">
        <v>26</v>
      </c>
      <c r="S1277">
        <f>COUNTIF(A:A,A1277)</f>
        <v>1</v>
      </c>
      <c r="T1277" t="str">
        <f>IF(OR(H1277="",LOWER(TRIM(H1277&amp;""))="missing",LOWER(TRIM(H1277&amp;""))=""),"Missing/",IFERROR(IF(OR(VALUE(H1277)&lt;0,VALUE(H1277)&gt;110),"Invalid","Valid"),"Check Format"))</f>
        <v>Invalid</v>
      </c>
      <c r="U1277" t="str">
        <f>IF(Raw_Data[[#This Row],[Age_Check]]="Valid",H1277,"")</f>
        <v/>
      </c>
      <c r="V1277" t="str">
        <f>IF(OR(K1277="",UPPER(TRIM(K1277&amp;""))="",LOWER(TRIM(K1277&amp;""))="",LOWER(TRIM(K1277&amp;""))="",LOWER(TRIM(K1277&amp;""))="missing"),"Missing/",IFERROR(IF(VALUE(K1277)&lt;0,"Invalid","Valid"),"Check Format"))</f>
        <v>Valid</v>
      </c>
      <c r="W1277" t="str">
        <f>IF(OR(E1277="",F1277=""),"Missing Date/Time",IFERROR(IF(F1277&gt;E1277,"Arrival After Appointment","OK"),"Check Format"))</f>
        <v>OK</v>
      </c>
      <c r="X1277" t="str">
        <f>IF(OR(F1277="",G1277=""),"Missing Date/Time",IFERROR(IF(G1277&lt;F1277,"Discharge Before Arrival","OK"),"Check Format"))</f>
        <v>OK</v>
      </c>
    </row>
    <row r="1278" spans="1:24" x14ac:dyDescent="0.25">
      <c r="A1278" s="2" t="s">
        <v>1959</v>
      </c>
      <c r="B1278" s="2" t="s">
        <v>1787</v>
      </c>
      <c r="C1278" s="3" t="s">
        <v>29</v>
      </c>
      <c r="D1278" s="3" t="s">
        <v>149</v>
      </c>
      <c r="E1278" s="4" t="s">
        <v>1960</v>
      </c>
      <c r="F1278" s="4">
        <v>45524.772916666669</v>
      </c>
      <c r="G1278" s="4">
        <v>45524.839583333334</v>
      </c>
      <c r="I1278" s="3" t="s">
        <v>73</v>
      </c>
      <c r="J1278" s="3" t="s">
        <v>2639</v>
      </c>
      <c r="K1278" s="5">
        <v>57</v>
      </c>
      <c r="L1278" s="5">
        <v>37</v>
      </c>
      <c r="M1278" s="3" t="s">
        <v>63</v>
      </c>
      <c r="N1278" t="s">
        <v>100</v>
      </c>
      <c r="O1278" s="5">
        <v>0</v>
      </c>
      <c r="P1278" s="3" t="s">
        <v>42</v>
      </c>
      <c r="Q1278" s="2">
        <v>144.11000000000001</v>
      </c>
      <c r="R1278" s="3" t="s">
        <v>58</v>
      </c>
      <c r="S1278">
        <f>COUNTIF(A:A,A1278)</f>
        <v>1</v>
      </c>
      <c r="T1278" t="str">
        <f>IF(OR(H1278="",LOWER(TRIM(H1278&amp;""))="missing",LOWER(TRIM(H1278&amp;""))=""),"Missing/",IFERROR(IF(OR(VALUE(H1278)&lt;0,VALUE(H1278)&gt;110),"Invalid","Valid"),"Check Format"))</f>
        <v>Missing/</v>
      </c>
      <c r="U1278" t="str">
        <f>IF(Raw_Data[[#This Row],[Age_Check]]="Valid",H1278,"")</f>
        <v/>
      </c>
      <c r="V1278" t="str">
        <f>IF(OR(K1278="",UPPER(TRIM(K1278&amp;""))="",LOWER(TRIM(K1278&amp;""))="",LOWER(TRIM(K1278&amp;""))="",LOWER(TRIM(K1278&amp;""))="missing"),"Missing/",IFERROR(IF(VALUE(K1278)&lt;0,"Invalid","Valid"),"Check Format"))</f>
        <v>Valid</v>
      </c>
      <c r="W1278" t="str">
        <f>IF(OR(E1278="",F1278=""),"Missing Date/Time",IFERROR(IF(F1278&gt;E1278,"Arrival After Appointment","OK"),"Check Format"))</f>
        <v>OK</v>
      </c>
      <c r="X1278" t="str">
        <f>IF(OR(F1278="",G1278=""),"Missing Date/Time",IFERROR(IF(G1278&lt;F1278,"Discharge Before Arrival","OK"),"Check Format"))</f>
        <v>OK</v>
      </c>
    </row>
    <row r="1279" spans="1:24" x14ac:dyDescent="0.25">
      <c r="A1279" s="2" t="s">
        <v>1961</v>
      </c>
      <c r="B1279" s="2" t="s">
        <v>152</v>
      </c>
      <c r="C1279" s="3" t="s">
        <v>19</v>
      </c>
      <c r="D1279" s="3" t="s">
        <v>72</v>
      </c>
      <c r="E1279" s="4">
        <v>45832.548611111109</v>
      </c>
      <c r="F1279" s="4">
        <v>45832.527777777781</v>
      </c>
      <c r="G1279" s="4">
        <v>45832.600694444445</v>
      </c>
      <c r="H1279" s="5">
        <v>20</v>
      </c>
      <c r="I1279" s="3" t="s">
        <v>73</v>
      </c>
      <c r="J1279" s="3" t="s">
        <v>150</v>
      </c>
      <c r="K1279" s="5">
        <v>29</v>
      </c>
      <c r="L1279" s="5">
        <v>46</v>
      </c>
      <c r="M1279" s="3" t="s">
        <v>87</v>
      </c>
      <c r="N1279" t="s">
        <v>74</v>
      </c>
      <c r="P1279" s="3" t="s">
        <v>80</v>
      </c>
      <c r="Q1279" s="2">
        <v>163.06</v>
      </c>
      <c r="R1279" s="3" t="s">
        <v>58</v>
      </c>
      <c r="S1279">
        <f>COUNTIF(A:A,A1279)</f>
        <v>1</v>
      </c>
      <c r="T1279" t="str">
        <f>IF(OR(H1279="",LOWER(TRIM(H1279&amp;""))="missing",LOWER(TRIM(H1279&amp;""))=""),"Missing/",IFERROR(IF(OR(VALUE(H1279)&lt;0,VALUE(H1279)&gt;110),"Invalid","Valid"),"Check Format"))</f>
        <v>Valid</v>
      </c>
      <c r="U1279">
        <f>IF(Raw_Data[[#This Row],[Age_Check]]="Valid",H1279,"")</f>
        <v>20</v>
      </c>
      <c r="V1279" t="str">
        <f>IF(OR(K1279="",UPPER(TRIM(K1279&amp;""))="",LOWER(TRIM(K1279&amp;""))="",LOWER(TRIM(K1279&amp;""))="",LOWER(TRIM(K1279&amp;""))="missing"),"Missing/",IFERROR(IF(VALUE(K1279)&lt;0,"Invalid","Valid"),"Check Format"))</f>
        <v>Valid</v>
      </c>
      <c r="W1279" t="str">
        <f>IF(OR(E1279="",F1279=""),"Missing Date/Time",IFERROR(IF(F1279&gt;E1279,"Arrival After Appointment","OK"),"Check Format"))</f>
        <v>OK</v>
      </c>
      <c r="X1279" t="str">
        <f>IF(OR(F1279="",G1279=""),"Missing Date/Time",IFERROR(IF(G1279&lt;F1279,"Discharge Before Arrival","OK"),"Check Format"))</f>
        <v>OK</v>
      </c>
    </row>
    <row r="1280" spans="1:24" x14ac:dyDescent="0.25">
      <c r="A1280" s="2" t="s">
        <v>1962</v>
      </c>
      <c r="B1280" s="2" t="s">
        <v>1963</v>
      </c>
      <c r="C1280" s="3" t="s">
        <v>94</v>
      </c>
      <c r="D1280" s="3" t="s">
        <v>55</v>
      </c>
      <c r="E1280" s="4">
        <v>45462.722222222219</v>
      </c>
      <c r="F1280" s="4">
        <v>45462.72152777778</v>
      </c>
      <c r="G1280" s="4">
        <v>45462.772222222222</v>
      </c>
      <c r="H1280" s="5">
        <v>145</v>
      </c>
      <c r="K1280" s="5">
        <v>58</v>
      </c>
      <c r="L1280" s="5">
        <v>14</v>
      </c>
      <c r="M1280" s="3" t="s">
        <v>50</v>
      </c>
      <c r="N1280" t="s">
        <v>100</v>
      </c>
      <c r="O1280" s="5">
        <v>4</v>
      </c>
      <c r="P1280" s="3" t="s">
        <v>42</v>
      </c>
      <c r="Q1280" s="2">
        <v>249.28</v>
      </c>
      <c r="R1280" s="3" t="s">
        <v>75</v>
      </c>
      <c r="S1280">
        <f>COUNTIF(A:A,A1280)</f>
        <v>1</v>
      </c>
      <c r="T1280" t="str">
        <f>IF(OR(H1280="",LOWER(TRIM(H1280&amp;""))="missing",LOWER(TRIM(H1280&amp;""))=""),"Missing/",IFERROR(IF(OR(VALUE(H1280)&lt;0,VALUE(H1280)&gt;110),"Invalid","Valid"),"Check Format"))</f>
        <v>Invalid</v>
      </c>
      <c r="U1280" t="str">
        <f>IF(Raw_Data[[#This Row],[Age_Check]]="Valid",H1280,"")</f>
        <v/>
      </c>
      <c r="V1280" t="str">
        <f>IF(OR(K1280="",UPPER(TRIM(K1280&amp;""))="",LOWER(TRIM(K1280&amp;""))="",LOWER(TRIM(K1280&amp;""))="",LOWER(TRIM(K1280&amp;""))="missing"),"Missing/",IFERROR(IF(VALUE(K1280)&lt;0,"Invalid","Valid"),"Check Format"))</f>
        <v>Valid</v>
      </c>
      <c r="W1280" t="str">
        <f>IF(OR(E1280="",F1280=""),"Missing Date/Time",IFERROR(IF(F1280&gt;E1280,"Arrival After Appointment","OK"),"Check Format"))</f>
        <v>OK</v>
      </c>
      <c r="X1280" t="str">
        <f>IF(OR(F1280="",G1280=""),"Missing Date/Time",IFERROR(IF(G1280&lt;F1280,"Discharge Before Arrival","OK"),"Check Format"))</f>
        <v>OK</v>
      </c>
    </row>
    <row r="1281" spans="1:24" x14ac:dyDescent="0.25">
      <c r="A1281" s="2" t="s">
        <v>1964</v>
      </c>
      <c r="B1281" s="2" t="s">
        <v>1063</v>
      </c>
      <c r="C1281" s="3" t="s">
        <v>46</v>
      </c>
      <c r="D1281" s="3" t="s">
        <v>23</v>
      </c>
      <c r="E1281" s="4">
        <v>45480.315972222219</v>
      </c>
      <c r="F1281" s="4">
        <v>45480.313194444447</v>
      </c>
      <c r="G1281" s="4">
        <v>45480.387499999997</v>
      </c>
      <c r="H1281" s="5">
        <v>32</v>
      </c>
      <c r="I1281" s="3" t="s">
        <v>95</v>
      </c>
      <c r="J1281" s="3" t="s">
        <v>171</v>
      </c>
      <c r="K1281" s="5">
        <v>81</v>
      </c>
      <c r="L1281" s="5">
        <v>22</v>
      </c>
      <c r="M1281" s="3" t="s">
        <v>68</v>
      </c>
      <c r="N1281" t="s">
        <v>24</v>
      </c>
      <c r="O1281" s="5">
        <v>4</v>
      </c>
      <c r="P1281" s="3" t="s">
        <v>42</v>
      </c>
      <c r="Q1281" s="2">
        <v>225.15</v>
      </c>
      <c r="R1281" s="3" t="s">
        <v>58</v>
      </c>
      <c r="S1281">
        <f>COUNTIF(A:A,A1281)</f>
        <v>1</v>
      </c>
      <c r="T1281" t="str">
        <f>IF(OR(H1281="",LOWER(TRIM(H1281&amp;""))="missing",LOWER(TRIM(H1281&amp;""))=""),"Missing/",IFERROR(IF(OR(VALUE(H1281)&lt;0,VALUE(H1281)&gt;110),"Invalid","Valid"),"Check Format"))</f>
        <v>Valid</v>
      </c>
      <c r="U1281">
        <f>IF(Raw_Data[[#This Row],[Age_Check]]="Valid",H1281,"")</f>
        <v>32</v>
      </c>
      <c r="V1281" t="str">
        <f>IF(OR(K1281="",UPPER(TRIM(K1281&amp;""))="",LOWER(TRIM(K1281&amp;""))="",LOWER(TRIM(K1281&amp;""))="",LOWER(TRIM(K1281&amp;""))="missing"),"Missing/",IFERROR(IF(VALUE(K1281)&lt;0,"Invalid","Valid"),"Check Format"))</f>
        <v>Valid</v>
      </c>
      <c r="W1281" t="str">
        <f>IF(OR(E1281="",F1281=""),"Missing Date/Time",IFERROR(IF(F1281&gt;E1281,"Arrival After Appointment","OK"),"Check Format"))</f>
        <v>OK</v>
      </c>
      <c r="X1281" t="str">
        <f>IF(OR(F1281="",G1281=""),"Missing Date/Time",IFERROR(IF(G1281&lt;F1281,"Discharge Before Arrival","OK"),"Check Format"))</f>
        <v>OK</v>
      </c>
    </row>
    <row r="1282" spans="1:24" x14ac:dyDescent="0.25">
      <c r="A1282" s="2" t="s">
        <v>1965</v>
      </c>
      <c r="B1282" s="2" t="s">
        <v>1485</v>
      </c>
      <c r="C1282" s="3" t="s">
        <v>19</v>
      </c>
      <c r="D1282" s="3" t="s">
        <v>23</v>
      </c>
      <c r="E1282" s="4">
        <v>45424.368055555555</v>
      </c>
      <c r="F1282" s="4">
        <v>45631.352777777778</v>
      </c>
      <c r="G1282" s="4">
        <v>45631.407638888886</v>
      </c>
      <c r="H1282" s="5">
        <v>90</v>
      </c>
      <c r="I1282" s="3" t="s">
        <v>95</v>
      </c>
      <c r="J1282" s="3" t="s">
        <v>67</v>
      </c>
      <c r="K1282" s="5">
        <v>40</v>
      </c>
      <c r="L1282" s="5">
        <v>17</v>
      </c>
      <c r="N1282" t="s">
        <v>69</v>
      </c>
      <c r="O1282" s="5">
        <v>2</v>
      </c>
      <c r="P1282" s="3" t="s">
        <v>80</v>
      </c>
      <c r="Q1282" s="2">
        <v>84.22</v>
      </c>
      <c r="R1282" s="3" t="s">
        <v>58</v>
      </c>
      <c r="S1282">
        <f>COUNTIF(A:A,A1282)</f>
        <v>1</v>
      </c>
      <c r="T1282" t="str">
        <f>IF(OR(H1282="",LOWER(TRIM(H1282&amp;""))="missing",LOWER(TRIM(H1282&amp;""))=""),"Missing/",IFERROR(IF(OR(VALUE(H1282)&lt;0,VALUE(H1282)&gt;110),"Invalid","Valid"),"Check Format"))</f>
        <v>Valid</v>
      </c>
      <c r="U1282">
        <f>IF(Raw_Data[[#This Row],[Age_Check]]="Valid",H1282,"")</f>
        <v>90</v>
      </c>
      <c r="V1282" t="str">
        <f>IF(OR(K1282="",UPPER(TRIM(K1282&amp;""))="",LOWER(TRIM(K1282&amp;""))="",LOWER(TRIM(K1282&amp;""))="",LOWER(TRIM(K1282&amp;""))="missing"),"Missing/",IFERROR(IF(VALUE(K1282)&lt;0,"Invalid","Valid"),"Check Format"))</f>
        <v>Valid</v>
      </c>
      <c r="W1282" t="str">
        <f>IF(OR(E1282="",F1282=""),"Missing Date/Time",IFERROR(IF(F1282&gt;E1282,"Arrival After Appointment","OK"),"Check Format"))</f>
        <v>Arrival After Appointment</v>
      </c>
      <c r="X1282" t="str">
        <f>IF(OR(F1282="",G1282=""),"Missing Date/Time",IFERROR(IF(G1282&lt;F1282,"Discharge Before Arrival","OK"),"Check Format"))</f>
        <v>OK</v>
      </c>
    </row>
    <row r="1283" spans="1:24" x14ac:dyDescent="0.25">
      <c r="A1283" s="2" t="s">
        <v>1966</v>
      </c>
      <c r="B1283" s="2" t="s">
        <v>192</v>
      </c>
      <c r="C1283" s="3" t="s">
        <v>94</v>
      </c>
      <c r="D1283" s="3" t="s">
        <v>99</v>
      </c>
      <c r="E1283" s="4">
        <v>45961.635416666664</v>
      </c>
      <c r="F1283" s="4">
        <v>45961.621527777781</v>
      </c>
      <c r="G1283" s="4">
        <v>45961.663194444445</v>
      </c>
      <c r="H1283" s="5">
        <v>42</v>
      </c>
      <c r="J1283" s="3" t="s">
        <v>67</v>
      </c>
      <c r="K1283" s="5">
        <v>0</v>
      </c>
      <c r="L1283" s="5">
        <v>40</v>
      </c>
      <c r="M1283" s="3" t="s">
        <v>23</v>
      </c>
      <c r="N1283" t="s">
        <v>69</v>
      </c>
      <c r="O1283" s="5">
        <v>6</v>
      </c>
      <c r="P1283" s="3" t="s">
        <v>25</v>
      </c>
      <c r="Q1283" s="2">
        <v>0</v>
      </c>
      <c r="R1283" s="3" t="s">
        <v>58</v>
      </c>
      <c r="S1283">
        <f>COUNTIF(A:A,A1283)</f>
        <v>1</v>
      </c>
      <c r="T1283" t="str">
        <f>IF(OR(H1283="",LOWER(TRIM(H1283&amp;""))="missing",LOWER(TRIM(H1283&amp;""))=""),"Missing/",IFERROR(IF(OR(VALUE(H1283)&lt;0,VALUE(H1283)&gt;110),"Invalid","Valid"),"Check Format"))</f>
        <v>Valid</v>
      </c>
      <c r="U1283">
        <f>IF(Raw_Data[[#This Row],[Age_Check]]="Valid",H1283,"")</f>
        <v>42</v>
      </c>
      <c r="V1283" t="str">
        <f>IF(OR(K1283="",UPPER(TRIM(K1283&amp;""))="",LOWER(TRIM(K1283&amp;""))="",LOWER(TRIM(K1283&amp;""))="",LOWER(TRIM(K1283&amp;""))="missing"),"Missing/",IFERROR(IF(VALUE(K1283)&lt;0,"Invalid","Valid"),"Check Format"))</f>
        <v>Valid</v>
      </c>
      <c r="W1283" t="str">
        <f>IF(OR(E1283="",F1283=""),"Missing Date/Time",IFERROR(IF(F1283&gt;E1283,"Arrival After Appointment","OK"),"Check Format"))</f>
        <v>OK</v>
      </c>
      <c r="X1283" t="str">
        <f>IF(OR(F1283="",G1283=""),"Missing Date/Time",IFERROR(IF(G1283&lt;F1283,"Discharge Before Arrival","OK"),"Check Format"))</f>
        <v>OK</v>
      </c>
    </row>
    <row r="1284" spans="1:24" x14ac:dyDescent="0.25">
      <c r="A1284" s="2" t="s">
        <v>1967</v>
      </c>
      <c r="B1284" s="2" t="s">
        <v>1968</v>
      </c>
      <c r="C1284" s="3" t="s">
        <v>46</v>
      </c>
      <c r="D1284" s="3" t="s">
        <v>106</v>
      </c>
      <c r="E1284" s="4">
        <v>45724.572916666664</v>
      </c>
      <c r="G1284" s="4">
        <v>45724.586805555555</v>
      </c>
      <c r="I1284" s="3" t="s">
        <v>90</v>
      </c>
      <c r="J1284" s="3" t="s">
        <v>67</v>
      </c>
      <c r="K1284" s="5">
        <v>15</v>
      </c>
      <c r="L1284" s="5">
        <v>5</v>
      </c>
      <c r="M1284" s="3" t="s">
        <v>63</v>
      </c>
      <c r="N1284" t="s">
        <v>100</v>
      </c>
      <c r="O1284" s="5">
        <v>1</v>
      </c>
      <c r="P1284" s="3" t="s">
        <v>80</v>
      </c>
      <c r="Q1284" s="2">
        <v>138.11000000000001</v>
      </c>
      <c r="R1284" s="3" t="s">
        <v>26</v>
      </c>
      <c r="S1284">
        <f>COUNTIF(A:A,A1284)</f>
        <v>1</v>
      </c>
      <c r="T1284" t="str">
        <f>IF(OR(H1284="",LOWER(TRIM(H1284&amp;""))="missing",LOWER(TRIM(H1284&amp;""))=""),"Missing/",IFERROR(IF(OR(VALUE(H1284)&lt;0,VALUE(H1284)&gt;110),"Invalid","Valid"),"Check Format"))</f>
        <v>Missing/</v>
      </c>
      <c r="U1284" t="str">
        <f>IF(Raw_Data[[#This Row],[Age_Check]]="Valid",H1284,"")</f>
        <v/>
      </c>
      <c r="V1284" t="str">
        <f>IF(OR(K1284="",UPPER(TRIM(K1284&amp;""))="",LOWER(TRIM(K1284&amp;""))="",LOWER(TRIM(K1284&amp;""))="",LOWER(TRIM(K1284&amp;""))="missing"),"Missing/",IFERROR(IF(VALUE(K1284)&lt;0,"Invalid","Valid"),"Check Format"))</f>
        <v>Valid</v>
      </c>
      <c r="W1284" t="str">
        <f>IF(OR(E1284="",F1284=""),"Missing Date/Time",IFERROR(IF(F1284&gt;E1284,"Arrival After Appointment","OK"),"Check Format"))</f>
        <v>Missing Date/Time</v>
      </c>
      <c r="X1284" t="str">
        <f>IF(OR(F1284="",G1284=""),"Missing Date/Time",IFERROR(IF(G1284&lt;F1284,"Discharge Before Arrival","OK"),"Check Format"))</f>
        <v>Missing Date/Time</v>
      </c>
    </row>
    <row r="1285" spans="1:24" x14ac:dyDescent="0.25">
      <c r="A1285" s="2" t="s">
        <v>1969</v>
      </c>
      <c r="B1285" s="2" t="s">
        <v>269</v>
      </c>
      <c r="C1285" s="3" t="s">
        <v>19</v>
      </c>
      <c r="D1285" s="3" t="s">
        <v>23</v>
      </c>
      <c r="E1285" s="4">
        <v>45589.767361111109</v>
      </c>
      <c r="F1285" s="4">
        <v>45589.761111111111</v>
      </c>
      <c r="G1285" s="4">
        <v>45589.821527777778</v>
      </c>
      <c r="H1285" s="5">
        <v>88</v>
      </c>
      <c r="K1285" s="5">
        <v>52</v>
      </c>
      <c r="L1285" s="5">
        <v>26</v>
      </c>
      <c r="M1285" s="3" t="s">
        <v>87</v>
      </c>
      <c r="O1285" s="5">
        <v>2</v>
      </c>
      <c r="P1285" s="3" t="s">
        <v>25</v>
      </c>
      <c r="Q1285" s="2">
        <v>61.59</v>
      </c>
      <c r="R1285" s="3" t="s">
        <v>75</v>
      </c>
      <c r="S1285">
        <f>COUNTIF(A:A,A1285)</f>
        <v>1</v>
      </c>
      <c r="T1285" t="str">
        <f>IF(OR(H1285="",LOWER(TRIM(H1285&amp;""))="missing",LOWER(TRIM(H1285&amp;""))=""),"Missing/",IFERROR(IF(OR(VALUE(H1285)&lt;0,VALUE(H1285)&gt;110),"Invalid","Valid"),"Check Format"))</f>
        <v>Valid</v>
      </c>
      <c r="U1285">
        <f>IF(Raw_Data[[#This Row],[Age_Check]]="Valid",H1285,"")</f>
        <v>88</v>
      </c>
      <c r="V1285" t="str">
        <f>IF(OR(K1285="",UPPER(TRIM(K1285&amp;""))="",LOWER(TRIM(K1285&amp;""))="",LOWER(TRIM(K1285&amp;""))="",LOWER(TRIM(K1285&amp;""))="missing"),"Missing/",IFERROR(IF(VALUE(K1285)&lt;0,"Invalid","Valid"),"Check Format"))</f>
        <v>Valid</v>
      </c>
      <c r="W1285" t="str">
        <f>IF(OR(E1285="",F1285=""),"Missing Date/Time",IFERROR(IF(F1285&gt;E1285,"Arrival After Appointment","OK"),"Check Format"))</f>
        <v>OK</v>
      </c>
      <c r="X1285" t="str">
        <f>IF(OR(F1285="",G1285=""),"Missing Date/Time",IFERROR(IF(G1285&lt;F1285,"Discharge Before Arrival","OK"),"Check Format"))</f>
        <v>OK</v>
      </c>
    </row>
    <row r="1286" spans="1:24" x14ac:dyDescent="0.25">
      <c r="A1286" s="2" t="s">
        <v>1970</v>
      </c>
      <c r="B1286" s="2" t="s">
        <v>204</v>
      </c>
      <c r="C1286" s="3" t="s">
        <v>94</v>
      </c>
      <c r="D1286" s="3" t="s">
        <v>66</v>
      </c>
      <c r="E1286" s="4">
        <v>45709.697916666664</v>
      </c>
      <c r="F1286" s="4">
        <v>45709.69027777778</v>
      </c>
      <c r="G1286" s="4">
        <v>45709.736805555556</v>
      </c>
      <c r="H1286" s="5">
        <v>89</v>
      </c>
      <c r="I1286" s="3" t="s">
        <v>95</v>
      </c>
      <c r="J1286" s="3" t="s">
        <v>67</v>
      </c>
      <c r="K1286" s="5">
        <v>16</v>
      </c>
      <c r="L1286" s="5">
        <v>40</v>
      </c>
      <c r="M1286" s="3" t="s">
        <v>87</v>
      </c>
      <c r="N1286" t="s">
        <v>91</v>
      </c>
      <c r="O1286" s="5">
        <v>5</v>
      </c>
      <c r="P1286" s="3" t="s">
        <v>80</v>
      </c>
      <c r="Q1286" s="2">
        <v>100.96</v>
      </c>
      <c r="R1286" s="3" t="s">
        <v>75</v>
      </c>
      <c r="S1286">
        <f>COUNTIF(A:A,A1286)</f>
        <v>1</v>
      </c>
      <c r="T1286" t="str">
        <f>IF(OR(H1286="",LOWER(TRIM(H1286&amp;""))="missing",LOWER(TRIM(H1286&amp;""))=""),"Missing/",IFERROR(IF(OR(VALUE(H1286)&lt;0,VALUE(H1286)&gt;110),"Invalid","Valid"),"Check Format"))</f>
        <v>Valid</v>
      </c>
      <c r="U1286">
        <f>IF(Raw_Data[[#This Row],[Age_Check]]="Valid",H1286,"")</f>
        <v>89</v>
      </c>
      <c r="V1286" t="str">
        <f>IF(OR(K1286="",UPPER(TRIM(K1286&amp;""))="",LOWER(TRIM(K1286&amp;""))="",LOWER(TRIM(K1286&amp;""))="",LOWER(TRIM(K1286&amp;""))="missing"),"Missing/",IFERROR(IF(VALUE(K1286)&lt;0,"Invalid","Valid"),"Check Format"))</f>
        <v>Valid</v>
      </c>
      <c r="W1286" t="str">
        <f>IF(OR(E1286="",F1286=""),"Missing Date/Time",IFERROR(IF(F1286&gt;E1286,"Arrival After Appointment","OK"),"Check Format"))</f>
        <v>OK</v>
      </c>
      <c r="X1286" t="str">
        <f>IF(OR(F1286="",G1286=""),"Missing Date/Time",IFERROR(IF(G1286&lt;F1286,"Discharge Before Arrival","OK"),"Check Format"))</f>
        <v>OK</v>
      </c>
    </row>
    <row r="1287" spans="1:24" x14ac:dyDescent="0.25">
      <c r="A1287" s="2" t="s">
        <v>1971</v>
      </c>
      <c r="B1287" s="2" t="s">
        <v>170</v>
      </c>
      <c r="C1287" s="3" t="s">
        <v>37</v>
      </c>
      <c r="D1287" s="3" t="s">
        <v>72</v>
      </c>
      <c r="E1287" s="4">
        <v>46008.763888888891</v>
      </c>
      <c r="F1287" s="4">
        <v>46008.763194444444</v>
      </c>
      <c r="G1287" s="4">
        <v>46008.822916666664</v>
      </c>
      <c r="I1287" s="3" t="s">
        <v>95</v>
      </c>
      <c r="J1287" s="3" t="s">
        <v>62</v>
      </c>
      <c r="K1287" s="5">
        <v>69</v>
      </c>
      <c r="L1287" s="5">
        <v>16</v>
      </c>
      <c r="M1287" s="3" t="s">
        <v>41</v>
      </c>
      <c r="N1287" t="s">
        <v>91</v>
      </c>
      <c r="O1287" s="5">
        <v>4</v>
      </c>
      <c r="P1287" s="3" t="s">
        <v>80</v>
      </c>
      <c r="Q1287" s="2">
        <v>159.49</v>
      </c>
      <c r="R1287" s="3" t="s">
        <v>26</v>
      </c>
      <c r="S1287">
        <f>COUNTIF(A:A,A1287)</f>
        <v>1</v>
      </c>
      <c r="T1287" t="str">
        <f>IF(OR(H1287="",LOWER(TRIM(H1287&amp;""))="missing",LOWER(TRIM(H1287&amp;""))=""),"Missing/",IFERROR(IF(OR(VALUE(H1287)&lt;0,VALUE(H1287)&gt;110),"Invalid","Valid"),"Check Format"))</f>
        <v>Missing/</v>
      </c>
      <c r="U1287" t="str">
        <f>IF(Raw_Data[[#This Row],[Age_Check]]="Valid",H1287,"")</f>
        <v/>
      </c>
      <c r="V1287" t="str">
        <f>IF(OR(K1287="",UPPER(TRIM(K1287&amp;""))="",LOWER(TRIM(K1287&amp;""))="",LOWER(TRIM(K1287&amp;""))="",LOWER(TRIM(K1287&amp;""))="missing"),"Missing/",IFERROR(IF(VALUE(K1287)&lt;0,"Invalid","Valid"),"Check Format"))</f>
        <v>Valid</v>
      </c>
      <c r="W1287" t="str">
        <f>IF(OR(E1287="",F1287=""),"Missing Date/Time",IFERROR(IF(F1287&gt;E1287,"Arrival After Appointment","OK"),"Check Format"))</f>
        <v>OK</v>
      </c>
      <c r="X1287" t="str">
        <f>IF(OR(F1287="",G1287=""),"Missing Date/Time",IFERROR(IF(G1287&lt;F1287,"Discharge Before Arrival","OK"),"Check Format"))</f>
        <v>OK</v>
      </c>
    </row>
    <row r="1288" spans="1:24" x14ac:dyDescent="0.25">
      <c r="A1288" s="2" t="s">
        <v>1972</v>
      </c>
      <c r="B1288" s="2" t="s">
        <v>637</v>
      </c>
      <c r="C1288" s="3" t="s">
        <v>46</v>
      </c>
      <c r="D1288" s="3" t="s">
        <v>149</v>
      </c>
      <c r="E1288" s="4">
        <v>45376.597222222219</v>
      </c>
      <c r="F1288" s="4">
        <v>45376.589583333334</v>
      </c>
      <c r="G1288" s="4">
        <v>45376.697916666664</v>
      </c>
      <c r="H1288" s="5">
        <v>68</v>
      </c>
      <c r="K1288" s="5">
        <v>103</v>
      </c>
      <c r="L1288" s="5">
        <v>42</v>
      </c>
      <c r="M1288" s="3" t="s">
        <v>32</v>
      </c>
      <c r="N1288" t="s">
        <v>100</v>
      </c>
      <c r="O1288" s="5">
        <v>5</v>
      </c>
      <c r="Q1288" s="2">
        <v>112.01</v>
      </c>
      <c r="R1288" s="3" t="s">
        <v>75</v>
      </c>
      <c r="S1288">
        <f>COUNTIF(A:A,A1288)</f>
        <v>1</v>
      </c>
      <c r="T1288" t="str">
        <f>IF(OR(H1288="",LOWER(TRIM(H1288&amp;""))="missing",LOWER(TRIM(H1288&amp;""))=""),"Missing/",IFERROR(IF(OR(VALUE(H1288)&lt;0,VALUE(H1288)&gt;110),"Invalid","Valid"),"Check Format"))</f>
        <v>Valid</v>
      </c>
      <c r="U1288">
        <f>IF(Raw_Data[[#This Row],[Age_Check]]="Valid",H1288,"")</f>
        <v>68</v>
      </c>
      <c r="V1288" t="str">
        <f>IF(OR(K1288="",UPPER(TRIM(K1288&amp;""))="",LOWER(TRIM(K1288&amp;""))="",LOWER(TRIM(K1288&amp;""))="",LOWER(TRIM(K1288&amp;""))="missing"),"Missing/",IFERROR(IF(VALUE(K1288)&lt;0,"Invalid","Valid"),"Check Format"))</f>
        <v>Valid</v>
      </c>
      <c r="W1288" t="str">
        <f>IF(OR(E1288="",F1288=""),"Missing Date/Time",IFERROR(IF(F1288&gt;E1288,"Arrival After Appointment","OK"),"Check Format"))</f>
        <v>OK</v>
      </c>
      <c r="X1288" t="str">
        <f>IF(OR(F1288="",G1288=""),"Missing Date/Time",IFERROR(IF(G1288&lt;F1288,"Discharge Before Arrival","OK"),"Check Format"))</f>
        <v>OK</v>
      </c>
    </row>
    <row r="1289" spans="1:24" x14ac:dyDescent="0.25">
      <c r="A1289" s="2" t="s">
        <v>1973</v>
      </c>
      <c r="B1289" s="2" t="s">
        <v>1974</v>
      </c>
      <c r="C1289" s="3" t="s">
        <v>29</v>
      </c>
      <c r="D1289" s="3" t="s">
        <v>99</v>
      </c>
      <c r="E1289" s="4" t="s">
        <v>1975</v>
      </c>
      <c r="F1289" s="4">
        <v>45517.534722222219</v>
      </c>
      <c r="H1289" s="5">
        <v>145</v>
      </c>
      <c r="I1289" s="3" t="s">
        <v>95</v>
      </c>
      <c r="J1289" s="3" t="s">
        <v>150</v>
      </c>
      <c r="K1289" s="5">
        <v>67</v>
      </c>
      <c r="L1289" s="5">
        <v>27</v>
      </c>
      <c r="M1289" s="3" t="s">
        <v>32</v>
      </c>
      <c r="N1289" t="s">
        <v>91</v>
      </c>
      <c r="O1289" s="5">
        <v>6</v>
      </c>
      <c r="P1289" s="3" t="s">
        <v>25</v>
      </c>
      <c r="Q1289" s="2">
        <v>145.63</v>
      </c>
      <c r="R1289" s="3" t="s">
        <v>58</v>
      </c>
      <c r="S1289">
        <f>COUNTIF(A:A,A1289)</f>
        <v>1</v>
      </c>
      <c r="T1289" t="str">
        <f>IF(OR(H1289="",LOWER(TRIM(H1289&amp;""))="missing",LOWER(TRIM(H1289&amp;""))=""),"Missing/",IFERROR(IF(OR(VALUE(H1289)&lt;0,VALUE(H1289)&gt;110),"Invalid","Valid"),"Check Format"))</f>
        <v>Invalid</v>
      </c>
      <c r="U1289" t="str">
        <f>IF(Raw_Data[[#This Row],[Age_Check]]="Valid",H1289,"")</f>
        <v/>
      </c>
      <c r="V1289" t="str">
        <f>IF(OR(K1289="",UPPER(TRIM(K1289&amp;""))="",LOWER(TRIM(K1289&amp;""))="",LOWER(TRIM(K1289&amp;""))="",LOWER(TRIM(K1289&amp;""))="missing"),"Missing/",IFERROR(IF(VALUE(K1289)&lt;0,"Invalid","Valid"),"Check Format"))</f>
        <v>Valid</v>
      </c>
      <c r="W1289" t="str">
        <f>IF(OR(E1289="",F1289=""),"Missing Date/Time",IFERROR(IF(F1289&gt;E1289,"Arrival After Appointment","OK"),"Check Format"))</f>
        <v>OK</v>
      </c>
      <c r="X1289" t="str">
        <f>IF(OR(F1289="",G1289=""),"Missing Date/Time",IFERROR(IF(G1289&lt;F1289,"Discharge Before Arrival","OK"),"Check Format"))</f>
        <v>Missing Date/Time</v>
      </c>
    </row>
    <row r="1290" spans="1:24" x14ac:dyDescent="0.25">
      <c r="A1290" s="2" t="s">
        <v>1976</v>
      </c>
      <c r="B1290" s="2" t="s">
        <v>259</v>
      </c>
      <c r="C1290" s="3" t="s">
        <v>94</v>
      </c>
      <c r="D1290" s="3" t="s">
        <v>99</v>
      </c>
      <c r="E1290" s="4" t="s">
        <v>1977</v>
      </c>
      <c r="F1290" s="4">
        <v>45898.625694444447</v>
      </c>
      <c r="G1290" s="4">
        <v>45898.6875</v>
      </c>
      <c r="H1290" s="5">
        <v>41</v>
      </c>
      <c r="I1290" s="3" t="s">
        <v>73</v>
      </c>
      <c r="J1290" s="3" t="s">
        <v>67</v>
      </c>
      <c r="K1290" s="5">
        <v>46</v>
      </c>
      <c r="L1290" s="5">
        <v>29</v>
      </c>
      <c r="N1290" t="s">
        <v>74</v>
      </c>
      <c r="P1290" s="3" t="s">
        <v>25</v>
      </c>
      <c r="Q1290" s="2">
        <v>161.97</v>
      </c>
      <c r="R1290" s="3" t="s">
        <v>58</v>
      </c>
      <c r="S1290">
        <f>COUNTIF(A:A,A1290)</f>
        <v>1</v>
      </c>
      <c r="T1290" t="str">
        <f>IF(OR(H1290="",LOWER(TRIM(H1290&amp;""))="missing",LOWER(TRIM(H1290&amp;""))=""),"Missing/",IFERROR(IF(OR(VALUE(H1290)&lt;0,VALUE(H1290)&gt;110),"Invalid","Valid"),"Check Format"))</f>
        <v>Valid</v>
      </c>
      <c r="U1290">
        <f>IF(Raw_Data[[#This Row],[Age_Check]]="Valid",H1290,"")</f>
        <v>41</v>
      </c>
      <c r="V1290" t="str">
        <f>IF(OR(K1290="",UPPER(TRIM(K1290&amp;""))="",LOWER(TRIM(K1290&amp;""))="",LOWER(TRIM(K1290&amp;""))="",LOWER(TRIM(K1290&amp;""))="missing"),"Missing/",IFERROR(IF(VALUE(K1290)&lt;0,"Invalid","Valid"),"Check Format"))</f>
        <v>Valid</v>
      </c>
      <c r="W1290" t="str">
        <f>IF(OR(E1290="",F1290=""),"Missing Date/Time",IFERROR(IF(F1290&gt;E1290,"Arrival After Appointment","OK"),"Check Format"))</f>
        <v>OK</v>
      </c>
      <c r="X1290" t="str">
        <f>IF(OR(F1290="",G1290=""),"Missing Date/Time",IFERROR(IF(G1290&lt;F1290,"Discharge Before Arrival","OK"),"Check Format"))</f>
        <v>OK</v>
      </c>
    </row>
    <row r="1291" spans="1:24" x14ac:dyDescent="0.25">
      <c r="A1291" s="2" t="s">
        <v>1978</v>
      </c>
      <c r="B1291" s="2" t="s">
        <v>691</v>
      </c>
      <c r="C1291" s="3" t="s">
        <v>94</v>
      </c>
      <c r="D1291" s="3" t="s">
        <v>20</v>
      </c>
      <c r="E1291" s="4">
        <v>45463.378472222219</v>
      </c>
      <c r="F1291" s="4">
        <v>45463.35833333333</v>
      </c>
      <c r="G1291" s="4">
        <v>45463.40347222222</v>
      </c>
      <c r="I1291" s="3" t="s">
        <v>73</v>
      </c>
      <c r="J1291" s="3" t="s">
        <v>2639</v>
      </c>
      <c r="K1291" s="5">
        <v>23</v>
      </c>
      <c r="L1291" s="5">
        <v>13</v>
      </c>
      <c r="M1291" s="3" t="s">
        <v>68</v>
      </c>
      <c r="O1291" s="5">
        <v>6</v>
      </c>
      <c r="P1291" s="3" t="s">
        <v>25</v>
      </c>
      <c r="Q1291" s="2">
        <v>33.92</v>
      </c>
      <c r="R1291" s="3" t="s">
        <v>58</v>
      </c>
      <c r="S1291">
        <f>COUNTIF(A:A,A1291)</f>
        <v>1</v>
      </c>
      <c r="T1291" t="str">
        <f>IF(OR(H1291="",LOWER(TRIM(H1291&amp;""))="missing",LOWER(TRIM(H1291&amp;""))=""),"Missing/",IFERROR(IF(OR(VALUE(H1291)&lt;0,VALUE(H1291)&gt;110),"Invalid","Valid"),"Check Format"))</f>
        <v>Missing/</v>
      </c>
      <c r="U1291" t="str">
        <f>IF(Raw_Data[[#This Row],[Age_Check]]="Valid",H1291,"")</f>
        <v/>
      </c>
      <c r="V1291" t="str">
        <f>IF(OR(K1291="",UPPER(TRIM(K1291&amp;""))="",LOWER(TRIM(K1291&amp;""))="",LOWER(TRIM(K1291&amp;""))="",LOWER(TRIM(K1291&amp;""))="missing"),"Missing/",IFERROR(IF(VALUE(K1291)&lt;0,"Invalid","Valid"),"Check Format"))</f>
        <v>Valid</v>
      </c>
      <c r="W1291" t="str">
        <f>IF(OR(E1291="",F1291=""),"Missing Date/Time",IFERROR(IF(F1291&gt;E1291,"Arrival After Appointment","OK"),"Check Format"))</f>
        <v>OK</v>
      </c>
      <c r="X1291" t="str">
        <f>IF(OR(F1291="",G1291=""),"Missing Date/Time",IFERROR(IF(G1291&lt;F1291,"Discharge Before Arrival","OK"),"Check Format"))</f>
        <v>OK</v>
      </c>
    </row>
    <row r="1292" spans="1:24" x14ac:dyDescent="0.25">
      <c r="A1292" s="2" t="s">
        <v>1979</v>
      </c>
      <c r="B1292" s="2" t="s">
        <v>324</v>
      </c>
      <c r="C1292" s="3" t="s">
        <v>94</v>
      </c>
      <c r="D1292" s="3" t="s">
        <v>99</v>
      </c>
      <c r="E1292" s="4">
        <v>45400.753472222219</v>
      </c>
      <c r="F1292" s="4">
        <v>45400.739583333336</v>
      </c>
      <c r="G1292" s="4">
        <v>45400.761111111111</v>
      </c>
      <c r="I1292" s="3" t="s">
        <v>95</v>
      </c>
      <c r="J1292" s="3" t="s">
        <v>2639</v>
      </c>
      <c r="K1292" s="5">
        <v>1</v>
      </c>
      <c r="L1292" s="5">
        <v>10</v>
      </c>
      <c r="M1292" s="3" t="s">
        <v>50</v>
      </c>
      <c r="N1292" t="s">
        <v>24</v>
      </c>
      <c r="P1292" s="3" t="s">
        <v>25</v>
      </c>
      <c r="Q1292" s="2">
        <v>157.76</v>
      </c>
      <c r="R1292" s="3" t="s">
        <v>75</v>
      </c>
      <c r="S1292">
        <f>COUNTIF(A:A,A1292)</f>
        <v>1</v>
      </c>
      <c r="T1292" t="str">
        <f>IF(OR(H1292="",LOWER(TRIM(H1292&amp;""))="missing",LOWER(TRIM(H1292&amp;""))=""),"Missing/",IFERROR(IF(OR(VALUE(H1292)&lt;0,VALUE(H1292)&gt;110),"Invalid","Valid"),"Check Format"))</f>
        <v>Missing/</v>
      </c>
      <c r="U1292" t="str">
        <f>IF(Raw_Data[[#This Row],[Age_Check]]="Valid",H1292,"")</f>
        <v/>
      </c>
      <c r="V1292" t="str">
        <f>IF(OR(K1292="",UPPER(TRIM(K1292&amp;""))="",LOWER(TRIM(K1292&amp;""))="",LOWER(TRIM(K1292&amp;""))="",LOWER(TRIM(K1292&amp;""))="missing"),"Missing/",IFERROR(IF(VALUE(K1292)&lt;0,"Invalid","Valid"),"Check Format"))</f>
        <v>Valid</v>
      </c>
      <c r="W1292" t="str">
        <f>IF(OR(E1292="",F1292=""),"Missing Date/Time",IFERROR(IF(F1292&gt;E1292,"Arrival After Appointment","OK"),"Check Format"))</f>
        <v>OK</v>
      </c>
      <c r="X1292" t="str">
        <f>IF(OR(F1292="",G1292=""),"Missing Date/Time",IFERROR(IF(G1292&lt;F1292,"Discharge Before Arrival","OK"),"Check Format"))</f>
        <v>OK</v>
      </c>
    </row>
    <row r="1293" spans="1:24" x14ac:dyDescent="0.25">
      <c r="A1293" s="2" t="s">
        <v>1980</v>
      </c>
      <c r="B1293" s="2" t="s">
        <v>301</v>
      </c>
      <c r="C1293" s="3" t="s">
        <v>46</v>
      </c>
      <c r="D1293" s="3" t="s">
        <v>72</v>
      </c>
      <c r="E1293" s="4">
        <v>45950.65625</v>
      </c>
      <c r="F1293" s="4">
        <v>45950.643750000003</v>
      </c>
      <c r="G1293" s="4">
        <v>45950.702777777777</v>
      </c>
      <c r="H1293" s="5">
        <v>89</v>
      </c>
      <c r="K1293" s="5">
        <v>26</v>
      </c>
      <c r="L1293" s="5">
        <v>41</v>
      </c>
      <c r="M1293" s="3" t="s">
        <v>87</v>
      </c>
      <c r="N1293" t="s">
        <v>74</v>
      </c>
      <c r="O1293" s="5">
        <v>0</v>
      </c>
      <c r="P1293" s="3" t="s">
        <v>25</v>
      </c>
      <c r="Q1293" s="2">
        <v>147.78</v>
      </c>
      <c r="R1293" s="3" t="s">
        <v>26</v>
      </c>
      <c r="S1293">
        <f>COUNTIF(A:A,A1293)</f>
        <v>1</v>
      </c>
      <c r="T1293" t="str">
        <f>IF(OR(H1293="",LOWER(TRIM(H1293&amp;""))="missing",LOWER(TRIM(H1293&amp;""))=""),"Missing/",IFERROR(IF(OR(VALUE(H1293)&lt;0,VALUE(H1293)&gt;110),"Invalid","Valid"),"Check Format"))</f>
        <v>Valid</v>
      </c>
      <c r="U1293">
        <f>IF(Raw_Data[[#This Row],[Age_Check]]="Valid",H1293,"")</f>
        <v>89</v>
      </c>
      <c r="V1293" t="str">
        <f>IF(OR(K1293="",UPPER(TRIM(K1293&amp;""))="",LOWER(TRIM(K1293&amp;""))="",LOWER(TRIM(K1293&amp;""))="",LOWER(TRIM(K1293&amp;""))="missing"),"Missing/",IFERROR(IF(VALUE(K1293)&lt;0,"Invalid","Valid"),"Check Format"))</f>
        <v>Valid</v>
      </c>
      <c r="W1293" t="str">
        <f>IF(OR(E1293="",F1293=""),"Missing Date/Time",IFERROR(IF(F1293&gt;E1293,"Arrival After Appointment","OK"),"Check Format"))</f>
        <v>OK</v>
      </c>
      <c r="X1293" t="str">
        <f>IF(OR(F1293="",G1293=""),"Missing Date/Time",IFERROR(IF(G1293&lt;F1293,"Discharge Before Arrival","OK"),"Check Format"))</f>
        <v>OK</v>
      </c>
    </row>
    <row r="1294" spans="1:24" x14ac:dyDescent="0.25">
      <c r="A1294" s="2" t="s">
        <v>1981</v>
      </c>
      <c r="B1294" s="2" t="s">
        <v>1896</v>
      </c>
      <c r="C1294" s="3" t="s">
        <v>19</v>
      </c>
      <c r="D1294" s="3" t="s">
        <v>174</v>
      </c>
      <c r="E1294" s="4" t="s">
        <v>1982</v>
      </c>
      <c r="F1294" s="4">
        <v>45961.47152777778</v>
      </c>
      <c r="G1294" s="4">
        <v>45961.502083333333</v>
      </c>
      <c r="I1294" s="3" t="s">
        <v>95</v>
      </c>
      <c r="J1294" s="3" t="s">
        <v>150</v>
      </c>
      <c r="K1294" s="5">
        <v>0</v>
      </c>
      <c r="L1294" s="5">
        <v>43</v>
      </c>
      <c r="M1294" s="3" t="s">
        <v>68</v>
      </c>
      <c r="N1294" t="s">
        <v>69</v>
      </c>
      <c r="P1294" s="3" t="s">
        <v>80</v>
      </c>
      <c r="Q1294" s="2">
        <v>209.86</v>
      </c>
      <c r="R1294" s="3" t="s">
        <v>58</v>
      </c>
      <c r="S1294">
        <f>COUNTIF(A:A,A1294)</f>
        <v>1</v>
      </c>
      <c r="T1294" t="str">
        <f>IF(OR(H1294="",LOWER(TRIM(H1294&amp;""))="missing",LOWER(TRIM(H1294&amp;""))=""),"Missing/",IFERROR(IF(OR(VALUE(H1294)&lt;0,VALUE(H1294)&gt;110),"Invalid","Valid"),"Check Format"))</f>
        <v>Missing/</v>
      </c>
      <c r="U1294" t="str">
        <f>IF(Raw_Data[[#This Row],[Age_Check]]="Valid",H1294,"")</f>
        <v/>
      </c>
      <c r="V1294" t="str">
        <f>IF(OR(K1294="",UPPER(TRIM(K1294&amp;""))="",LOWER(TRIM(K1294&amp;""))="",LOWER(TRIM(K1294&amp;""))="",LOWER(TRIM(K1294&amp;""))="missing"),"Missing/",IFERROR(IF(VALUE(K1294)&lt;0,"Invalid","Valid"),"Check Format"))</f>
        <v>Valid</v>
      </c>
      <c r="W1294" t="str">
        <f>IF(OR(E1294="",F1294=""),"Missing Date/Time",IFERROR(IF(F1294&gt;E1294,"Arrival After Appointment","OK"),"Check Format"))</f>
        <v>OK</v>
      </c>
      <c r="X1294" t="str">
        <f>IF(OR(F1294="",G1294=""),"Missing Date/Time",IFERROR(IF(G1294&lt;F1294,"Discharge Before Arrival","OK"),"Check Format"))</f>
        <v>OK</v>
      </c>
    </row>
    <row r="1295" spans="1:24" x14ac:dyDescent="0.25">
      <c r="A1295" s="2" t="s">
        <v>1983</v>
      </c>
      <c r="B1295" s="2" t="s">
        <v>1462</v>
      </c>
      <c r="C1295" s="3" t="s">
        <v>37</v>
      </c>
      <c r="D1295" s="3" t="s">
        <v>20</v>
      </c>
      <c r="E1295" s="4">
        <v>45749.329861111109</v>
      </c>
      <c r="F1295" s="4">
        <v>45692.318749999999</v>
      </c>
      <c r="G1295" s="4">
        <v>45692.372916666667</v>
      </c>
      <c r="J1295" s="3" t="s">
        <v>22</v>
      </c>
      <c r="K1295" s="5">
        <v>23</v>
      </c>
      <c r="L1295" s="5">
        <v>39</v>
      </c>
      <c r="M1295" s="3" t="s">
        <v>87</v>
      </c>
      <c r="N1295" t="s">
        <v>24</v>
      </c>
      <c r="O1295" s="5">
        <v>0</v>
      </c>
      <c r="P1295" s="3" t="s">
        <v>25</v>
      </c>
      <c r="Q1295" s="2">
        <v>76.48</v>
      </c>
      <c r="R1295" s="3" t="s">
        <v>75</v>
      </c>
      <c r="S1295">
        <f>COUNTIF(A:A,A1295)</f>
        <v>1</v>
      </c>
      <c r="T1295" t="str">
        <f>IF(OR(H1295="",LOWER(TRIM(H1295&amp;""))="missing",LOWER(TRIM(H1295&amp;""))=""),"Missing/",IFERROR(IF(OR(VALUE(H1295)&lt;0,VALUE(H1295)&gt;110),"Invalid","Valid"),"Check Format"))</f>
        <v>Missing/</v>
      </c>
      <c r="U1295" t="str">
        <f>IF(Raw_Data[[#This Row],[Age_Check]]="Valid",H1295,"")</f>
        <v/>
      </c>
      <c r="V1295" t="str">
        <f>IF(OR(K1295="",UPPER(TRIM(K1295&amp;""))="",LOWER(TRIM(K1295&amp;""))="",LOWER(TRIM(K1295&amp;""))="",LOWER(TRIM(K1295&amp;""))="missing"),"Missing/",IFERROR(IF(VALUE(K1295)&lt;0,"Invalid","Valid"),"Check Format"))</f>
        <v>Valid</v>
      </c>
      <c r="W1295" t="str">
        <f>IF(OR(E1295="",F1295=""),"Missing Date/Time",IFERROR(IF(F1295&gt;E1295,"Arrival After Appointment","OK"),"Check Format"))</f>
        <v>OK</v>
      </c>
      <c r="X1295" t="str">
        <f>IF(OR(F1295="",G1295=""),"Missing Date/Time",IFERROR(IF(G1295&lt;F1295,"Discharge Before Arrival","OK"),"Check Format"))</f>
        <v>OK</v>
      </c>
    </row>
    <row r="1296" spans="1:24" x14ac:dyDescent="0.25">
      <c r="A1296" s="2" t="s">
        <v>1984</v>
      </c>
      <c r="B1296" s="2" t="s">
        <v>1985</v>
      </c>
      <c r="C1296" s="3" t="s">
        <v>46</v>
      </c>
      <c r="D1296" s="3" t="s">
        <v>66</v>
      </c>
      <c r="E1296" s="4">
        <v>45800.520833333336</v>
      </c>
      <c r="F1296" s="4">
        <v>45800.51666666667</v>
      </c>
      <c r="G1296" s="4">
        <v>45800.569444444445</v>
      </c>
      <c r="I1296" s="3" t="s">
        <v>73</v>
      </c>
      <c r="K1296" s="5">
        <v>61</v>
      </c>
      <c r="L1296" s="5">
        <v>9</v>
      </c>
      <c r="M1296" s="3" t="s">
        <v>87</v>
      </c>
      <c r="N1296" t="s">
        <v>24</v>
      </c>
      <c r="O1296" s="5">
        <v>0</v>
      </c>
      <c r="P1296" s="3" t="s">
        <v>80</v>
      </c>
      <c r="Q1296" s="2">
        <v>1.55</v>
      </c>
      <c r="R1296" s="3" t="s">
        <v>43</v>
      </c>
      <c r="S1296">
        <f>COUNTIF(A:A,A1296)</f>
        <v>1</v>
      </c>
      <c r="T1296" t="str">
        <f>IF(OR(H1296="",LOWER(TRIM(H1296&amp;""))="missing",LOWER(TRIM(H1296&amp;""))=""),"Missing/",IFERROR(IF(OR(VALUE(H1296)&lt;0,VALUE(H1296)&gt;110),"Invalid","Valid"),"Check Format"))</f>
        <v>Missing/</v>
      </c>
      <c r="U1296" t="str">
        <f>IF(Raw_Data[[#This Row],[Age_Check]]="Valid",H1296,"")</f>
        <v/>
      </c>
      <c r="V1296" t="str">
        <f>IF(OR(K1296="",UPPER(TRIM(K1296&amp;""))="",LOWER(TRIM(K1296&amp;""))="",LOWER(TRIM(K1296&amp;""))="",LOWER(TRIM(K1296&amp;""))="missing"),"Missing/",IFERROR(IF(VALUE(K1296)&lt;0,"Invalid","Valid"),"Check Format"))</f>
        <v>Valid</v>
      </c>
      <c r="W1296" t="str">
        <f>IF(OR(E1296="",F1296=""),"Missing Date/Time",IFERROR(IF(F1296&gt;E1296,"Arrival After Appointment","OK"),"Check Format"))</f>
        <v>OK</v>
      </c>
      <c r="X1296" t="str">
        <f>IF(OR(F1296="",G1296=""),"Missing Date/Time",IFERROR(IF(G1296&lt;F1296,"Discharge Before Arrival","OK"),"Check Format"))</f>
        <v>OK</v>
      </c>
    </row>
    <row r="1297" spans="1:24" x14ac:dyDescent="0.25">
      <c r="A1297" s="2" t="s">
        <v>1986</v>
      </c>
      <c r="B1297" s="2" t="s">
        <v>77</v>
      </c>
      <c r="C1297" s="3" t="s">
        <v>37</v>
      </c>
      <c r="D1297" s="3" t="s">
        <v>72</v>
      </c>
      <c r="E1297" s="4">
        <v>45795.652777777781</v>
      </c>
      <c r="F1297" s="4">
        <v>45795.64166666667</v>
      </c>
      <c r="G1297" s="4">
        <v>45795.703472222223</v>
      </c>
      <c r="H1297" s="5">
        <v>30</v>
      </c>
      <c r="I1297" s="3" t="s">
        <v>95</v>
      </c>
      <c r="J1297" s="3" t="s">
        <v>2639</v>
      </c>
      <c r="K1297" s="5">
        <v>44</v>
      </c>
      <c r="L1297" s="5">
        <v>29</v>
      </c>
      <c r="M1297" s="3" t="s">
        <v>41</v>
      </c>
      <c r="N1297" t="s">
        <v>69</v>
      </c>
      <c r="R1297" s="3" t="s">
        <v>43</v>
      </c>
      <c r="S1297">
        <f>COUNTIF(A:A,A1297)</f>
        <v>1</v>
      </c>
      <c r="T1297" t="str">
        <f>IF(OR(H1297="",LOWER(TRIM(H1297&amp;""))="missing",LOWER(TRIM(H1297&amp;""))=""),"Missing/",IFERROR(IF(OR(VALUE(H1297)&lt;0,VALUE(H1297)&gt;110),"Invalid","Valid"),"Check Format"))</f>
        <v>Valid</v>
      </c>
      <c r="U1297">
        <f>IF(Raw_Data[[#This Row],[Age_Check]]="Valid",H1297,"")</f>
        <v>30</v>
      </c>
      <c r="V1297" t="str">
        <f>IF(OR(K1297="",UPPER(TRIM(K1297&amp;""))="",LOWER(TRIM(K1297&amp;""))="",LOWER(TRIM(K1297&amp;""))="",LOWER(TRIM(K1297&amp;""))="missing"),"Missing/",IFERROR(IF(VALUE(K1297)&lt;0,"Invalid","Valid"),"Check Format"))</f>
        <v>Valid</v>
      </c>
      <c r="W1297" t="str">
        <f>IF(OR(E1297="",F1297=""),"Missing Date/Time",IFERROR(IF(F1297&gt;E1297,"Arrival After Appointment","OK"),"Check Format"))</f>
        <v>OK</v>
      </c>
      <c r="X1297" t="str">
        <f>IF(OR(F1297="",G1297=""),"Missing Date/Time",IFERROR(IF(G1297&lt;F1297,"Discharge Before Arrival","OK"),"Check Format"))</f>
        <v>OK</v>
      </c>
    </row>
    <row r="1298" spans="1:24" x14ac:dyDescent="0.25">
      <c r="A1298" s="2" t="s">
        <v>1987</v>
      </c>
      <c r="B1298" s="2" t="s">
        <v>889</v>
      </c>
      <c r="C1298" s="3" t="s">
        <v>29</v>
      </c>
      <c r="D1298" s="3" t="s">
        <v>55</v>
      </c>
      <c r="E1298" s="4">
        <v>45991.559027777781</v>
      </c>
      <c r="F1298" s="4">
        <v>45991.552777777775</v>
      </c>
      <c r="G1298" s="4">
        <v>45991.59652777778</v>
      </c>
      <c r="H1298" s="5">
        <v>145</v>
      </c>
      <c r="I1298" s="3" t="s">
        <v>95</v>
      </c>
      <c r="J1298" s="3" t="s">
        <v>2639</v>
      </c>
      <c r="K1298" s="5">
        <v>44</v>
      </c>
      <c r="L1298" s="5">
        <v>10</v>
      </c>
      <c r="M1298" s="3" t="s">
        <v>50</v>
      </c>
      <c r="N1298" t="s">
        <v>69</v>
      </c>
      <c r="P1298" s="3" t="s">
        <v>80</v>
      </c>
      <c r="Q1298" s="2">
        <v>113.01</v>
      </c>
      <c r="R1298" s="3" t="s">
        <v>75</v>
      </c>
      <c r="S1298">
        <f>COUNTIF(A:A,A1298)</f>
        <v>1</v>
      </c>
      <c r="T1298" t="str">
        <f>IF(OR(H1298="",LOWER(TRIM(H1298&amp;""))="missing",LOWER(TRIM(H1298&amp;""))=""),"Missing/",IFERROR(IF(OR(VALUE(H1298)&lt;0,VALUE(H1298)&gt;110),"Invalid","Valid"),"Check Format"))</f>
        <v>Invalid</v>
      </c>
      <c r="U1298" t="str">
        <f>IF(Raw_Data[[#This Row],[Age_Check]]="Valid",H1298,"")</f>
        <v/>
      </c>
      <c r="V1298" t="str">
        <f>IF(OR(K1298="",UPPER(TRIM(K1298&amp;""))="",LOWER(TRIM(K1298&amp;""))="",LOWER(TRIM(K1298&amp;""))="",LOWER(TRIM(K1298&amp;""))="missing"),"Missing/",IFERROR(IF(VALUE(K1298)&lt;0,"Invalid","Valid"),"Check Format"))</f>
        <v>Valid</v>
      </c>
      <c r="W1298" t="str">
        <f>IF(OR(E1298="",F1298=""),"Missing Date/Time",IFERROR(IF(F1298&gt;E1298,"Arrival After Appointment","OK"),"Check Format"))</f>
        <v>OK</v>
      </c>
      <c r="X1298" t="str">
        <f>IF(OR(F1298="",G1298=""),"Missing Date/Time",IFERROR(IF(G1298&lt;F1298,"Discharge Before Arrival","OK"),"Check Format"))</f>
        <v>OK</v>
      </c>
    </row>
    <row r="1299" spans="1:24" x14ac:dyDescent="0.25">
      <c r="A1299" s="2" t="s">
        <v>1988</v>
      </c>
      <c r="B1299" s="2" t="s">
        <v>295</v>
      </c>
      <c r="D1299" s="3" t="s">
        <v>30</v>
      </c>
      <c r="E1299" s="4" t="s">
        <v>1989</v>
      </c>
      <c r="F1299" s="4">
        <v>45891.45416666667</v>
      </c>
      <c r="G1299" s="4">
        <v>45891.522916666669</v>
      </c>
      <c r="H1299" s="5">
        <v>19</v>
      </c>
      <c r="I1299" s="3" t="s">
        <v>95</v>
      </c>
      <c r="J1299" s="3" t="s">
        <v>150</v>
      </c>
      <c r="K1299" s="5">
        <v>67</v>
      </c>
      <c r="L1299" s="5">
        <v>31</v>
      </c>
      <c r="M1299" s="3" t="s">
        <v>23</v>
      </c>
      <c r="N1299" t="s">
        <v>24</v>
      </c>
      <c r="O1299" s="5">
        <v>1</v>
      </c>
      <c r="P1299" s="3" t="s">
        <v>80</v>
      </c>
      <c r="Q1299" s="2">
        <v>159.6</v>
      </c>
      <c r="R1299" s="3" t="s">
        <v>75</v>
      </c>
      <c r="S1299">
        <f>COUNTIF(A:A,A1299)</f>
        <v>1</v>
      </c>
      <c r="T1299" t="str">
        <f>IF(OR(H1299="",LOWER(TRIM(H1299&amp;""))="missing",LOWER(TRIM(H1299&amp;""))=""),"Missing/",IFERROR(IF(OR(VALUE(H1299)&lt;0,VALUE(H1299)&gt;110),"Invalid","Valid"),"Check Format"))</f>
        <v>Valid</v>
      </c>
      <c r="U1299">
        <f>IF(Raw_Data[[#This Row],[Age_Check]]="Valid",H1299,"")</f>
        <v>19</v>
      </c>
      <c r="V1299" t="str">
        <f>IF(OR(K1299="",UPPER(TRIM(K1299&amp;""))="",LOWER(TRIM(K1299&amp;""))="",LOWER(TRIM(K1299&amp;""))="",LOWER(TRIM(K1299&amp;""))="missing"),"Missing/",IFERROR(IF(VALUE(K1299)&lt;0,"Invalid","Valid"),"Check Format"))</f>
        <v>Valid</v>
      </c>
      <c r="W1299" t="str">
        <f>IF(OR(E1299="",F1299=""),"Missing Date/Time",IFERROR(IF(F1299&gt;E1299,"Arrival After Appointment","OK"),"Check Format"))</f>
        <v>OK</v>
      </c>
      <c r="X1299" t="str">
        <f>IF(OR(F1299="",G1299=""),"Missing Date/Time",IFERROR(IF(G1299&lt;F1299,"Discharge Before Arrival","OK"),"Check Format"))</f>
        <v>OK</v>
      </c>
    </row>
    <row r="1300" spans="1:24" x14ac:dyDescent="0.25">
      <c r="A1300" s="2" t="s">
        <v>1990</v>
      </c>
      <c r="B1300" s="2" t="s">
        <v>472</v>
      </c>
      <c r="C1300" s="3" t="s">
        <v>19</v>
      </c>
      <c r="D1300" s="3" t="s">
        <v>66</v>
      </c>
      <c r="E1300" s="4">
        <v>45773.545138888891</v>
      </c>
      <c r="F1300" s="4">
        <v>45773.542361111111</v>
      </c>
      <c r="G1300" s="4">
        <v>45773.605555555558</v>
      </c>
      <c r="I1300" s="3" t="s">
        <v>39</v>
      </c>
      <c r="J1300" s="3" t="s">
        <v>171</v>
      </c>
      <c r="K1300" s="5">
        <v>34</v>
      </c>
      <c r="L1300" s="5">
        <v>53</v>
      </c>
      <c r="M1300" s="3" t="s">
        <v>87</v>
      </c>
      <c r="N1300" t="s">
        <v>24</v>
      </c>
      <c r="O1300" s="5">
        <v>1</v>
      </c>
      <c r="P1300" s="3" t="s">
        <v>80</v>
      </c>
      <c r="Q1300" s="2">
        <v>50.91</v>
      </c>
      <c r="R1300" s="3" t="s">
        <v>26</v>
      </c>
      <c r="S1300">
        <f>COUNTIF(A:A,A1300)</f>
        <v>1</v>
      </c>
      <c r="T1300" t="str">
        <f>IF(OR(H1300="",LOWER(TRIM(H1300&amp;""))="missing",LOWER(TRIM(H1300&amp;""))=""),"Missing/",IFERROR(IF(OR(VALUE(H1300)&lt;0,VALUE(H1300)&gt;110),"Invalid","Valid"),"Check Format"))</f>
        <v>Missing/</v>
      </c>
      <c r="U1300" t="str">
        <f>IF(Raw_Data[[#This Row],[Age_Check]]="Valid",H1300,"")</f>
        <v/>
      </c>
      <c r="V1300" t="str">
        <f>IF(OR(K1300="",UPPER(TRIM(K1300&amp;""))="",LOWER(TRIM(K1300&amp;""))="",LOWER(TRIM(K1300&amp;""))="",LOWER(TRIM(K1300&amp;""))="missing"),"Missing/",IFERROR(IF(VALUE(K1300)&lt;0,"Invalid","Valid"),"Check Format"))</f>
        <v>Valid</v>
      </c>
      <c r="W1300" t="str">
        <f>IF(OR(E1300="",F1300=""),"Missing Date/Time",IFERROR(IF(F1300&gt;E1300,"Arrival After Appointment","OK"),"Check Format"))</f>
        <v>OK</v>
      </c>
      <c r="X1300" t="str">
        <f>IF(OR(F1300="",G1300=""),"Missing Date/Time",IFERROR(IF(G1300&lt;F1300,"Discharge Before Arrival","OK"),"Check Format"))</f>
        <v>OK</v>
      </c>
    </row>
    <row r="1301" spans="1:24" x14ac:dyDescent="0.25">
      <c r="A1301" s="2" t="s">
        <v>1991</v>
      </c>
      <c r="B1301" s="2" t="s">
        <v>364</v>
      </c>
      <c r="C1301" s="3" t="s">
        <v>46</v>
      </c>
      <c r="D1301" s="3" t="s">
        <v>72</v>
      </c>
      <c r="E1301" s="4">
        <v>45870.555555555555</v>
      </c>
      <c r="F1301" s="4">
        <v>45665.54791666667</v>
      </c>
      <c r="G1301" s="4">
        <v>45665.644444444442</v>
      </c>
      <c r="I1301" s="3" t="s">
        <v>95</v>
      </c>
      <c r="J1301" s="3" t="s">
        <v>22</v>
      </c>
      <c r="K1301" s="5">
        <v>75</v>
      </c>
      <c r="L1301" s="5">
        <v>53</v>
      </c>
      <c r="M1301" s="3" t="s">
        <v>68</v>
      </c>
      <c r="N1301" t="s">
        <v>69</v>
      </c>
      <c r="O1301" s="5">
        <v>0</v>
      </c>
      <c r="P1301" s="3" t="s">
        <v>25</v>
      </c>
      <c r="Q1301" s="2">
        <v>183.47</v>
      </c>
      <c r="R1301" s="3" t="s">
        <v>58</v>
      </c>
      <c r="S1301">
        <f>COUNTIF(A:A,A1301)</f>
        <v>1</v>
      </c>
      <c r="T1301" t="str">
        <f>IF(OR(H1301="",LOWER(TRIM(H1301&amp;""))="missing",LOWER(TRIM(H1301&amp;""))=""),"Missing/",IFERROR(IF(OR(VALUE(H1301)&lt;0,VALUE(H1301)&gt;110),"Invalid","Valid"),"Check Format"))</f>
        <v>Missing/</v>
      </c>
      <c r="U1301" t="str">
        <f>IF(Raw_Data[[#This Row],[Age_Check]]="Valid",H1301,"")</f>
        <v/>
      </c>
      <c r="V1301" t="str">
        <f>IF(OR(K1301="",UPPER(TRIM(K1301&amp;""))="",LOWER(TRIM(K1301&amp;""))="",LOWER(TRIM(K1301&amp;""))="",LOWER(TRIM(K1301&amp;""))="missing"),"Missing/",IFERROR(IF(VALUE(K1301)&lt;0,"Invalid","Valid"),"Check Format"))</f>
        <v>Valid</v>
      </c>
      <c r="W1301" t="str">
        <f>IF(OR(E1301="",F1301=""),"Missing Date/Time",IFERROR(IF(F1301&gt;E1301,"Arrival After Appointment","OK"),"Check Format"))</f>
        <v>OK</v>
      </c>
      <c r="X1301" t="str">
        <f>IF(OR(F1301="",G1301=""),"Missing Date/Time",IFERROR(IF(G1301&lt;F1301,"Discharge Before Arrival","OK"),"Check Format"))</f>
        <v>OK</v>
      </c>
    </row>
    <row r="1302" spans="1:24" x14ac:dyDescent="0.25">
      <c r="A1302" s="2" t="s">
        <v>1992</v>
      </c>
      <c r="B1302" s="2" t="s">
        <v>531</v>
      </c>
      <c r="C1302" s="3" t="s">
        <v>46</v>
      </c>
      <c r="D1302" s="3" t="s">
        <v>174</v>
      </c>
      <c r="E1302" s="4">
        <v>45513.451388888891</v>
      </c>
      <c r="F1302" s="4">
        <v>45513.433333333334</v>
      </c>
      <c r="G1302" s="4">
        <v>45513.501388888886</v>
      </c>
      <c r="H1302" s="5">
        <v>66</v>
      </c>
      <c r="I1302" s="3" t="s">
        <v>73</v>
      </c>
      <c r="J1302" s="3" t="s">
        <v>171</v>
      </c>
      <c r="K1302" s="5">
        <v>50</v>
      </c>
      <c r="L1302" s="5">
        <v>22</v>
      </c>
      <c r="O1302" s="5">
        <v>0</v>
      </c>
      <c r="P1302" s="3" t="s">
        <v>25</v>
      </c>
      <c r="R1302" s="3" t="s">
        <v>43</v>
      </c>
      <c r="S1302">
        <f>COUNTIF(A:A,A1302)</f>
        <v>1</v>
      </c>
      <c r="T1302" t="str">
        <f>IF(OR(H1302="",LOWER(TRIM(H1302&amp;""))="missing",LOWER(TRIM(H1302&amp;""))=""),"Missing/",IFERROR(IF(OR(VALUE(H1302)&lt;0,VALUE(H1302)&gt;110),"Invalid","Valid"),"Check Format"))</f>
        <v>Valid</v>
      </c>
      <c r="U1302">
        <f>IF(Raw_Data[[#This Row],[Age_Check]]="Valid",H1302,"")</f>
        <v>66</v>
      </c>
      <c r="V1302" t="str">
        <f>IF(OR(K1302="",UPPER(TRIM(K1302&amp;""))="",LOWER(TRIM(K1302&amp;""))="",LOWER(TRIM(K1302&amp;""))="",LOWER(TRIM(K1302&amp;""))="missing"),"Missing/",IFERROR(IF(VALUE(K1302)&lt;0,"Invalid","Valid"),"Check Format"))</f>
        <v>Valid</v>
      </c>
      <c r="W1302" t="str">
        <f>IF(OR(E1302="",F1302=""),"Missing Date/Time",IFERROR(IF(F1302&gt;E1302,"Arrival After Appointment","OK"),"Check Format"))</f>
        <v>OK</v>
      </c>
      <c r="X1302" t="str">
        <f>IF(OR(F1302="",G1302=""),"Missing Date/Time",IFERROR(IF(G1302&lt;F1302,"Discharge Before Arrival","OK"),"Check Format"))</f>
        <v>OK</v>
      </c>
    </row>
    <row r="1303" spans="1:24" x14ac:dyDescent="0.25">
      <c r="A1303" s="2" t="s">
        <v>1993</v>
      </c>
      <c r="B1303" s="2" t="s">
        <v>556</v>
      </c>
      <c r="C1303" s="3" t="s">
        <v>94</v>
      </c>
      <c r="D1303" s="3" t="s">
        <v>66</v>
      </c>
      <c r="E1303" s="4">
        <v>45637.708333333336</v>
      </c>
      <c r="F1303" s="4">
        <v>45637.688194444447</v>
      </c>
      <c r="G1303" s="4">
        <v>45637.777777777781</v>
      </c>
      <c r="I1303" s="3" t="s">
        <v>73</v>
      </c>
      <c r="J1303" s="3" t="s">
        <v>67</v>
      </c>
      <c r="K1303" s="5">
        <v>94</v>
      </c>
      <c r="L1303" s="5">
        <v>6</v>
      </c>
      <c r="M1303" s="3" t="s">
        <v>68</v>
      </c>
      <c r="N1303" t="s">
        <v>74</v>
      </c>
      <c r="O1303" s="5">
        <v>6</v>
      </c>
      <c r="Q1303" s="2">
        <v>67.39</v>
      </c>
      <c r="R1303" s="3" t="s">
        <v>75</v>
      </c>
      <c r="S1303">
        <f>COUNTIF(A:A,A1303)</f>
        <v>1</v>
      </c>
      <c r="T1303" t="str">
        <f>IF(OR(H1303="",LOWER(TRIM(H1303&amp;""))="missing",LOWER(TRIM(H1303&amp;""))=""),"Missing/",IFERROR(IF(OR(VALUE(H1303)&lt;0,VALUE(H1303)&gt;110),"Invalid","Valid"),"Check Format"))</f>
        <v>Missing/</v>
      </c>
      <c r="U1303" t="str">
        <f>IF(Raw_Data[[#This Row],[Age_Check]]="Valid",H1303,"")</f>
        <v/>
      </c>
      <c r="V1303" t="str">
        <f>IF(OR(K1303="",UPPER(TRIM(K1303&amp;""))="",LOWER(TRIM(K1303&amp;""))="",LOWER(TRIM(K1303&amp;""))="",LOWER(TRIM(K1303&amp;""))="missing"),"Missing/",IFERROR(IF(VALUE(K1303)&lt;0,"Invalid","Valid"),"Check Format"))</f>
        <v>Valid</v>
      </c>
      <c r="W1303" t="str">
        <f>IF(OR(E1303="",F1303=""),"Missing Date/Time",IFERROR(IF(F1303&gt;E1303,"Arrival After Appointment","OK"),"Check Format"))</f>
        <v>OK</v>
      </c>
      <c r="X1303" t="str">
        <f>IF(OR(F1303="",G1303=""),"Missing Date/Time",IFERROR(IF(G1303&lt;F1303,"Discharge Before Arrival","OK"),"Check Format"))</f>
        <v>OK</v>
      </c>
    </row>
    <row r="1304" spans="1:24" x14ac:dyDescent="0.25">
      <c r="A1304" s="2" t="s">
        <v>1994</v>
      </c>
      <c r="B1304" s="2" t="s">
        <v>127</v>
      </c>
      <c r="C1304" s="3" t="s">
        <v>37</v>
      </c>
      <c r="D1304" s="3" t="s">
        <v>99</v>
      </c>
      <c r="E1304" s="4">
        <v>45459.354166666664</v>
      </c>
      <c r="F1304" s="4">
        <v>45459.337500000001</v>
      </c>
      <c r="G1304" s="4">
        <v>45459.422222222223</v>
      </c>
      <c r="I1304" s="3" t="s">
        <v>73</v>
      </c>
      <c r="J1304" s="3" t="s">
        <v>171</v>
      </c>
      <c r="K1304" s="5">
        <v>44</v>
      </c>
      <c r="L1304" s="5">
        <v>54</v>
      </c>
      <c r="M1304" s="3" t="s">
        <v>68</v>
      </c>
      <c r="O1304" s="5">
        <v>5</v>
      </c>
      <c r="P1304" s="3" t="s">
        <v>25</v>
      </c>
      <c r="R1304" s="3" t="s">
        <v>75</v>
      </c>
      <c r="S1304">
        <f>COUNTIF(A:A,A1304)</f>
        <v>1</v>
      </c>
      <c r="T1304" t="str">
        <f>IF(OR(H1304="",LOWER(TRIM(H1304&amp;""))="missing",LOWER(TRIM(H1304&amp;""))=""),"Missing/",IFERROR(IF(OR(VALUE(H1304)&lt;0,VALUE(H1304)&gt;110),"Invalid","Valid"),"Check Format"))</f>
        <v>Missing/</v>
      </c>
      <c r="U1304" t="str">
        <f>IF(Raw_Data[[#This Row],[Age_Check]]="Valid",H1304,"")</f>
        <v/>
      </c>
      <c r="V1304" t="str">
        <f>IF(OR(K1304="",UPPER(TRIM(K1304&amp;""))="",LOWER(TRIM(K1304&amp;""))="",LOWER(TRIM(K1304&amp;""))="",LOWER(TRIM(K1304&amp;""))="missing"),"Missing/",IFERROR(IF(VALUE(K1304)&lt;0,"Invalid","Valid"),"Check Format"))</f>
        <v>Valid</v>
      </c>
      <c r="W1304" t="str">
        <f>IF(OR(E1304="",F1304=""),"Missing Date/Time",IFERROR(IF(F1304&gt;E1304,"Arrival After Appointment","OK"),"Check Format"))</f>
        <v>OK</v>
      </c>
      <c r="X1304" t="str">
        <f>IF(OR(F1304="",G1304=""),"Missing Date/Time",IFERROR(IF(G1304&lt;F1304,"Discharge Before Arrival","OK"),"Check Format"))</f>
        <v>OK</v>
      </c>
    </row>
    <row r="1305" spans="1:24" x14ac:dyDescent="0.25">
      <c r="A1305" s="2" t="s">
        <v>1995</v>
      </c>
      <c r="B1305" s="2" t="s">
        <v>1740</v>
      </c>
      <c r="D1305" s="3" t="s">
        <v>55</v>
      </c>
      <c r="E1305" s="4">
        <v>45719.291666666664</v>
      </c>
      <c r="F1305" s="4">
        <v>45719.286111111112</v>
      </c>
      <c r="G1305" s="4">
        <v>45719.350694444445</v>
      </c>
      <c r="K1305" s="5">
        <v>71</v>
      </c>
      <c r="L1305" s="5">
        <v>14</v>
      </c>
      <c r="M1305" s="3" t="s">
        <v>41</v>
      </c>
      <c r="N1305" t="s">
        <v>24</v>
      </c>
      <c r="O1305" s="5">
        <v>0</v>
      </c>
      <c r="Q1305" s="2">
        <v>120.18</v>
      </c>
      <c r="R1305" s="3" t="s">
        <v>26</v>
      </c>
      <c r="S1305">
        <f>COUNTIF(A:A,A1305)</f>
        <v>1</v>
      </c>
      <c r="T1305" t="str">
        <f>IF(OR(H1305="",LOWER(TRIM(H1305&amp;""))="missing",LOWER(TRIM(H1305&amp;""))=""),"Missing/",IFERROR(IF(OR(VALUE(H1305)&lt;0,VALUE(H1305)&gt;110),"Invalid","Valid"),"Check Format"))</f>
        <v>Missing/</v>
      </c>
      <c r="U1305" t="str">
        <f>IF(Raw_Data[[#This Row],[Age_Check]]="Valid",H1305,"")</f>
        <v/>
      </c>
      <c r="V1305" t="str">
        <f>IF(OR(K1305="",UPPER(TRIM(K1305&amp;""))="",LOWER(TRIM(K1305&amp;""))="",LOWER(TRIM(K1305&amp;""))="",LOWER(TRIM(K1305&amp;""))="missing"),"Missing/",IFERROR(IF(VALUE(K1305)&lt;0,"Invalid","Valid"),"Check Format"))</f>
        <v>Valid</v>
      </c>
      <c r="W1305" t="str">
        <f>IF(OR(E1305="",F1305=""),"Missing Date/Time",IFERROR(IF(F1305&gt;E1305,"Arrival After Appointment","OK"),"Check Format"))</f>
        <v>OK</v>
      </c>
      <c r="X1305" t="str">
        <f>IF(OR(F1305="",G1305=""),"Missing Date/Time",IFERROR(IF(G1305&lt;F1305,"Discharge Before Arrival","OK"),"Check Format"))</f>
        <v>OK</v>
      </c>
    </row>
    <row r="1306" spans="1:24" x14ac:dyDescent="0.25">
      <c r="A1306" s="2" t="s">
        <v>1996</v>
      </c>
      <c r="B1306" s="2" t="s">
        <v>310</v>
      </c>
      <c r="C1306" s="3" t="s">
        <v>94</v>
      </c>
      <c r="D1306" s="3" t="s">
        <v>106</v>
      </c>
      <c r="E1306" s="4">
        <v>45454.784722222219</v>
      </c>
      <c r="F1306" s="4">
        <v>45454.772916666669</v>
      </c>
      <c r="I1306" s="3" t="s">
        <v>95</v>
      </c>
      <c r="K1306" s="5">
        <v>36</v>
      </c>
      <c r="L1306" s="5">
        <v>19</v>
      </c>
      <c r="M1306" s="3" t="s">
        <v>41</v>
      </c>
      <c r="O1306" s="5">
        <v>3</v>
      </c>
      <c r="P1306" s="3" t="s">
        <v>42</v>
      </c>
      <c r="Q1306" s="2">
        <v>223.31</v>
      </c>
      <c r="R1306" s="3" t="s">
        <v>58</v>
      </c>
      <c r="S1306">
        <f>COUNTIF(A:A,A1306)</f>
        <v>1</v>
      </c>
      <c r="T1306" t="str">
        <f>IF(OR(H1306="",LOWER(TRIM(H1306&amp;""))="missing",LOWER(TRIM(H1306&amp;""))=""),"Missing/",IFERROR(IF(OR(VALUE(H1306)&lt;0,VALUE(H1306)&gt;110),"Invalid","Valid"),"Check Format"))</f>
        <v>Missing/</v>
      </c>
      <c r="U1306" t="str">
        <f>IF(Raw_Data[[#This Row],[Age_Check]]="Valid",H1306,"")</f>
        <v/>
      </c>
      <c r="V1306" t="str">
        <f>IF(OR(K1306="",UPPER(TRIM(K1306&amp;""))="",LOWER(TRIM(K1306&amp;""))="",LOWER(TRIM(K1306&amp;""))="",LOWER(TRIM(K1306&amp;""))="missing"),"Missing/",IFERROR(IF(VALUE(K1306)&lt;0,"Invalid","Valid"),"Check Format"))</f>
        <v>Valid</v>
      </c>
      <c r="W1306" t="str">
        <f>IF(OR(E1306="",F1306=""),"Missing Date/Time",IFERROR(IF(F1306&gt;E1306,"Arrival After Appointment","OK"),"Check Format"))</f>
        <v>OK</v>
      </c>
      <c r="X1306" t="str">
        <f>IF(OR(F1306="",G1306=""),"Missing Date/Time",IFERROR(IF(G1306&lt;F1306,"Discharge Before Arrival","OK"),"Check Format"))</f>
        <v>Missing Date/Time</v>
      </c>
    </row>
    <row r="1307" spans="1:24" x14ac:dyDescent="0.25">
      <c r="A1307" s="2" t="s">
        <v>1997</v>
      </c>
      <c r="B1307" s="2" t="s">
        <v>469</v>
      </c>
      <c r="C1307" s="3" t="s">
        <v>46</v>
      </c>
      <c r="D1307" s="3" t="s">
        <v>209</v>
      </c>
      <c r="E1307" s="4">
        <v>45942.326388888891</v>
      </c>
      <c r="F1307" s="4">
        <v>46001.319444444445</v>
      </c>
      <c r="G1307" s="4">
        <v>46001.374305555553</v>
      </c>
      <c r="J1307" s="3" t="s">
        <v>67</v>
      </c>
      <c r="K1307" s="5">
        <v>1440</v>
      </c>
      <c r="L1307" s="5">
        <v>60</v>
      </c>
      <c r="M1307" s="3" t="s">
        <v>32</v>
      </c>
      <c r="N1307" t="s">
        <v>103</v>
      </c>
      <c r="O1307" s="5">
        <v>6</v>
      </c>
      <c r="P1307" s="3" t="s">
        <v>25</v>
      </c>
      <c r="Q1307" s="2">
        <v>211.26</v>
      </c>
      <c r="R1307" s="3" t="s">
        <v>58</v>
      </c>
      <c r="S1307">
        <f>COUNTIF(A:A,A1307)</f>
        <v>1</v>
      </c>
      <c r="T1307" t="str">
        <f>IF(OR(H1307="",LOWER(TRIM(H1307&amp;""))="missing",LOWER(TRIM(H1307&amp;""))=""),"Missing/",IFERROR(IF(OR(VALUE(H1307)&lt;0,VALUE(H1307)&gt;110),"Invalid","Valid"),"Check Format"))</f>
        <v>Missing/</v>
      </c>
      <c r="U1307" t="str">
        <f>IF(Raw_Data[[#This Row],[Age_Check]]="Valid",H1307,"")</f>
        <v/>
      </c>
      <c r="V1307" t="str">
        <f>IF(OR(K1307="",UPPER(TRIM(K1307&amp;""))="",LOWER(TRIM(K1307&amp;""))="",LOWER(TRIM(K1307&amp;""))="",LOWER(TRIM(K1307&amp;""))="missing"),"Missing/",IFERROR(IF(VALUE(K1307)&lt;0,"Invalid","Valid"),"Check Format"))</f>
        <v>Valid</v>
      </c>
      <c r="W1307" t="str">
        <f>IF(OR(E1307="",F1307=""),"Missing Date/Time",IFERROR(IF(F1307&gt;E1307,"Arrival After Appointment","OK"),"Check Format"))</f>
        <v>Arrival After Appointment</v>
      </c>
      <c r="X1307" t="str">
        <f>IF(OR(F1307="",G1307=""),"Missing Date/Time",IFERROR(IF(G1307&lt;F1307,"Discharge Before Arrival","OK"),"Check Format"))</f>
        <v>OK</v>
      </c>
    </row>
    <row r="1308" spans="1:24" x14ac:dyDescent="0.25">
      <c r="A1308" s="2" t="s">
        <v>1998</v>
      </c>
      <c r="B1308" s="2" t="s">
        <v>631</v>
      </c>
      <c r="C1308" s="3" t="s">
        <v>46</v>
      </c>
      <c r="D1308" s="3" t="s">
        <v>55</v>
      </c>
      <c r="E1308" s="4">
        <v>45761.3125</v>
      </c>
      <c r="F1308" s="4">
        <v>45761.301388888889</v>
      </c>
      <c r="H1308" s="5">
        <v>145</v>
      </c>
      <c r="I1308" s="3" t="s">
        <v>95</v>
      </c>
      <c r="J1308" s="3" t="s">
        <v>62</v>
      </c>
      <c r="K1308" s="5">
        <v>96</v>
      </c>
      <c r="L1308" s="5">
        <v>23</v>
      </c>
      <c r="N1308" t="s">
        <v>100</v>
      </c>
      <c r="O1308" s="5">
        <v>4</v>
      </c>
      <c r="P1308" s="3" t="s">
        <v>80</v>
      </c>
      <c r="R1308" s="3" t="s">
        <v>75</v>
      </c>
      <c r="S1308">
        <f>COUNTIF(A:A,A1308)</f>
        <v>1</v>
      </c>
      <c r="T1308" t="str">
        <f>IF(OR(H1308="",LOWER(TRIM(H1308&amp;""))="missing",LOWER(TRIM(H1308&amp;""))=""),"Missing/",IFERROR(IF(OR(VALUE(H1308)&lt;0,VALUE(H1308)&gt;110),"Invalid","Valid"),"Check Format"))</f>
        <v>Invalid</v>
      </c>
      <c r="U1308" t="str">
        <f>IF(Raw_Data[[#This Row],[Age_Check]]="Valid",H1308,"")</f>
        <v/>
      </c>
      <c r="V1308" t="str">
        <f>IF(OR(K1308="",UPPER(TRIM(K1308&amp;""))="",LOWER(TRIM(K1308&amp;""))="",LOWER(TRIM(K1308&amp;""))="",LOWER(TRIM(K1308&amp;""))="missing"),"Missing/",IFERROR(IF(VALUE(K1308)&lt;0,"Invalid","Valid"),"Check Format"))</f>
        <v>Valid</v>
      </c>
      <c r="W1308" t="str">
        <f>IF(OR(E1308="",F1308=""),"Missing Date/Time",IFERROR(IF(F1308&gt;E1308,"Arrival After Appointment","OK"),"Check Format"))</f>
        <v>OK</v>
      </c>
      <c r="X1308" t="str">
        <f>IF(OR(F1308="",G1308=""),"Missing Date/Time",IFERROR(IF(G1308&lt;F1308,"Discharge Before Arrival","OK"),"Check Format"))</f>
        <v>Missing Date/Time</v>
      </c>
    </row>
    <row r="1309" spans="1:24" x14ac:dyDescent="0.25">
      <c r="A1309" s="2" t="s">
        <v>1999</v>
      </c>
      <c r="B1309" s="2" t="s">
        <v>2000</v>
      </c>
      <c r="C1309" s="3" t="s">
        <v>46</v>
      </c>
      <c r="D1309" s="3" t="s">
        <v>99</v>
      </c>
      <c r="E1309" s="4">
        <v>45726.309027777781</v>
      </c>
      <c r="F1309" s="4">
        <v>45726.307638888888</v>
      </c>
      <c r="G1309" s="4">
        <v>45726.349305555559</v>
      </c>
      <c r="I1309" s="3" t="s">
        <v>90</v>
      </c>
      <c r="J1309" s="3" t="s">
        <v>67</v>
      </c>
      <c r="K1309" s="5">
        <v>52</v>
      </c>
      <c r="L1309" s="5">
        <v>6</v>
      </c>
      <c r="M1309" s="3" t="s">
        <v>32</v>
      </c>
      <c r="O1309" s="5">
        <v>1</v>
      </c>
      <c r="P1309" s="3" t="s">
        <v>80</v>
      </c>
      <c r="Q1309" s="2">
        <v>103.03</v>
      </c>
      <c r="R1309" s="3" t="s">
        <v>43</v>
      </c>
      <c r="S1309">
        <f>COUNTIF(A:A,A1309)</f>
        <v>1</v>
      </c>
      <c r="T1309" t="str">
        <f>IF(OR(H1309="",LOWER(TRIM(H1309&amp;""))="missing",LOWER(TRIM(H1309&amp;""))=""),"Missing/",IFERROR(IF(OR(VALUE(H1309)&lt;0,VALUE(H1309)&gt;110),"Invalid","Valid"),"Check Format"))</f>
        <v>Missing/</v>
      </c>
      <c r="U1309" t="str">
        <f>IF(Raw_Data[[#This Row],[Age_Check]]="Valid",H1309,"")</f>
        <v/>
      </c>
      <c r="V1309" t="str">
        <f>IF(OR(K1309="",UPPER(TRIM(K1309&amp;""))="",LOWER(TRIM(K1309&amp;""))="",LOWER(TRIM(K1309&amp;""))="",LOWER(TRIM(K1309&amp;""))="missing"),"Missing/",IFERROR(IF(VALUE(K1309)&lt;0,"Invalid","Valid"),"Check Format"))</f>
        <v>Valid</v>
      </c>
      <c r="W1309" t="str">
        <f>IF(OR(E1309="",F1309=""),"Missing Date/Time",IFERROR(IF(F1309&gt;E1309,"Arrival After Appointment","OK"),"Check Format"))</f>
        <v>OK</v>
      </c>
      <c r="X1309" t="str">
        <f>IF(OR(F1309="",G1309=""),"Missing Date/Time",IFERROR(IF(G1309&lt;F1309,"Discharge Before Arrival","OK"),"Check Format"))</f>
        <v>OK</v>
      </c>
    </row>
    <row r="1310" spans="1:24" x14ac:dyDescent="0.25">
      <c r="A1310" s="2" t="s">
        <v>2001</v>
      </c>
      <c r="B1310" s="2" t="s">
        <v>392</v>
      </c>
      <c r="C1310" s="3" t="s">
        <v>46</v>
      </c>
      <c r="D1310" s="3" t="s">
        <v>20</v>
      </c>
      <c r="E1310" s="4" t="s">
        <v>2002</v>
      </c>
      <c r="F1310" s="4">
        <v>45560.394444444442</v>
      </c>
      <c r="G1310" s="4">
        <v>45560.493055555555</v>
      </c>
      <c r="H1310" s="5">
        <v>145</v>
      </c>
      <c r="I1310" s="3" t="s">
        <v>73</v>
      </c>
      <c r="J1310" s="3" t="s">
        <v>150</v>
      </c>
      <c r="K1310" s="5">
        <v>75</v>
      </c>
      <c r="L1310" s="5">
        <v>55</v>
      </c>
      <c r="M1310" s="3" t="s">
        <v>63</v>
      </c>
      <c r="O1310" s="5">
        <v>0</v>
      </c>
      <c r="P1310" s="3" t="s">
        <v>25</v>
      </c>
      <c r="Q1310" s="2">
        <v>56.43</v>
      </c>
      <c r="R1310" s="3" t="s">
        <v>58</v>
      </c>
      <c r="S1310">
        <f>COUNTIF(A:A,A1310)</f>
        <v>1</v>
      </c>
      <c r="T1310" t="str">
        <f>IF(OR(H1310="",LOWER(TRIM(H1310&amp;""))="missing",LOWER(TRIM(H1310&amp;""))=""),"Missing/",IFERROR(IF(OR(VALUE(H1310)&lt;0,VALUE(H1310)&gt;110),"Invalid","Valid"),"Check Format"))</f>
        <v>Invalid</v>
      </c>
      <c r="U1310" t="str">
        <f>IF(Raw_Data[[#This Row],[Age_Check]]="Valid",H1310,"")</f>
        <v/>
      </c>
      <c r="V1310" t="str">
        <f>IF(OR(K1310="",UPPER(TRIM(K1310&amp;""))="",LOWER(TRIM(K1310&amp;""))="",LOWER(TRIM(K1310&amp;""))="",LOWER(TRIM(K1310&amp;""))="missing"),"Missing/",IFERROR(IF(VALUE(K1310)&lt;0,"Invalid","Valid"),"Check Format"))</f>
        <v>Valid</v>
      </c>
      <c r="W1310" t="str">
        <f>IF(OR(E1310="",F1310=""),"Missing Date/Time",IFERROR(IF(F1310&gt;E1310,"Arrival After Appointment","OK"),"Check Format"))</f>
        <v>OK</v>
      </c>
      <c r="X1310" t="str">
        <f>IF(OR(F1310="",G1310=""),"Missing Date/Time",IFERROR(IF(G1310&lt;F1310,"Discharge Before Arrival","OK"),"Check Format"))</f>
        <v>OK</v>
      </c>
    </row>
    <row r="1311" spans="1:24" x14ac:dyDescent="0.25">
      <c r="A1311" s="2" t="s">
        <v>2003</v>
      </c>
      <c r="B1311" s="2" t="s">
        <v>803</v>
      </c>
      <c r="D1311" s="3" t="s">
        <v>30</v>
      </c>
      <c r="E1311" s="4">
        <v>45993.565972222219</v>
      </c>
      <c r="F1311" s="4">
        <v>45993.55</v>
      </c>
      <c r="G1311" s="4">
        <v>45993.617361111108</v>
      </c>
      <c r="H1311" s="5">
        <v>60</v>
      </c>
      <c r="I1311" s="3" t="s">
        <v>90</v>
      </c>
      <c r="J1311" s="3" t="s">
        <v>62</v>
      </c>
      <c r="K1311" s="5">
        <v>45</v>
      </c>
      <c r="L1311" s="5">
        <v>29</v>
      </c>
      <c r="M1311" s="3" t="s">
        <v>50</v>
      </c>
      <c r="N1311" t="s">
        <v>24</v>
      </c>
      <c r="O1311" s="5">
        <v>6</v>
      </c>
      <c r="P1311" s="3" t="s">
        <v>25</v>
      </c>
      <c r="Q1311" s="2">
        <v>33.340000000000003</v>
      </c>
      <c r="R1311" s="3" t="s">
        <v>26</v>
      </c>
      <c r="S1311">
        <f>COUNTIF(A:A,A1311)</f>
        <v>1</v>
      </c>
      <c r="T1311" t="str">
        <f>IF(OR(H1311="",LOWER(TRIM(H1311&amp;""))="missing",LOWER(TRIM(H1311&amp;""))=""),"Missing/",IFERROR(IF(OR(VALUE(H1311)&lt;0,VALUE(H1311)&gt;110),"Invalid","Valid"),"Check Format"))</f>
        <v>Valid</v>
      </c>
      <c r="U1311">
        <f>IF(Raw_Data[[#This Row],[Age_Check]]="Valid",H1311,"")</f>
        <v>60</v>
      </c>
      <c r="V1311" t="str">
        <f>IF(OR(K1311="",UPPER(TRIM(K1311&amp;""))="",LOWER(TRIM(K1311&amp;""))="",LOWER(TRIM(K1311&amp;""))="",LOWER(TRIM(K1311&amp;""))="missing"),"Missing/",IFERROR(IF(VALUE(K1311)&lt;0,"Invalid","Valid"),"Check Format"))</f>
        <v>Valid</v>
      </c>
      <c r="W1311" t="str">
        <f>IF(OR(E1311="",F1311=""),"Missing Date/Time",IFERROR(IF(F1311&gt;E1311,"Arrival After Appointment","OK"),"Check Format"))</f>
        <v>OK</v>
      </c>
      <c r="X1311" t="str">
        <f>IF(OR(F1311="",G1311=""),"Missing Date/Time",IFERROR(IF(G1311&lt;F1311,"Discharge Before Arrival","OK"),"Check Format"))</f>
        <v>OK</v>
      </c>
    </row>
    <row r="1312" spans="1:24" x14ac:dyDescent="0.25">
      <c r="A1312" s="2" t="s">
        <v>2004</v>
      </c>
      <c r="B1312" s="2" t="s">
        <v>2005</v>
      </c>
      <c r="C1312" s="3" t="s">
        <v>46</v>
      </c>
      <c r="D1312" s="3" t="s">
        <v>30</v>
      </c>
      <c r="E1312" s="4">
        <v>45592.545138888891</v>
      </c>
      <c r="G1312" s="4">
        <v>45592.611805555556</v>
      </c>
      <c r="H1312" s="5">
        <v>145</v>
      </c>
      <c r="I1312" s="3" t="s">
        <v>39</v>
      </c>
      <c r="J1312" s="3" t="s">
        <v>67</v>
      </c>
      <c r="K1312" s="5">
        <v>78</v>
      </c>
      <c r="L1312" s="5">
        <v>18</v>
      </c>
      <c r="M1312" s="3" t="s">
        <v>87</v>
      </c>
      <c r="N1312" t="s">
        <v>69</v>
      </c>
      <c r="O1312" s="5">
        <v>1</v>
      </c>
      <c r="P1312" s="3" t="s">
        <v>80</v>
      </c>
      <c r="Q1312" s="2">
        <v>129.37</v>
      </c>
      <c r="R1312" s="3" t="s">
        <v>75</v>
      </c>
      <c r="S1312">
        <f>COUNTIF(A:A,A1312)</f>
        <v>1</v>
      </c>
      <c r="T1312" t="str">
        <f>IF(OR(H1312="",LOWER(TRIM(H1312&amp;""))="missing",LOWER(TRIM(H1312&amp;""))=""),"Missing/",IFERROR(IF(OR(VALUE(H1312)&lt;0,VALUE(H1312)&gt;110),"Invalid","Valid"),"Check Format"))</f>
        <v>Invalid</v>
      </c>
      <c r="U1312" t="str">
        <f>IF(Raw_Data[[#This Row],[Age_Check]]="Valid",H1312,"")</f>
        <v/>
      </c>
      <c r="V1312" t="str">
        <f>IF(OR(K1312="",UPPER(TRIM(K1312&amp;""))="",LOWER(TRIM(K1312&amp;""))="",LOWER(TRIM(K1312&amp;""))="",LOWER(TRIM(K1312&amp;""))="missing"),"Missing/",IFERROR(IF(VALUE(K1312)&lt;0,"Invalid","Valid"),"Check Format"))</f>
        <v>Valid</v>
      </c>
      <c r="W1312" t="str">
        <f>IF(OR(E1312="",F1312=""),"Missing Date/Time",IFERROR(IF(F1312&gt;E1312,"Arrival After Appointment","OK"),"Check Format"))</f>
        <v>Missing Date/Time</v>
      </c>
      <c r="X1312" t="str">
        <f>IF(OR(F1312="",G1312=""),"Missing Date/Time",IFERROR(IF(G1312&lt;F1312,"Discharge Before Arrival","OK"),"Check Format"))</f>
        <v>Missing Date/Time</v>
      </c>
    </row>
    <row r="1313" spans="1:24" x14ac:dyDescent="0.25">
      <c r="A1313" s="2" t="s">
        <v>2006</v>
      </c>
      <c r="B1313" s="2" t="s">
        <v>633</v>
      </c>
      <c r="C1313" s="3" t="s">
        <v>94</v>
      </c>
      <c r="D1313" s="3" t="s">
        <v>23</v>
      </c>
      <c r="E1313" s="4">
        <v>45933.454861111109</v>
      </c>
      <c r="F1313" s="4">
        <v>45933.435416666667</v>
      </c>
      <c r="G1313" s="4">
        <v>45933.495833333334</v>
      </c>
      <c r="I1313" s="3" t="s">
        <v>90</v>
      </c>
      <c r="J1313" s="3" t="s">
        <v>171</v>
      </c>
      <c r="K1313" s="5">
        <v>42</v>
      </c>
      <c r="L1313" s="5">
        <v>17</v>
      </c>
      <c r="M1313" s="3" t="s">
        <v>32</v>
      </c>
      <c r="N1313" t="s">
        <v>91</v>
      </c>
      <c r="O1313" s="5">
        <v>0</v>
      </c>
      <c r="P1313" s="3" t="s">
        <v>25</v>
      </c>
      <c r="Q1313" s="2">
        <v>144.44</v>
      </c>
      <c r="R1313" s="3" t="s">
        <v>58</v>
      </c>
      <c r="S1313">
        <f>COUNTIF(A:A,A1313)</f>
        <v>1</v>
      </c>
      <c r="T1313" t="str">
        <f>IF(OR(H1313="",LOWER(TRIM(H1313&amp;""))="missing",LOWER(TRIM(H1313&amp;""))=""),"Missing/",IFERROR(IF(OR(VALUE(H1313)&lt;0,VALUE(H1313)&gt;110),"Invalid","Valid"),"Check Format"))</f>
        <v>Missing/</v>
      </c>
      <c r="U1313" t="str">
        <f>IF(Raw_Data[[#This Row],[Age_Check]]="Valid",H1313,"")</f>
        <v/>
      </c>
      <c r="V1313" t="str">
        <f>IF(OR(K1313="",UPPER(TRIM(K1313&amp;""))="",LOWER(TRIM(K1313&amp;""))="",LOWER(TRIM(K1313&amp;""))="",LOWER(TRIM(K1313&amp;""))="missing"),"Missing/",IFERROR(IF(VALUE(K1313)&lt;0,"Invalid","Valid"),"Check Format"))</f>
        <v>Valid</v>
      </c>
      <c r="W1313" t="str">
        <f>IF(OR(E1313="",F1313=""),"Missing Date/Time",IFERROR(IF(F1313&gt;E1313,"Arrival After Appointment","OK"),"Check Format"))</f>
        <v>OK</v>
      </c>
      <c r="X1313" t="str">
        <f>IF(OR(F1313="",G1313=""),"Missing Date/Time",IFERROR(IF(G1313&lt;F1313,"Discharge Before Arrival","OK"),"Check Format"))</f>
        <v>OK</v>
      </c>
    </row>
    <row r="1314" spans="1:24" x14ac:dyDescent="0.25">
      <c r="A1314" s="2" t="s">
        <v>2007</v>
      </c>
      <c r="B1314" s="2" t="s">
        <v>98</v>
      </c>
      <c r="C1314" s="3" t="s">
        <v>19</v>
      </c>
      <c r="D1314" s="3" t="s">
        <v>47</v>
      </c>
      <c r="E1314" s="4">
        <v>45646.395833333336</v>
      </c>
      <c r="F1314" s="4">
        <v>45646.393750000003</v>
      </c>
      <c r="G1314" s="4">
        <v>45646.447916666664</v>
      </c>
      <c r="I1314" s="3" t="s">
        <v>90</v>
      </c>
      <c r="J1314" s="3" t="s">
        <v>22</v>
      </c>
      <c r="K1314" s="5">
        <v>50</v>
      </c>
      <c r="L1314" s="5">
        <v>25</v>
      </c>
      <c r="M1314" s="3" t="s">
        <v>87</v>
      </c>
      <c r="N1314" t="s">
        <v>91</v>
      </c>
      <c r="O1314" s="5">
        <v>2</v>
      </c>
      <c r="P1314" s="3" t="s">
        <v>80</v>
      </c>
      <c r="Q1314" s="2">
        <v>86.72</v>
      </c>
      <c r="R1314" s="3" t="s">
        <v>26</v>
      </c>
      <c r="S1314">
        <f>COUNTIF(A:A,A1314)</f>
        <v>1</v>
      </c>
      <c r="T1314" t="str">
        <f>IF(OR(H1314="",LOWER(TRIM(H1314&amp;""))="missing",LOWER(TRIM(H1314&amp;""))=""),"Missing/",IFERROR(IF(OR(VALUE(H1314)&lt;0,VALUE(H1314)&gt;110),"Invalid","Valid"),"Check Format"))</f>
        <v>Missing/</v>
      </c>
      <c r="U1314" t="str">
        <f>IF(Raw_Data[[#This Row],[Age_Check]]="Valid",H1314,"")</f>
        <v/>
      </c>
      <c r="V1314" t="str">
        <f>IF(OR(K1314="",UPPER(TRIM(K1314&amp;""))="",LOWER(TRIM(K1314&amp;""))="",LOWER(TRIM(K1314&amp;""))="",LOWER(TRIM(K1314&amp;""))="missing"),"Missing/",IFERROR(IF(VALUE(K1314)&lt;0,"Invalid","Valid"),"Check Format"))</f>
        <v>Valid</v>
      </c>
      <c r="W1314" t="str">
        <f>IF(OR(E1314="",F1314=""),"Missing Date/Time",IFERROR(IF(F1314&gt;E1314,"Arrival After Appointment","OK"),"Check Format"))</f>
        <v>OK</v>
      </c>
      <c r="X1314" t="str">
        <f>IF(OR(F1314="",G1314=""),"Missing Date/Time",IFERROR(IF(G1314&lt;F1314,"Discharge Before Arrival","OK"),"Check Format"))</f>
        <v>OK</v>
      </c>
    </row>
    <row r="1315" spans="1:24" x14ac:dyDescent="0.25">
      <c r="A1315" s="2" t="s">
        <v>1482</v>
      </c>
      <c r="B1315" s="2" t="s">
        <v>900</v>
      </c>
      <c r="C1315" s="3" t="s">
        <v>46</v>
      </c>
      <c r="D1315" s="3" t="s">
        <v>99</v>
      </c>
      <c r="E1315" s="4">
        <v>45959.614583333336</v>
      </c>
      <c r="F1315" s="4">
        <v>45959.59652777778</v>
      </c>
      <c r="G1315" s="4">
        <v>45959.692361111112</v>
      </c>
      <c r="I1315" s="3" t="s">
        <v>73</v>
      </c>
      <c r="J1315" s="3" t="s">
        <v>22</v>
      </c>
      <c r="K1315" s="5">
        <v>64</v>
      </c>
      <c r="L1315" s="5">
        <v>48</v>
      </c>
      <c r="N1315" t="s">
        <v>74</v>
      </c>
      <c r="O1315" s="5">
        <v>2</v>
      </c>
      <c r="P1315" s="3" t="s">
        <v>25</v>
      </c>
      <c r="Q1315" s="2">
        <v>62.4</v>
      </c>
      <c r="R1315" s="3" t="s">
        <v>75</v>
      </c>
      <c r="S1315">
        <f>COUNTIF(A:A,A1315)</f>
        <v>1</v>
      </c>
      <c r="T1315" t="str">
        <f>IF(OR(H1315="",LOWER(TRIM(H1315&amp;""))="missing",LOWER(TRIM(H1315&amp;""))=""),"Missing/",IFERROR(IF(OR(VALUE(H1315)&lt;0,VALUE(H1315)&gt;110),"Invalid","Valid"),"Check Format"))</f>
        <v>Missing/</v>
      </c>
      <c r="U1315" t="str">
        <f>IF(Raw_Data[[#This Row],[Age_Check]]="Valid",H1315,"")</f>
        <v/>
      </c>
      <c r="V1315" t="str">
        <f>IF(OR(K1315="",UPPER(TRIM(K1315&amp;""))="",LOWER(TRIM(K1315&amp;""))="",LOWER(TRIM(K1315&amp;""))="",LOWER(TRIM(K1315&amp;""))="missing"),"Missing/",IFERROR(IF(VALUE(K1315)&lt;0,"Invalid","Valid"),"Check Format"))</f>
        <v>Valid</v>
      </c>
      <c r="W1315" t="str">
        <f>IF(OR(E1315="",F1315=""),"Missing Date/Time",IFERROR(IF(F1315&gt;E1315,"Arrival After Appointment","OK"),"Check Format"))</f>
        <v>OK</v>
      </c>
      <c r="X1315" t="str">
        <f>IF(OR(F1315="",G1315=""),"Missing Date/Time",IFERROR(IF(G1315&lt;F1315,"Discharge Before Arrival","OK"),"Check Format"))</f>
        <v>OK</v>
      </c>
    </row>
    <row r="1316" spans="1:24" x14ac:dyDescent="0.25">
      <c r="A1316" s="2" t="s">
        <v>2009</v>
      </c>
      <c r="B1316" s="2" t="s">
        <v>682</v>
      </c>
      <c r="C1316" s="3" t="s">
        <v>94</v>
      </c>
      <c r="D1316" s="3" t="s">
        <v>20</v>
      </c>
      <c r="E1316" s="4" t="s">
        <v>2010</v>
      </c>
      <c r="F1316" s="4">
        <v>45918.318749999999</v>
      </c>
      <c r="G1316" s="4">
        <v>45918.387499999997</v>
      </c>
      <c r="I1316" s="3" t="s">
        <v>39</v>
      </c>
      <c r="J1316" s="3" t="s">
        <v>67</v>
      </c>
      <c r="K1316" s="5">
        <v>92</v>
      </c>
      <c r="L1316" s="5">
        <v>6</v>
      </c>
      <c r="M1316" s="3" t="s">
        <v>87</v>
      </c>
      <c r="O1316" s="5">
        <v>6</v>
      </c>
      <c r="P1316" s="3" t="s">
        <v>80</v>
      </c>
      <c r="Q1316" s="2">
        <v>157.62</v>
      </c>
      <c r="R1316" s="3" t="s">
        <v>75</v>
      </c>
      <c r="S1316">
        <f>COUNTIF(A:A,A1316)</f>
        <v>1</v>
      </c>
      <c r="T1316" t="str">
        <f>IF(OR(H1316="",LOWER(TRIM(H1316&amp;""))="missing",LOWER(TRIM(H1316&amp;""))=""),"Missing/",IFERROR(IF(OR(VALUE(H1316)&lt;0,VALUE(H1316)&gt;110),"Invalid","Valid"),"Check Format"))</f>
        <v>Missing/</v>
      </c>
      <c r="U1316" t="str">
        <f>IF(Raw_Data[[#This Row],[Age_Check]]="Valid",H1316,"")</f>
        <v/>
      </c>
      <c r="V1316" t="str">
        <f>IF(OR(K1316="",UPPER(TRIM(K1316&amp;""))="",LOWER(TRIM(K1316&amp;""))="",LOWER(TRIM(K1316&amp;""))="",LOWER(TRIM(K1316&amp;""))="missing"),"Missing/",IFERROR(IF(VALUE(K1316)&lt;0,"Invalid","Valid"),"Check Format"))</f>
        <v>Valid</v>
      </c>
      <c r="W1316" t="str">
        <f>IF(OR(E1316="",F1316=""),"Missing Date/Time",IFERROR(IF(F1316&gt;E1316,"Arrival After Appointment","OK"),"Check Format"))</f>
        <v>OK</v>
      </c>
      <c r="X1316" t="str">
        <f>IF(OR(F1316="",G1316=""),"Missing Date/Time",IFERROR(IF(G1316&lt;F1316,"Discharge Before Arrival","OK"),"Check Format"))</f>
        <v>OK</v>
      </c>
    </row>
    <row r="1317" spans="1:24" x14ac:dyDescent="0.25">
      <c r="A1317" s="2" t="s">
        <v>2011</v>
      </c>
      <c r="B1317" s="2" t="s">
        <v>1069</v>
      </c>
      <c r="C1317" s="3" t="s">
        <v>46</v>
      </c>
      <c r="D1317" s="3" t="s">
        <v>66</v>
      </c>
      <c r="E1317" s="4">
        <v>45743.78125</v>
      </c>
      <c r="F1317" s="4">
        <v>45743.770138888889</v>
      </c>
      <c r="G1317" s="4">
        <v>45743.79791666667</v>
      </c>
      <c r="H1317" s="5">
        <v>145</v>
      </c>
      <c r="I1317" s="3" t="s">
        <v>90</v>
      </c>
      <c r="J1317" s="3" t="s">
        <v>62</v>
      </c>
      <c r="K1317" s="5">
        <v>19</v>
      </c>
      <c r="L1317" s="5">
        <v>5</v>
      </c>
      <c r="N1317" t="s">
        <v>69</v>
      </c>
      <c r="O1317" s="5">
        <v>6</v>
      </c>
      <c r="P1317" s="3" t="s">
        <v>42</v>
      </c>
      <c r="Q1317" s="2">
        <v>85.85</v>
      </c>
      <c r="R1317" s="3" t="s">
        <v>75</v>
      </c>
      <c r="S1317">
        <f>COUNTIF(A:A,A1317)</f>
        <v>1</v>
      </c>
      <c r="T1317" t="str">
        <f>IF(OR(H1317="",LOWER(TRIM(H1317&amp;""))="missing",LOWER(TRIM(H1317&amp;""))=""),"Missing/",IFERROR(IF(OR(VALUE(H1317)&lt;0,VALUE(H1317)&gt;110),"Invalid","Valid"),"Check Format"))</f>
        <v>Invalid</v>
      </c>
      <c r="U1317" t="str">
        <f>IF(Raw_Data[[#This Row],[Age_Check]]="Valid",H1317,"")</f>
        <v/>
      </c>
      <c r="V1317" t="str">
        <f>IF(OR(K1317="",UPPER(TRIM(K1317&amp;""))="",LOWER(TRIM(K1317&amp;""))="",LOWER(TRIM(K1317&amp;""))="",LOWER(TRIM(K1317&amp;""))="missing"),"Missing/",IFERROR(IF(VALUE(K1317)&lt;0,"Invalid","Valid"),"Check Format"))</f>
        <v>Valid</v>
      </c>
      <c r="W1317" t="str">
        <f>IF(OR(E1317="",F1317=""),"Missing Date/Time",IFERROR(IF(F1317&gt;E1317,"Arrival After Appointment","OK"),"Check Format"))</f>
        <v>OK</v>
      </c>
      <c r="X1317" t="str">
        <f>IF(OR(F1317="",G1317=""),"Missing Date/Time",IFERROR(IF(G1317&lt;F1317,"Discharge Before Arrival","OK"),"Check Format"))</f>
        <v>OK</v>
      </c>
    </row>
    <row r="1318" spans="1:24" x14ac:dyDescent="0.25">
      <c r="A1318" s="2" t="s">
        <v>2012</v>
      </c>
      <c r="B1318" s="2" t="s">
        <v>117</v>
      </c>
      <c r="D1318" s="3" t="s">
        <v>115</v>
      </c>
      <c r="E1318" s="4">
        <v>45657.6875</v>
      </c>
      <c r="F1318" s="4">
        <v>45657.683333333334</v>
      </c>
      <c r="G1318" s="4">
        <v>45657.790277777778</v>
      </c>
      <c r="H1318" s="5">
        <v>88</v>
      </c>
      <c r="I1318" s="3" t="s">
        <v>95</v>
      </c>
      <c r="J1318" s="3" t="s">
        <v>62</v>
      </c>
      <c r="K1318" s="5">
        <v>99</v>
      </c>
      <c r="L1318" s="5">
        <v>49</v>
      </c>
      <c r="M1318" s="3" t="s">
        <v>68</v>
      </c>
      <c r="N1318" t="s">
        <v>69</v>
      </c>
      <c r="O1318" s="5">
        <v>3</v>
      </c>
      <c r="P1318" s="3" t="s">
        <v>25</v>
      </c>
      <c r="Q1318" s="2">
        <v>164.44</v>
      </c>
      <c r="R1318" s="3" t="s">
        <v>58</v>
      </c>
      <c r="S1318">
        <f>COUNTIF(A:A,A1318)</f>
        <v>1</v>
      </c>
      <c r="T1318" t="str">
        <f>IF(OR(H1318="",LOWER(TRIM(H1318&amp;""))="missing",LOWER(TRIM(H1318&amp;""))=""),"Missing/",IFERROR(IF(OR(VALUE(H1318)&lt;0,VALUE(H1318)&gt;110),"Invalid","Valid"),"Check Format"))</f>
        <v>Valid</v>
      </c>
      <c r="U1318">
        <f>IF(Raw_Data[[#This Row],[Age_Check]]="Valid",H1318,"")</f>
        <v>88</v>
      </c>
      <c r="V1318" t="str">
        <f>IF(OR(K1318="",UPPER(TRIM(K1318&amp;""))="",LOWER(TRIM(K1318&amp;""))="",LOWER(TRIM(K1318&amp;""))="",LOWER(TRIM(K1318&amp;""))="missing"),"Missing/",IFERROR(IF(VALUE(K1318)&lt;0,"Invalid","Valid"),"Check Format"))</f>
        <v>Valid</v>
      </c>
      <c r="W1318" t="str">
        <f>IF(OR(E1318="",F1318=""),"Missing Date/Time",IFERROR(IF(F1318&gt;E1318,"Arrival After Appointment","OK"),"Check Format"))</f>
        <v>OK</v>
      </c>
      <c r="X1318" t="str">
        <f>IF(OR(F1318="",G1318=""),"Missing Date/Time",IFERROR(IF(G1318&lt;F1318,"Discharge Before Arrival","OK"),"Check Format"))</f>
        <v>OK</v>
      </c>
    </row>
    <row r="1319" spans="1:24" x14ac:dyDescent="0.25">
      <c r="A1319" s="2" t="s">
        <v>2013</v>
      </c>
      <c r="B1319" s="2" t="s">
        <v>108</v>
      </c>
      <c r="C1319" s="3" t="s">
        <v>19</v>
      </c>
      <c r="D1319" s="3" t="s">
        <v>106</v>
      </c>
      <c r="E1319" s="4">
        <v>45631.486111111109</v>
      </c>
      <c r="F1319" s="4">
        <v>45631.48333333333</v>
      </c>
      <c r="G1319" s="4">
        <v>45631.508333333331</v>
      </c>
      <c r="I1319" s="3" t="s">
        <v>90</v>
      </c>
      <c r="J1319" s="3" t="s">
        <v>171</v>
      </c>
      <c r="K1319" s="5">
        <v>4</v>
      </c>
      <c r="L1319" s="5">
        <v>28</v>
      </c>
      <c r="M1319" s="3" t="s">
        <v>63</v>
      </c>
      <c r="N1319" t="s">
        <v>24</v>
      </c>
      <c r="O1319" s="5">
        <v>3</v>
      </c>
      <c r="P1319" s="3" t="s">
        <v>25</v>
      </c>
      <c r="Q1319" s="2">
        <v>169.14</v>
      </c>
      <c r="R1319" s="3" t="s">
        <v>43</v>
      </c>
      <c r="S1319">
        <f>COUNTIF(A:A,A1319)</f>
        <v>1</v>
      </c>
      <c r="T1319" t="str">
        <f>IF(OR(H1319="",LOWER(TRIM(H1319&amp;""))="missing",LOWER(TRIM(H1319&amp;""))=""),"Missing/",IFERROR(IF(OR(VALUE(H1319)&lt;0,VALUE(H1319)&gt;110),"Invalid","Valid"),"Check Format"))</f>
        <v>Missing/</v>
      </c>
      <c r="U1319" t="str">
        <f>IF(Raw_Data[[#This Row],[Age_Check]]="Valid",H1319,"")</f>
        <v/>
      </c>
      <c r="V1319" t="str">
        <f>IF(OR(K1319="",UPPER(TRIM(K1319&amp;""))="",LOWER(TRIM(K1319&amp;""))="",LOWER(TRIM(K1319&amp;""))="",LOWER(TRIM(K1319&amp;""))="missing"),"Missing/",IFERROR(IF(VALUE(K1319)&lt;0,"Invalid","Valid"),"Check Format"))</f>
        <v>Valid</v>
      </c>
      <c r="W1319" t="str">
        <f>IF(OR(E1319="",F1319=""),"Missing Date/Time",IFERROR(IF(F1319&gt;E1319,"Arrival After Appointment","OK"),"Check Format"))</f>
        <v>OK</v>
      </c>
      <c r="X1319" t="str">
        <f>IF(OR(F1319="",G1319=""),"Missing Date/Time",IFERROR(IF(G1319&lt;F1319,"Discharge Before Arrival","OK"),"Check Format"))</f>
        <v>OK</v>
      </c>
    </row>
    <row r="1320" spans="1:24" x14ac:dyDescent="0.25">
      <c r="A1320" s="2" t="s">
        <v>2014</v>
      </c>
      <c r="B1320" s="2" t="s">
        <v>437</v>
      </c>
      <c r="C1320" s="3" t="s">
        <v>94</v>
      </c>
      <c r="D1320" s="3" t="s">
        <v>38</v>
      </c>
      <c r="E1320" s="4">
        <v>45852.493055555555</v>
      </c>
      <c r="F1320" s="4">
        <v>45852.489583333336</v>
      </c>
      <c r="G1320" s="4">
        <v>45852.540972222225</v>
      </c>
      <c r="I1320" s="3" t="s">
        <v>39</v>
      </c>
      <c r="J1320" s="3" t="s">
        <v>62</v>
      </c>
      <c r="K1320" s="5">
        <v>64</v>
      </c>
      <c r="L1320" s="5">
        <v>5</v>
      </c>
      <c r="M1320" s="3" t="s">
        <v>68</v>
      </c>
      <c r="O1320" s="5">
        <v>0</v>
      </c>
      <c r="Q1320" s="2">
        <v>73.77</v>
      </c>
      <c r="R1320" s="3" t="s">
        <v>58</v>
      </c>
      <c r="S1320">
        <f>COUNTIF(A:A,A1320)</f>
        <v>1</v>
      </c>
      <c r="T1320" t="str">
        <f>IF(OR(H1320="",LOWER(TRIM(H1320&amp;""))="missing",LOWER(TRIM(H1320&amp;""))=""),"Missing/",IFERROR(IF(OR(VALUE(H1320)&lt;0,VALUE(H1320)&gt;110),"Invalid","Valid"),"Check Format"))</f>
        <v>Missing/</v>
      </c>
      <c r="U1320" t="str">
        <f>IF(Raw_Data[[#This Row],[Age_Check]]="Valid",H1320,"")</f>
        <v/>
      </c>
      <c r="V1320" t="str">
        <f>IF(OR(K1320="",UPPER(TRIM(K1320&amp;""))="",LOWER(TRIM(K1320&amp;""))="",LOWER(TRIM(K1320&amp;""))="",LOWER(TRIM(K1320&amp;""))="missing"),"Missing/",IFERROR(IF(VALUE(K1320)&lt;0,"Invalid","Valid"),"Check Format"))</f>
        <v>Valid</v>
      </c>
      <c r="W1320" t="str">
        <f>IF(OR(E1320="",F1320=""),"Missing Date/Time",IFERROR(IF(F1320&gt;E1320,"Arrival After Appointment","OK"),"Check Format"))</f>
        <v>OK</v>
      </c>
      <c r="X1320" t="str">
        <f>IF(OR(F1320="",G1320=""),"Missing Date/Time",IFERROR(IF(G1320&lt;F1320,"Discharge Before Arrival","OK"),"Check Format"))</f>
        <v>OK</v>
      </c>
    </row>
    <row r="1321" spans="1:24" x14ac:dyDescent="0.25">
      <c r="A1321" s="2" t="s">
        <v>2015</v>
      </c>
      <c r="B1321" s="2" t="s">
        <v>1912</v>
      </c>
      <c r="C1321" s="3" t="s">
        <v>46</v>
      </c>
      <c r="D1321" s="3" t="s">
        <v>174</v>
      </c>
      <c r="F1321" s="4">
        <v>45757.688888888886</v>
      </c>
      <c r="G1321" s="4">
        <v>45757.761111111111</v>
      </c>
      <c r="H1321" s="5">
        <v>8</v>
      </c>
      <c r="I1321" s="3" t="s">
        <v>90</v>
      </c>
      <c r="K1321" s="5">
        <v>55</v>
      </c>
      <c r="L1321" s="5">
        <v>41</v>
      </c>
      <c r="M1321" s="3" t="s">
        <v>87</v>
      </c>
      <c r="N1321" t="s">
        <v>100</v>
      </c>
      <c r="P1321" s="3" t="s">
        <v>25</v>
      </c>
      <c r="Q1321" s="2">
        <v>0</v>
      </c>
      <c r="R1321" s="3" t="s">
        <v>43</v>
      </c>
      <c r="S1321">
        <f>COUNTIF(A:A,A1321)</f>
        <v>1</v>
      </c>
      <c r="T1321" t="str">
        <f>IF(OR(H1321="",LOWER(TRIM(H1321&amp;""))="missing",LOWER(TRIM(H1321&amp;""))=""),"Missing/",IFERROR(IF(OR(VALUE(H1321)&lt;0,VALUE(H1321)&gt;110),"Invalid","Valid"),"Check Format"))</f>
        <v>Valid</v>
      </c>
      <c r="U1321">
        <f>IF(Raw_Data[[#This Row],[Age_Check]]="Valid",H1321,"")</f>
        <v>8</v>
      </c>
      <c r="V1321" t="str">
        <f>IF(OR(K1321="",UPPER(TRIM(K1321&amp;""))="",LOWER(TRIM(K1321&amp;""))="",LOWER(TRIM(K1321&amp;""))="",LOWER(TRIM(K1321&amp;""))="missing"),"Missing/",IFERROR(IF(VALUE(K1321)&lt;0,"Invalid","Valid"),"Check Format"))</f>
        <v>Valid</v>
      </c>
      <c r="W1321" t="str">
        <f>IF(OR(E1321="",F1321=""),"Missing Date/Time",IFERROR(IF(F1321&gt;E1321,"Arrival After Appointment","OK"),"Check Format"))</f>
        <v>Missing Date/Time</v>
      </c>
      <c r="X1321" t="str">
        <f>IF(OR(F1321="",G1321=""),"Missing Date/Time",IFERROR(IF(G1321&lt;F1321,"Discharge Before Arrival","OK"),"Check Format"))</f>
        <v>OK</v>
      </c>
    </row>
    <row r="1322" spans="1:24" x14ac:dyDescent="0.25">
      <c r="A1322" s="2" t="s">
        <v>2016</v>
      </c>
      <c r="B1322" s="2" t="s">
        <v>178</v>
      </c>
      <c r="C1322" s="3" t="s">
        <v>19</v>
      </c>
      <c r="D1322" s="3" t="s">
        <v>99</v>
      </c>
      <c r="E1322" s="4">
        <v>45628.6875</v>
      </c>
      <c r="F1322" s="4">
        <v>45628.675000000003</v>
      </c>
      <c r="G1322" s="4">
        <v>45628.74722222222</v>
      </c>
      <c r="H1322" s="5">
        <v>145</v>
      </c>
      <c r="J1322" s="3" t="s">
        <v>171</v>
      </c>
      <c r="K1322" s="5">
        <v>52</v>
      </c>
      <c r="L1322" s="5">
        <v>34</v>
      </c>
      <c r="M1322" s="3" t="s">
        <v>87</v>
      </c>
      <c r="N1322" t="s">
        <v>100</v>
      </c>
      <c r="O1322" s="5">
        <v>6</v>
      </c>
      <c r="P1322" s="3" t="s">
        <v>25</v>
      </c>
      <c r="Q1322" s="2">
        <v>212.97</v>
      </c>
      <c r="R1322" s="3" t="s">
        <v>58</v>
      </c>
      <c r="S1322">
        <f>COUNTIF(A:A,A1322)</f>
        <v>1</v>
      </c>
      <c r="T1322" t="str">
        <f>IF(OR(H1322="",LOWER(TRIM(H1322&amp;""))="missing",LOWER(TRIM(H1322&amp;""))=""),"Missing/",IFERROR(IF(OR(VALUE(H1322)&lt;0,VALUE(H1322)&gt;110),"Invalid","Valid"),"Check Format"))</f>
        <v>Invalid</v>
      </c>
      <c r="U1322" t="str">
        <f>IF(Raw_Data[[#This Row],[Age_Check]]="Valid",H1322,"")</f>
        <v/>
      </c>
      <c r="V1322" t="str">
        <f>IF(OR(K1322="",UPPER(TRIM(K1322&amp;""))="",LOWER(TRIM(K1322&amp;""))="",LOWER(TRIM(K1322&amp;""))="",LOWER(TRIM(K1322&amp;""))="missing"),"Missing/",IFERROR(IF(VALUE(K1322)&lt;0,"Invalid","Valid"),"Check Format"))</f>
        <v>Valid</v>
      </c>
      <c r="W1322" t="str">
        <f>IF(OR(E1322="",F1322=""),"Missing Date/Time",IFERROR(IF(F1322&gt;E1322,"Arrival After Appointment","OK"),"Check Format"))</f>
        <v>OK</v>
      </c>
      <c r="X1322" t="str">
        <f>IF(OR(F1322="",G1322=""),"Missing Date/Time",IFERROR(IF(G1322&lt;F1322,"Discharge Before Arrival","OK"),"Check Format"))</f>
        <v>OK</v>
      </c>
    </row>
    <row r="1323" spans="1:24" x14ac:dyDescent="0.25">
      <c r="A1323" s="2" t="s">
        <v>2017</v>
      </c>
      <c r="B1323" s="2" t="s">
        <v>421</v>
      </c>
      <c r="C1323" s="3" t="s">
        <v>94</v>
      </c>
      <c r="D1323" s="3" t="s">
        <v>30</v>
      </c>
      <c r="E1323" s="4">
        <v>45649.545138888891</v>
      </c>
      <c r="F1323" s="4">
        <v>45649.542361111111</v>
      </c>
      <c r="G1323" s="4">
        <v>45649.631249999999</v>
      </c>
      <c r="I1323" s="3" t="s">
        <v>95</v>
      </c>
      <c r="J1323" s="3" t="s">
        <v>62</v>
      </c>
      <c r="K1323" s="5">
        <v>82</v>
      </c>
      <c r="L1323" s="5">
        <v>42</v>
      </c>
      <c r="N1323" t="s">
        <v>91</v>
      </c>
      <c r="O1323" s="5">
        <v>6</v>
      </c>
      <c r="P1323" s="3" t="s">
        <v>25</v>
      </c>
      <c r="Q1323" s="2">
        <v>81</v>
      </c>
      <c r="R1323" s="3" t="s">
        <v>43</v>
      </c>
      <c r="S1323">
        <f>COUNTIF(A:A,A1323)</f>
        <v>1</v>
      </c>
      <c r="T1323" t="str">
        <f>IF(OR(H1323="",LOWER(TRIM(H1323&amp;""))="missing",LOWER(TRIM(H1323&amp;""))=""),"Missing/",IFERROR(IF(OR(VALUE(H1323)&lt;0,VALUE(H1323)&gt;110),"Invalid","Valid"),"Check Format"))</f>
        <v>Missing/</v>
      </c>
      <c r="U1323" t="str">
        <f>IF(Raw_Data[[#This Row],[Age_Check]]="Valid",H1323,"")</f>
        <v/>
      </c>
      <c r="V1323" t="str">
        <f>IF(OR(K1323="",UPPER(TRIM(K1323&amp;""))="",LOWER(TRIM(K1323&amp;""))="",LOWER(TRIM(K1323&amp;""))="",LOWER(TRIM(K1323&amp;""))="missing"),"Missing/",IFERROR(IF(VALUE(K1323)&lt;0,"Invalid","Valid"),"Check Format"))</f>
        <v>Valid</v>
      </c>
      <c r="W1323" t="str">
        <f>IF(OR(E1323="",F1323=""),"Missing Date/Time",IFERROR(IF(F1323&gt;E1323,"Arrival After Appointment","OK"),"Check Format"))</f>
        <v>OK</v>
      </c>
      <c r="X1323" t="str">
        <f>IF(OR(F1323="",G1323=""),"Missing Date/Time",IFERROR(IF(G1323&lt;F1323,"Discharge Before Arrival","OK"),"Check Format"))</f>
        <v>OK</v>
      </c>
    </row>
    <row r="1324" spans="1:24" x14ac:dyDescent="0.25">
      <c r="A1324" s="2" t="s">
        <v>2018</v>
      </c>
      <c r="B1324" s="2" t="s">
        <v>996</v>
      </c>
      <c r="D1324" s="3" t="s">
        <v>20</v>
      </c>
      <c r="E1324" s="4">
        <v>45752.722222222219</v>
      </c>
      <c r="F1324" s="4">
        <v>45752.71875</v>
      </c>
      <c r="G1324" s="4">
        <v>45752.738888888889</v>
      </c>
      <c r="I1324" s="3" t="s">
        <v>73</v>
      </c>
      <c r="J1324" s="3" t="s">
        <v>2639</v>
      </c>
      <c r="K1324" s="5">
        <v>0</v>
      </c>
      <c r="L1324" s="5">
        <v>24</v>
      </c>
      <c r="N1324" t="s">
        <v>69</v>
      </c>
      <c r="O1324" s="5">
        <v>0</v>
      </c>
      <c r="Q1324" s="2">
        <v>225.13</v>
      </c>
      <c r="R1324" s="3" t="s">
        <v>58</v>
      </c>
      <c r="S1324">
        <f>COUNTIF(A:A,A1324)</f>
        <v>1</v>
      </c>
      <c r="T1324" t="str">
        <f>IF(OR(H1324="",LOWER(TRIM(H1324&amp;""))="missing",LOWER(TRIM(H1324&amp;""))=""),"Missing/",IFERROR(IF(OR(VALUE(H1324)&lt;0,VALUE(H1324)&gt;110),"Invalid","Valid"),"Check Format"))</f>
        <v>Missing/</v>
      </c>
      <c r="U1324" t="str">
        <f>IF(Raw_Data[[#This Row],[Age_Check]]="Valid",H1324,"")</f>
        <v/>
      </c>
      <c r="V1324" t="str">
        <f>IF(OR(K1324="",UPPER(TRIM(K1324&amp;""))="",LOWER(TRIM(K1324&amp;""))="",LOWER(TRIM(K1324&amp;""))="",LOWER(TRIM(K1324&amp;""))="missing"),"Missing/",IFERROR(IF(VALUE(K1324)&lt;0,"Invalid","Valid"),"Check Format"))</f>
        <v>Valid</v>
      </c>
      <c r="W1324" t="str">
        <f>IF(OR(E1324="",F1324=""),"Missing Date/Time",IFERROR(IF(F1324&gt;E1324,"Arrival After Appointment","OK"),"Check Format"))</f>
        <v>OK</v>
      </c>
      <c r="X1324" t="str">
        <f>IF(OR(F1324="",G1324=""),"Missing Date/Time",IFERROR(IF(G1324&lt;F1324,"Discharge Before Arrival","OK"),"Check Format"))</f>
        <v>OK</v>
      </c>
    </row>
    <row r="1325" spans="1:24" x14ac:dyDescent="0.25">
      <c r="A1325" s="2" t="s">
        <v>2019</v>
      </c>
      <c r="B1325" s="2" t="s">
        <v>1464</v>
      </c>
      <c r="C1325" s="3" t="s">
        <v>94</v>
      </c>
      <c r="D1325" s="3" t="s">
        <v>115</v>
      </c>
      <c r="E1325" s="4">
        <v>45425.711805555555</v>
      </c>
      <c r="F1325" s="4">
        <v>45425.701388888891</v>
      </c>
      <c r="G1325" s="4">
        <v>45425.815972222219</v>
      </c>
      <c r="I1325" s="3" t="s">
        <v>73</v>
      </c>
      <c r="J1325" s="3" t="s">
        <v>2639</v>
      </c>
      <c r="K1325" s="5">
        <v>106</v>
      </c>
      <c r="L1325" s="5">
        <v>44</v>
      </c>
      <c r="M1325" s="3" t="s">
        <v>41</v>
      </c>
      <c r="N1325" t="s">
        <v>103</v>
      </c>
      <c r="O1325" s="5">
        <v>6</v>
      </c>
      <c r="P1325" s="3" t="s">
        <v>25</v>
      </c>
      <c r="Q1325" s="2">
        <v>179.35</v>
      </c>
      <c r="R1325" s="3" t="s">
        <v>58</v>
      </c>
      <c r="S1325">
        <f>COUNTIF(A:A,A1325)</f>
        <v>1</v>
      </c>
      <c r="T1325" t="str">
        <f>IF(OR(H1325="",LOWER(TRIM(H1325&amp;""))="missing",LOWER(TRIM(H1325&amp;""))=""),"Missing/",IFERROR(IF(OR(VALUE(H1325)&lt;0,VALUE(H1325)&gt;110),"Invalid","Valid"),"Check Format"))</f>
        <v>Missing/</v>
      </c>
      <c r="U1325" t="str">
        <f>IF(Raw_Data[[#This Row],[Age_Check]]="Valid",H1325,"")</f>
        <v/>
      </c>
      <c r="V1325" t="str">
        <f>IF(OR(K1325="",UPPER(TRIM(K1325&amp;""))="",LOWER(TRIM(K1325&amp;""))="",LOWER(TRIM(K1325&amp;""))="",LOWER(TRIM(K1325&amp;""))="missing"),"Missing/",IFERROR(IF(VALUE(K1325)&lt;0,"Invalid","Valid"),"Check Format"))</f>
        <v>Valid</v>
      </c>
      <c r="W1325" t="str">
        <f>IF(OR(E1325="",F1325=""),"Missing Date/Time",IFERROR(IF(F1325&gt;E1325,"Arrival After Appointment","OK"),"Check Format"))</f>
        <v>OK</v>
      </c>
      <c r="X1325" t="str">
        <f>IF(OR(F1325="",G1325=""),"Missing Date/Time",IFERROR(IF(G1325&lt;F1325,"Discharge Before Arrival","OK"),"Check Format"))</f>
        <v>OK</v>
      </c>
    </row>
    <row r="1326" spans="1:24" x14ac:dyDescent="0.25">
      <c r="A1326" s="2" t="s">
        <v>2020</v>
      </c>
      <c r="B1326" s="2" t="s">
        <v>261</v>
      </c>
      <c r="C1326" s="3" t="s">
        <v>19</v>
      </c>
      <c r="D1326" s="3" t="s">
        <v>55</v>
      </c>
      <c r="E1326" s="4">
        <v>45595.361111111109</v>
      </c>
      <c r="F1326" s="4">
        <v>45595.34097222222</v>
      </c>
      <c r="G1326" s="4">
        <v>45595.425000000003</v>
      </c>
      <c r="I1326" s="3" t="s">
        <v>95</v>
      </c>
      <c r="J1326" s="3" t="s">
        <v>67</v>
      </c>
      <c r="K1326" s="5">
        <v>71</v>
      </c>
      <c r="L1326" s="5">
        <v>21</v>
      </c>
      <c r="M1326" s="3" t="s">
        <v>87</v>
      </c>
      <c r="N1326" t="s">
        <v>91</v>
      </c>
      <c r="O1326" s="5">
        <v>0</v>
      </c>
      <c r="P1326" s="3" t="s">
        <v>25</v>
      </c>
      <c r="Q1326" s="2">
        <v>134.6</v>
      </c>
      <c r="R1326" s="3" t="s">
        <v>26</v>
      </c>
      <c r="S1326">
        <f>COUNTIF(A:A,A1326)</f>
        <v>1</v>
      </c>
      <c r="T1326" t="str">
        <f>IF(OR(H1326="",LOWER(TRIM(H1326&amp;""))="missing",LOWER(TRIM(H1326&amp;""))=""),"Missing/",IFERROR(IF(OR(VALUE(H1326)&lt;0,VALUE(H1326)&gt;110),"Invalid","Valid"),"Check Format"))</f>
        <v>Missing/</v>
      </c>
      <c r="U1326" t="str">
        <f>IF(Raw_Data[[#This Row],[Age_Check]]="Valid",H1326,"")</f>
        <v/>
      </c>
      <c r="V1326" t="str">
        <f>IF(OR(K1326="",UPPER(TRIM(K1326&amp;""))="",LOWER(TRIM(K1326&amp;""))="",LOWER(TRIM(K1326&amp;""))="",LOWER(TRIM(K1326&amp;""))="missing"),"Missing/",IFERROR(IF(VALUE(K1326)&lt;0,"Invalid","Valid"),"Check Format"))</f>
        <v>Valid</v>
      </c>
      <c r="W1326" t="str">
        <f>IF(OR(E1326="",F1326=""),"Missing Date/Time",IFERROR(IF(F1326&gt;E1326,"Arrival After Appointment","OK"),"Check Format"))</f>
        <v>OK</v>
      </c>
      <c r="X1326" t="str">
        <f>IF(OR(F1326="",G1326=""),"Missing Date/Time",IFERROR(IF(G1326&lt;F1326,"Discharge Before Arrival","OK"),"Check Format"))</f>
        <v>OK</v>
      </c>
    </row>
    <row r="1327" spans="1:24" x14ac:dyDescent="0.25">
      <c r="A1327" s="2" t="s">
        <v>2021</v>
      </c>
      <c r="B1327" s="2" t="s">
        <v>1561</v>
      </c>
      <c r="C1327" s="3" t="s">
        <v>46</v>
      </c>
      <c r="D1327" s="3" t="s">
        <v>174</v>
      </c>
      <c r="E1327" s="4">
        <v>45452.777777777781</v>
      </c>
      <c r="F1327" s="4">
        <v>45452.763194444444</v>
      </c>
      <c r="G1327" s="4">
        <v>45452.868750000001</v>
      </c>
      <c r="H1327" s="5">
        <v>145</v>
      </c>
      <c r="J1327" s="3" t="s">
        <v>22</v>
      </c>
      <c r="K1327" s="5">
        <v>116</v>
      </c>
      <c r="L1327" s="5">
        <v>15</v>
      </c>
      <c r="M1327" s="3" t="s">
        <v>32</v>
      </c>
      <c r="N1327" t="s">
        <v>100</v>
      </c>
      <c r="P1327" s="3" t="s">
        <v>80</v>
      </c>
      <c r="Q1327" s="2">
        <v>274.18</v>
      </c>
      <c r="R1327" s="3" t="s">
        <v>43</v>
      </c>
      <c r="S1327">
        <f>COUNTIF(A:A,A1327)</f>
        <v>1</v>
      </c>
      <c r="T1327" t="str">
        <f>IF(OR(H1327="",LOWER(TRIM(H1327&amp;""))="missing",LOWER(TRIM(H1327&amp;""))=""),"Missing/",IFERROR(IF(OR(VALUE(H1327)&lt;0,VALUE(H1327)&gt;110),"Invalid","Valid"),"Check Format"))</f>
        <v>Invalid</v>
      </c>
      <c r="U1327" t="str">
        <f>IF(Raw_Data[[#This Row],[Age_Check]]="Valid",H1327,"")</f>
        <v/>
      </c>
      <c r="V1327" t="str">
        <f>IF(OR(K1327="",UPPER(TRIM(K1327&amp;""))="",LOWER(TRIM(K1327&amp;""))="",LOWER(TRIM(K1327&amp;""))="",LOWER(TRIM(K1327&amp;""))="missing"),"Missing/",IFERROR(IF(VALUE(K1327)&lt;0,"Invalid","Valid"),"Check Format"))</f>
        <v>Valid</v>
      </c>
      <c r="W1327" t="str">
        <f>IF(OR(E1327="",F1327=""),"Missing Date/Time",IFERROR(IF(F1327&gt;E1327,"Arrival After Appointment","OK"),"Check Format"))</f>
        <v>OK</v>
      </c>
      <c r="X1327" t="str">
        <f>IF(OR(F1327="",G1327=""),"Missing Date/Time",IFERROR(IF(G1327&lt;F1327,"Discharge Before Arrival","OK"),"Check Format"))</f>
        <v>OK</v>
      </c>
    </row>
    <row r="1328" spans="1:24" x14ac:dyDescent="0.25">
      <c r="A1328" s="2" t="s">
        <v>2022</v>
      </c>
      <c r="B1328" s="2" t="s">
        <v>1620</v>
      </c>
      <c r="C1328" s="3" t="s">
        <v>29</v>
      </c>
      <c r="D1328" s="3" t="s">
        <v>115</v>
      </c>
      <c r="E1328" s="4">
        <v>45592.399305555555</v>
      </c>
      <c r="F1328" s="4">
        <v>45592.396527777775</v>
      </c>
      <c r="G1328" s="4">
        <v>45592.469444444447</v>
      </c>
      <c r="H1328" s="5">
        <v>94</v>
      </c>
      <c r="I1328" s="3" t="s">
        <v>73</v>
      </c>
      <c r="J1328" s="3" t="s">
        <v>62</v>
      </c>
      <c r="K1328" s="5">
        <v>46</v>
      </c>
      <c r="L1328" s="5">
        <v>55</v>
      </c>
      <c r="M1328" s="3" t="s">
        <v>68</v>
      </c>
      <c r="N1328" t="s">
        <v>74</v>
      </c>
      <c r="O1328" s="5">
        <v>0</v>
      </c>
      <c r="P1328" s="3" t="s">
        <v>25</v>
      </c>
      <c r="Q1328" s="2">
        <v>32.450000000000003</v>
      </c>
      <c r="R1328" s="3" t="s">
        <v>75</v>
      </c>
      <c r="S1328">
        <f>COUNTIF(A:A,A1328)</f>
        <v>1</v>
      </c>
      <c r="T1328" t="str">
        <f>IF(OR(H1328="",LOWER(TRIM(H1328&amp;""))="missing",LOWER(TRIM(H1328&amp;""))=""),"Missing/",IFERROR(IF(OR(VALUE(H1328)&lt;0,VALUE(H1328)&gt;110),"Invalid","Valid"),"Check Format"))</f>
        <v>Valid</v>
      </c>
      <c r="U1328">
        <f>IF(Raw_Data[[#This Row],[Age_Check]]="Valid",H1328,"")</f>
        <v>94</v>
      </c>
      <c r="V1328" t="str">
        <f>IF(OR(K1328="",UPPER(TRIM(K1328&amp;""))="",LOWER(TRIM(K1328&amp;""))="",LOWER(TRIM(K1328&amp;""))="",LOWER(TRIM(K1328&amp;""))="missing"),"Missing/",IFERROR(IF(VALUE(K1328)&lt;0,"Invalid","Valid"),"Check Format"))</f>
        <v>Valid</v>
      </c>
      <c r="W1328" t="str">
        <f>IF(OR(E1328="",F1328=""),"Missing Date/Time",IFERROR(IF(F1328&gt;E1328,"Arrival After Appointment","OK"),"Check Format"))</f>
        <v>OK</v>
      </c>
      <c r="X1328" t="str">
        <f>IF(OR(F1328="",G1328=""),"Missing Date/Time",IFERROR(IF(G1328&lt;F1328,"Discharge Before Arrival","OK"),"Check Format"))</f>
        <v>OK</v>
      </c>
    </row>
    <row r="1329" spans="1:24" x14ac:dyDescent="0.25">
      <c r="A1329" s="2" t="s">
        <v>2023</v>
      </c>
      <c r="B1329" s="2" t="s">
        <v>984</v>
      </c>
      <c r="C1329" s="3" t="s">
        <v>29</v>
      </c>
      <c r="D1329" s="3" t="s">
        <v>20</v>
      </c>
      <c r="E1329" s="4">
        <v>45708.409722222219</v>
      </c>
      <c r="F1329" s="4">
        <v>45708.393055555556</v>
      </c>
      <c r="G1329" s="4">
        <v>45708.476388888892</v>
      </c>
      <c r="I1329" s="3" t="s">
        <v>73</v>
      </c>
      <c r="K1329" s="5">
        <v>78</v>
      </c>
      <c r="L1329" s="5">
        <v>18</v>
      </c>
      <c r="M1329" s="3" t="s">
        <v>50</v>
      </c>
      <c r="N1329" t="s">
        <v>91</v>
      </c>
      <c r="O1329" s="5">
        <v>2</v>
      </c>
      <c r="P1329" s="3" t="s">
        <v>42</v>
      </c>
      <c r="Q1329" s="2">
        <v>31.78</v>
      </c>
      <c r="R1329" s="3" t="s">
        <v>58</v>
      </c>
      <c r="S1329">
        <f>COUNTIF(A:A,A1329)</f>
        <v>1</v>
      </c>
      <c r="T1329" t="str">
        <f>IF(OR(H1329="",LOWER(TRIM(H1329&amp;""))="missing",LOWER(TRIM(H1329&amp;""))=""),"Missing/",IFERROR(IF(OR(VALUE(H1329)&lt;0,VALUE(H1329)&gt;110),"Invalid","Valid"),"Check Format"))</f>
        <v>Missing/</v>
      </c>
      <c r="U1329" t="str">
        <f>IF(Raw_Data[[#This Row],[Age_Check]]="Valid",H1329,"")</f>
        <v/>
      </c>
      <c r="V1329" t="str">
        <f>IF(OR(K1329="",UPPER(TRIM(K1329&amp;""))="",LOWER(TRIM(K1329&amp;""))="",LOWER(TRIM(K1329&amp;""))="",LOWER(TRIM(K1329&amp;""))="missing"),"Missing/",IFERROR(IF(VALUE(K1329)&lt;0,"Invalid","Valid"),"Check Format"))</f>
        <v>Valid</v>
      </c>
      <c r="W1329" t="str">
        <f>IF(OR(E1329="",F1329=""),"Missing Date/Time",IFERROR(IF(F1329&gt;E1329,"Arrival After Appointment","OK"),"Check Format"))</f>
        <v>OK</v>
      </c>
      <c r="X1329" t="str">
        <f>IF(OR(F1329="",G1329=""),"Missing Date/Time",IFERROR(IF(G1329&lt;F1329,"Discharge Before Arrival","OK"),"Check Format"))</f>
        <v>OK</v>
      </c>
    </row>
    <row r="1330" spans="1:24" x14ac:dyDescent="0.25">
      <c r="A1330" s="2" t="s">
        <v>2024</v>
      </c>
      <c r="B1330" s="2" t="s">
        <v>1006</v>
      </c>
      <c r="D1330" s="3" t="s">
        <v>115</v>
      </c>
      <c r="E1330" s="4" t="s">
        <v>2025</v>
      </c>
      <c r="F1330" s="4">
        <v>45552.489583333336</v>
      </c>
      <c r="I1330" s="3" t="s">
        <v>95</v>
      </c>
      <c r="J1330" s="3" t="s">
        <v>150</v>
      </c>
      <c r="K1330" s="5">
        <v>65</v>
      </c>
      <c r="L1330" s="5">
        <v>50</v>
      </c>
      <c r="M1330" s="3" t="s">
        <v>68</v>
      </c>
      <c r="O1330" s="5">
        <v>3</v>
      </c>
      <c r="P1330" s="3" t="s">
        <v>25</v>
      </c>
      <c r="Q1330" s="2">
        <v>77.400000000000006</v>
      </c>
      <c r="R1330" s="3" t="s">
        <v>75</v>
      </c>
      <c r="S1330">
        <f>COUNTIF(A:A,A1330)</f>
        <v>1</v>
      </c>
      <c r="T1330" t="str">
        <f>IF(OR(H1330="",LOWER(TRIM(H1330&amp;""))="missing",LOWER(TRIM(H1330&amp;""))=""),"Missing/",IFERROR(IF(OR(VALUE(H1330)&lt;0,VALUE(H1330)&gt;110),"Invalid","Valid"),"Check Format"))</f>
        <v>Missing/</v>
      </c>
      <c r="U1330" t="str">
        <f>IF(Raw_Data[[#This Row],[Age_Check]]="Valid",H1330,"")</f>
        <v/>
      </c>
      <c r="V1330" t="str">
        <f>IF(OR(K1330="",UPPER(TRIM(K1330&amp;""))="",LOWER(TRIM(K1330&amp;""))="",LOWER(TRIM(K1330&amp;""))="",LOWER(TRIM(K1330&amp;""))="missing"),"Missing/",IFERROR(IF(VALUE(K1330)&lt;0,"Invalid","Valid"),"Check Format"))</f>
        <v>Valid</v>
      </c>
      <c r="W1330" t="str">
        <f>IF(OR(E1330="",F1330=""),"Missing Date/Time",IFERROR(IF(F1330&gt;E1330,"Arrival After Appointment","OK"),"Check Format"))</f>
        <v>OK</v>
      </c>
      <c r="X1330" t="str">
        <f>IF(OR(F1330="",G1330=""),"Missing Date/Time",IFERROR(IF(G1330&lt;F1330,"Discharge Before Arrival","OK"),"Check Format"))</f>
        <v>Missing Date/Time</v>
      </c>
    </row>
    <row r="1331" spans="1:24" x14ac:dyDescent="0.25">
      <c r="A1331" s="2" t="s">
        <v>2026</v>
      </c>
      <c r="B1331" s="2" t="s">
        <v>281</v>
      </c>
      <c r="D1331" s="3" t="s">
        <v>115</v>
      </c>
      <c r="E1331" s="4">
        <v>45642.513888888891</v>
      </c>
      <c r="F1331" s="4">
        <v>45642.504166666666</v>
      </c>
      <c r="G1331" s="4">
        <v>45642.538194444445</v>
      </c>
      <c r="H1331" s="5">
        <v>37</v>
      </c>
      <c r="I1331" s="3" t="s">
        <v>95</v>
      </c>
      <c r="J1331" s="3" t="s">
        <v>67</v>
      </c>
      <c r="K1331" s="5">
        <v>5</v>
      </c>
      <c r="L1331" s="5">
        <v>30</v>
      </c>
      <c r="M1331" s="3" t="s">
        <v>32</v>
      </c>
      <c r="Q1331" s="2">
        <v>138.01</v>
      </c>
      <c r="R1331" s="3" t="s">
        <v>75</v>
      </c>
      <c r="S1331">
        <f>COUNTIF(A:A,A1331)</f>
        <v>1</v>
      </c>
      <c r="T1331" t="str">
        <f>IF(OR(H1331="",LOWER(TRIM(H1331&amp;""))="missing",LOWER(TRIM(H1331&amp;""))=""),"Missing/",IFERROR(IF(OR(VALUE(H1331)&lt;0,VALUE(H1331)&gt;110),"Invalid","Valid"),"Check Format"))</f>
        <v>Valid</v>
      </c>
      <c r="U1331">
        <f>IF(Raw_Data[[#This Row],[Age_Check]]="Valid",H1331,"")</f>
        <v>37</v>
      </c>
      <c r="V1331" t="str">
        <f>IF(OR(K1331="",UPPER(TRIM(K1331&amp;""))="",LOWER(TRIM(K1331&amp;""))="",LOWER(TRIM(K1331&amp;""))="",LOWER(TRIM(K1331&amp;""))="missing"),"Missing/",IFERROR(IF(VALUE(K1331)&lt;0,"Invalid","Valid"),"Check Format"))</f>
        <v>Valid</v>
      </c>
      <c r="W1331" t="str">
        <f>IF(OR(E1331="",F1331=""),"Missing Date/Time",IFERROR(IF(F1331&gt;E1331,"Arrival After Appointment","OK"),"Check Format"))</f>
        <v>OK</v>
      </c>
      <c r="X1331" t="str">
        <f>IF(OR(F1331="",G1331=""),"Missing Date/Time",IFERROR(IF(G1331&lt;F1331,"Discharge Before Arrival","OK"),"Check Format"))</f>
        <v>OK</v>
      </c>
    </row>
    <row r="1332" spans="1:24" x14ac:dyDescent="0.25">
      <c r="A1332" s="2" t="s">
        <v>2027</v>
      </c>
      <c r="B1332" s="2" t="s">
        <v>364</v>
      </c>
      <c r="C1332" s="3" t="s">
        <v>46</v>
      </c>
      <c r="D1332" s="3" t="s">
        <v>61</v>
      </c>
      <c r="E1332" s="4">
        <v>45749.520833333336</v>
      </c>
      <c r="F1332" s="4">
        <v>45692.511805555558</v>
      </c>
      <c r="G1332" s="4">
        <v>45692.60833333333</v>
      </c>
      <c r="H1332" s="5">
        <v>26</v>
      </c>
      <c r="I1332" s="3" t="s">
        <v>95</v>
      </c>
      <c r="J1332" s="3" t="s">
        <v>67</v>
      </c>
      <c r="K1332" s="5">
        <v>77</v>
      </c>
      <c r="L1332" s="5">
        <v>49</v>
      </c>
      <c r="M1332" s="3" t="s">
        <v>23</v>
      </c>
      <c r="N1332" t="s">
        <v>69</v>
      </c>
      <c r="O1332" s="5">
        <v>6</v>
      </c>
      <c r="P1332" s="3" t="s">
        <v>25</v>
      </c>
      <c r="Q1332" s="2">
        <v>140.25</v>
      </c>
      <c r="R1332" s="3" t="s">
        <v>58</v>
      </c>
      <c r="S1332">
        <f>COUNTIF(A:A,A1332)</f>
        <v>1</v>
      </c>
      <c r="T1332" t="str">
        <f>IF(OR(H1332="",LOWER(TRIM(H1332&amp;""))="missing",LOWER(TRIM(H1332&amp;""))=""),"Missing/",IFERROR(IF(OR(VALUE(H1332)&lt;0,VALUE(H1332)&gt;110),"Invalid","Valid"),"Check Format"))</f>
        <v>Valid</v>
      </c>
      <c r="U1332">
        <f>IF(Raw_Data[[#This Row],[Age_Check]]="Valid",H1332,"")</f>
        <v>26</v>
      </c>
      <c r="V1332" t="str">
        <f>IF(OR(K1332="",UPPER(TRIM(K1332&amp;""))="",LOWER(TRIM(K1332&amp;""))="",LOWER(TRIM(K1332&amp;""))="",LOWER(TRIM(K1332&amp;""))="missing"),"Missing/",IFERROR(IF(VALUE(K1332)&lt;0,"Invalid","Valid"),"Check Format"))</f>
        <v>Valid</v>
      </c>
      <c r="W1332" t="str">
        <f>IF(OR(E1332="",F1332=""),"Missing Date/Time",IFERROR(IF(F1332&gt;E1332,"Arrival After Appointment","OK"),"Check Format"))</f>
        <v>OK</v>
      </c>
      <c r="X1332" t="str">
        <f>IF(OR(F1332="",G1332=""),"Missing Date/Time",IFERROR(IF(G1332&lt;F1332,"Discharge Before Arrival","OK"),"Check Format"))</f>
        <v>OK</v>
      </c>
    </row>
    <row r="1333" spans="1:24" x14ac:dyDescent="0.25">
      <c r="A1333" s="2" t="s">
        <v>2028</v>
      </c>
      <c r="B1333" s="2" t="s">
        <v>113</v>
      </c>
      <c r="C1333" s="3" t="s">
        <v>46</v>
      </c>
      <c r="D1333" s="3" t="s">
        <v>30</v>
      </c>
      <c r="E1333" s="4">
        <v>45903.385416666664</v>
      </c>
      <c r="G1333" s="4">
        <v>45725.495138888888</v>
      </c>
      <c r="H1333" s="5">
        <v>145</v>
      </c>
      <c r="I1333" s="3" t="s">
        <v>39</v>
      </c>
      <c r="J1333" s="3" t="s">
        <v>22</v>
      </c>
      <c r="K1333" s="5">
        <v>122</v>
      </c>
      <c r="L1333" s="5">
        <v>36</v>
      </c>
      <c r="M1333" s="3" t="s">
        <v>50</v>
      </c>
      <c r="N1333" t="s">
        <v>74</v>
      </c>
      <c r="P1333" s="3" t="s">
        <v>25</v>
      </c>
      <c r="Q1333" s="2">
        <v>117.29</v>
      </c>
      <c r="R1333" s="3" t="s">
        <v>43</v>
      </c>
      <c r="S1333">
        <f>COUNTIF(A:A,A1333)</f>
        <v>1</v>
      </c>
      <c r="T1333" t="str">
        <f>IF(OR(H1333="",LOWER(TRIM(H1333&amp;""))="missing",LOWER(TRIM(H1333&amp;""))=""),"Missing/",IFERROR(IF(OR(VALUE(H1333)&lt;0,VALUE(H1333)&gt;110),"Invalid","Valid"),"Check Format"))</f>
        <v>Invalid</v>
      </c>
      <c r="U1333" t="str">
        <f>IF(Raw_Data[[#This Row],[Age_Check]]="Valid",H1333,"")</f>
        <v/>
      </c>
      <c r="V1333" t="str">
        <f>IF(OR(K1333="",UPPER(TRIM(K1333&amp;""))="",LOWER(TRIM(K1333&amp;""))="",LOWER(TRIM(K1333&amp;""))="",LOWER(TRIM(K1333&amp;""))="missing"),"Missing/",IFERROR(IF(VALUE(K1333)&lt;0,"Invalid","Valid"),"Check Format"))</f>
        <v>Valid</v>
      </c>
      <c r="W1333" t="str">
        <f>IF(OR(E1333="",F1333=""),"Missing Date/Time",IFERROR(IF(F1333&gt;E1333,"Arrival After Appointment","OK"),"Check Format"))</f>
        <v>Missing Date/Time</v>
      </c>
      <c r="X1333" t="str">
        <f>IF(OR(F1333="",G1333=""),"Missing Date/Time",IFERROR(IF(G1333&lt;F1333,"Discharge Before Arrival","OK"),"Check Format"))</f>
        <v>Missing Date/Time</v>
      </c>
    </row>
    <row r="1334" spans="1:24" x14ac:dyDescent="0.25">
      <c r="A1334" s="2" t="s">
        <v>2029</v>
      </c>
      <c r="B1334" s="2" t="s">
        <v>1914</v>
      </c>
      <c r="C1334" s="3" t="s">
        <v>94</v>
      </c>
      <c r="D1334" s="3" t="s">
        <v>55</v>
      </c>
      <c r="E1334" s="4">
        <v>45808.586805555555</v>
      </c>
      <c r="F1334" s="4">
        <v>45808.586111111108</v>
      </c>
      <c r="G1334" s="4">
        <v>45808.606249999997</v>
      </c>
      <c r="H1334" s="5">
        <v>70</v>
      </c>
      <c r="J1334" s="3" t="s">
        <v>67</v>
      </c>
      <c r="K1334" s="5">
        <v>1</v>
      </c>
      <c r="L1334" s="5">
        <v>27</v>
      </c>
      <c r="M1334" s="3" t="s">
        <v>87</v>
      </c>
      <c r="N1334" t="s">
        <v>100</v>
      </c>
      <c r="O1334" s="5">
        <v>2</v>
      </c>
      <c r="P1334" s="3" t="s">
        <v>80</v>
      </c>
      <c r="Q1334" s="2">
        <v>118.09</v>
      </c>
      <c r="R1334" s="3" t="s">
        <v>43</v>
      </c>
      <c r="S1334">
        <f>COUNTIF(A:A,A1334)</f>
        <v>1</v>
      </c>
      <c r="T1334" t="str">
        <f>IF(OR(H1334="",LOWER(TRIM(H1334&amp;""))="missing",LOWER(TRIM(H1334&amp;""))=""),"Missing/",IFERROR(IF(OR(VALUE(H1334)&lt;0,VALUE(H1334)&gt;110),"Invalid","Valid"),"Check Format"))</f>
        <v>Valid</v>
      </c>
      <c r="U1334">
        <f>IF(Raw_Data[[#This Row],[Age_Check]]="Valid",H1334,"")</f>
        <v>70</v>
      </c>
      <c r="V1334" t="str">
        <f>IF(OR(K1334="",UPPER(TRIM(K1334&amp;""))="",LOWER(TRIM(K1334&amp;""))="",LOWER(TRIM(K1334&amp;""))="",LOWER(TRIM(K1334&amp;""))="missing"),"Missing/",IFERROR(IF(VALUE(K1334)&lt;0,"Invalid","Valid"),"Check Format"))</f>
        <v>Valid</v>
      </c>
      <c r="W1334" t="str">
        <f>IF(OR(E1334="",F1334=""),"Missing Date/Time",IFERROR(IF(F1334&gt;E1334,"Arrival After Appointment","OK"),"Check Format"))</f>
        <v>OK</v>
      </c>
      <c r="X1334" t="str">
        <f>IF(OR(F1334="",G1334=""),"Missing Date/Time",IFERROR(IF(G1334&lt;F1334,"Discharge Before Arrival","OK"),"Check Format"))</f>
        <v>OK</v>
      </c>
    </row>
    <row r="1335" spans="1:24" x14ac:dyDescent="0.25">
      <c r="A1335" s="2" t="s">
        <v>2030</v>
      </c>
      <c r="B1335" s="2" t="s">
        <v>1616</v>
      </c>
      <c r="C1335" s="3" t="s">
        <v>94</v>
      </c>
      <c r="D1335" s="3" t="s">
        <v>115</v>
      </c>
      <c r="E1335" s="4">
        <v>45963.607638888891</v>
      </c>
      <c r="F1335" s="4">
        <v>45963.598611111112</v>
      </c>
      <c r="G1335" s="4">
        <v>45963.698611111111</v>
      </c>
      <c r="J1335" s="3" t="s">
        <v>171</v>
      </c>
      <c r="K1335" s="5">
        <v>91</v>
      </c>
      <c r="L1335" s="5">
        <v>40</v>
      </c>
      <c r="M1335" s="3" t="s">
        <v>63</v>
      </c>
      <c r="N1335" t="s">
        <v>91</v>
      </c>
      <c r="O1335" s="5">
        <v>6</v>
      </c>
      <c r="P1335" s="3" t="s">
        <v>25</v>
      </c>
      <c r="Q1335" s="2">
        <v>50.65</v>
      </c>
      <c r="R1335" s="3" t="s">
        <v>75</v>
      </c>
      <c r="S1335">
        <f>COUNTIF(A:A,A1335)</f>
        <v>1</v>
      </c>
      <c r="T1335" t="str">
        <f>IF(OR(H1335="",LOWER(TRIM(H1335&amp;""))="missing",LOWER(TRIM(H1335&amp;""))=""),"Missing/",IFERROR(IF(OR(VALUE(H1335)&lt;0,VALUE(H1335)&gt;110),"Invalid","Valid"),"Check Format"))</f>
        <v>Missing/</v>
      </c>
      <c r="U1335" t="str">
        <f>IF(Raw_Data[[#This Row],[Age_Check]]="Valid",H1335,"")</f>
        <v/>
      </c>
      <c r="V1335" t="str">
        <f>IF(OR(K1335="",UPPER(TRIM(K1335&amp;""))="",LOWER(TRIM(K1335&amp;""))="",LOWER(TRIM(K1335&amp;""))="",LOWER(TRIM(K1335&amp;""))="missing"),"Missing/",IFERROR(IF(VALUE(K1335)&lt;0,"Invalid","Valid"),"Check Format"))</f>
        <v>Valid</v>
      </c>
      <c r="W1335" t="str">
        <f>IF(OR(E1335="",F1335=""),"Missing Date/Time",IFERROR(IF(F1335&gt;E1335,"Arrival After Appointment","OK"),"Check Format"))</f>
        <v>OK</v>
      </c>
      <c r="X1335" t="str">
        <f>IF(OR(F1335="",G1335=""),"Missing Date/Time",IFERROR(IF(G1335&lt;F1335,"Discharge Before Arrival","OK"),"Check Format"))</f>
        <v>OK</v>
      </c>
    </row>
    <row r="1336" spans="1:24" x14ac:dyDescent="0.25">
      <c r="A1336" s="2" t="s">
        <v>2031</v>
      </c>
      <c r="B1336" s="2" t="s">
        <v>520</v>
      </c>
      <c r="C1336" s="3" t="s">
        <v>46</v>
      </c>
      <c r="D1336" s="3" t="s">
        <v>55</v>
      </c>
      <c r="E1336" s="4">
        <v>45956.454861111109</v>
      </c>
      <c r="F1336" s="4">
        <v>45956.435416666667</v>
      </c>
      <c r="G1336" s="4">
        <v>45956.529861111114</v>
      </c>
      <c r="H1336" s="5">
        <v>145</v>
      </c>
      <c r="I1336" s="3" t="s">
        <v>73</v>
      </c>
      <c r="J1336" s="3" t="s">
        <v>67</v>
      </c>
      <c r="K1336" s="5">
        <v>64</v>
      </c>
      <c r="L1336" s="5">
        <v>44</v>
      </c>
      <c r="M1336" s="3" t="s">
        <v>41</v>
      </c>
      <c r="N1336" t="s">
        <v>69</v>
      </c>
      <c r="Q1336" s="2">
        <v>267.24</v>
      </c>
      <c r="R1336" s="3" t="s">
        <v>75</v>
      </c>
      <c r="S1336">
        <f>COUNTIF(A:A,A1336)</f>
        <v>1</v>
      </c>
      <c r="T1336" t="str">
        <f>IF(OR(H1336="",LOWER(TRIM(H1336&amp;""))="missing",LOWER(TRIM(H1336&amp;""))=""),"Missing/",IFERROR(IF(OR(VALUE(H1336)&lt;0,VALUE(H1336)&gt;110),"Invalid","Valid"),"Check Format"))</f>
        <v>Invalid</v>
      </c>
      <c r="U1336" t="str">
        <f>IF(Raw_Data[[#This Row],[Age_Check]]="Valid",H1336,"")</f>
        <v/>
      </c>
      <c r="V1336" t="str">
        <f>IF(OR(K1336="",UPPER(TRIM(K1336&amp;""))="",LOWER(TRIM(K1336&amp;""))="",LOWER(TRIM(K1336&amp;""))="",LOWER(TRIM(K1336&amp;""))="missing"),"Missing/",IFERROR(IF(VALUE(K1336)&lt;0,"Invalid","Valid"),"Check Format"))</f>
        <v>Valid</v>
      </c>
      <c r="W1336" t="str">
        <f>IF(OR(E1336="",F1336=""),"Missing Date/Time",IFERROR(IF(F1336&gt;E1336,"Arrival After Appointment","OK"),"Check Format"))</f>
        <v>OK</v>
      </c>
      <c r="X1336" t="str">
        <f>IF(OR(F1336="",G1336=""),"Missing Date/Time",IFERROR(IF(G1336&lt;F1336,"Discharge Before Arrival","OK"),"Check Format"))</f>
        <v>OK</v>
      </c>
    </row>
    <row r="1337" spans="1:24" x14ac:dyDescent="0.25">
      <c r="A1337" s="2" t="s">
        <v>2032</v>
      </c>
      <c r="B1337" s="2" t="s">
        <v>127</v>
      </c>
      <c r="C1337" s="3" t="s">
        <v>29</v>
      </c>
      <c r="D1337" s="3" t="s">
        <v>55</v>
      </c>
      <c r="E1337" s="4">
        <v>45976.659722222219</v>
      </c>
      <c r="F1337" s="4">
        <v>45976.658333333333</v>
      </c>
      <c r="G1337" s="4">
        <v>45976.75277777778</v>
      </c>
      <c r="H1337" s="5">
        <v>90</v>
      </c>
      <c r="I1337" s="3" t="s">
        <v>90</v>
      </c>
      <c r="K1337" s="5">
        <v>89</v>
      </c>
      <c r="L1337" s="5">
        <v>45</v>
      </c>
      <c r="M1337" s="3" t="s">
        <v>41</v>
      </c>
      <c r="N1337" t="s">
        <v>24</v>
      </c>
      <c r="P1337" s="3" t="s">
        <v>80</v>
      </c>
      <c r="R1337" s="3" t="s">
        <v>43</v>
      </c>
      <c r="S1337">
        <f>COUNTIF(A:A,A1337)</f>
        <v>1</v>
      </c>
      <c r="T1337" t="str">
        <f>IF(OR(H1337="",LOWER(TRIM(H1337&amp;""))="missing",LOWER(TRIM(H1337&amp;""))=""),"Missing/",IFERROR(IF(OR(VALUE(H1337)&lt;0,VALUE(H1337)&gt;110),"Invalid","Valid"),"Check Format"))</f>
        <v>Valid</v>
      </c>
      <c r="U1337">
        <f>IF(Raw_Data[[#This Row],[Age_Check]]="Valid",H1337,"")</f>
        <v>90</v>
      </c>
      <c r="V1337" t="str">
        <f>IF(OR(K1337="",UPPER(TRIM(K1337&amp;""))="",LOWER(TRIM(K1337&amp;""))="",LOWER(TRIM(K1337&amp;""))="",LOWER(TRIM(K1337&amp;""))="missing"),"Missing/",IFERROR(IF(VALUE(K1337)&lt;0,"Invalid","Valid"),"Check Format"))</f>
        <v>Valid</v>
      </c>
      <c r="W1337" t="str">
        <f>IF(OR(E1337="",F1337=""),"Missing Date/Time",IFERROR(IF(F1337&gt;E1337,"Arrival After Appointment","OK"),"Check Format"))</f>
        <v>OK</v>
      </c>
      <c r="X1337" t="str">
        <f>IF(OR(F1337="",G1337=""),"Missing Date/Time",IFERROR(IF(G1337&lt;F1337,"Discharge Before Arrival","OK"),"Check Format"))</f>
        <v>OK</v>
      </c>
    </row>
    <row r="1338" spans="1:24" x14ac:dyDescent="0.25">
      <c r="A1338" s="2" t="s">
        <v>2033</v>
      </c>
      <c r="B1338" s="2" t="s">
        <v>226</v>
      </c>
      <c r="C1338" s="3" t="s">
        <v>94</v>
      </c>
      <c r="D1338" s="3" t="s">
        <v>174</v>
      </c>
      <c r="E1338" s="4">
        <v>45937.572916666664</v>
      </c>
      <c r="F1338" s="4">
        <v>45937.572222222225</v>
      </c>
      <c r="G1338" s="4">
        <v>45937.640972222223</v>
      </c>
      <c r="I1338" s="3" t="s">
        <v>73</v>
      </c>
      <c r="J1338" s="3" t="s">
        <v>22</v>
      </c>
      <c r="K1338" s="5">
        <v>60</v>
      </c>
      <c r="L1338" s="5">
        <v>38</v>
      </c>
      <c r="M1338" s="3" t="s">
        <v>68</v>
      </c>
      <c r="N1338" t="s">
        <v>100</v>
      </c>
      <c r="P1338" s="3" t="s">
        <v>25</v>
      </c>
      <c r="Q1338" s="2">
        <v>244.96</v>
      </c>
      <c r="R1338" s="3" t="s">
        <v>43</v>
      </c>
      <c r="S1338">
        <f>COUNTIF(A:A,A1338)</f>
        <v>1</v>
      </c>
      <c r="T1338" t="str">
        <f>IF(OR(H1338="",LOWER(TRIM(H1338&amp;""))="missing",LOWER(TRIM(H1338&amp;""))=""),"Missing/",IFERROR(IF(OR(VALUE(H1338)&lt;0,VALUE(H1338)&gt;110),"Invalid","Valid"),"Check Format"))</f>
        <v>Missing/</v>
      </c>
      <c r="U1338" t="str">
        <f>IF(Raw_Data[[#This Row],[Age_Check]]="Valid",H1338,"")</f>
        <v/>
      </c>
      <c r="V1338" t="str">
        <f>IF(OR(K1338="",UPPER(TRIM(K1338&amp;""))="",LOWER(TRIM(K1338&amp;""))="",LOWER(TRIM(K1338&amp;""))="",LOWER(TRIM(K1338&amp;""))="missing"),"Missing/",IFERROR(IF(VALUE(K1338)&lt;0,"Invalid","Valid"),"Check Format"))</f>
        <v>Valid</v>
      </c>
      <c r="W1338" t="str">
        <f>IF(OR(E1338="",F1338=""),"Missing Date/Time",IFERROR(IF(F1338&gt;E1338,"Arrival After Appointment","OK"),"Check Format"))</f>
        <v>OK</v>
      </c>
      <c r="X1338" t="str">
        <f>IF(OR(F1338="",G1338=""),"Missing Date/Time",IFERROR(IF(G1338&lt;F1338,"Discharge Before Arrival","OK"),"Check Format"))</f>
        <v>OK</v>
      </c>
    </row>
    <row r="1339" spans="1:24" x14ac:dyDescent="0.25">
      <c r="A1339" s="2" t="s">
        <v>2034</v>
      </c>
      <c r="B1339" s="2" t="s">
        <v>586</v>
      </c>
      <c r="C1339" s="3" t="s">
        <v>46</v>
      </c>
      <c r="D1339" s="3" t="s">
        <v>66</v>
      </c>
      <c r="E1339" s="4">
        <v>45588.708333333336</v>
      </c>
      <c r="F1339" s="4">
        <v>45588.69027777778</v>
      </c>
      <c r="G1339" s="4">
        <v>45588.73333333333</v>
      </c>
      <c r="H1339" s="5">
        <v>145</v>
      </c>
      <c r="I1339" s="3" t="s">
        <v>39</v>
      </c>
      <c r="J1339" s="3" t="s">
        <v>22</v>
      </c>
      <c r="K1339" s="5">
        <v>11</v>
      </c>
      <c r="L1339" s="5">
        <v>25</v>
      </c>
      <c r="M1339" s="3" t="s">
        <v>87</v>
      </c>
      <c r="N1339" t="s">
        <v>74</v>
      </c>
      <c r="O1339" s="5">
        <v>6</v>
      </c>
      <c r="P1339" s="3" t="s">
        <v>25</v>
      </c>
      <c r="Q1339" s="2">
        <v>83.19</v>
      </c>
      <c r="R1339" s="3" t="s">
        <v>43</v>
      </c>
      <c r="S1339">
        <f>COUNTIF(A:A,A1339)</f>
        <v>1</v>
      </c>
      <c r="T1339" t="str">
        <f>IF(OR(H1339="",LOWER(TRIM(H1339&amp;""))="missing",LOWER(TRIM(H1339&amp;""))=""),"Missing/",IFERROR(IF(OR(VALUE(H1339)&lt;0,VALUE(H1339)&gt;110),"Invalid","Valid"),"Check Format"))</f>
        <v>Invalid</v>
      </c>
      <c r="U1339" t="str">
        <f>IF(Raw_Data[[#This Row],[Age_Check]]="Valid",H1339,"")</f>
        <v/>
      </c>
      <c r="V1339" t="str">
        <f>IF(OR(K1339="",UPPER(TRIM(K1339&amp;""))="",LOWER(TRIM(K1339&amp;""))="",LOWER(TRIM(K1339&amp;""))="",LOWER(TRIM(K1339&amp;""))="missing"),"Missing/",IFERROR(IF(VALUE(K1339)&lt;0,"Invalid","Valid"),"Check Format"))</f>
        <v>Valid</v>
      </c>
      <c r="W1339" t="str">
        <f>IF(OR(E1339="",F1339=""),"Missing Date/Time",IFERROR(IF(F1339&gt;E1339,"Arrival After Appointment","OK"),"Check Format"))</f>
        <v>OK</v>
      </c>
      <c r="X1339" t="str">
        <f>IF(OR(F1339="",G1339=""),"Missing Date/Time",IFERROR(IF(G1339&lt;F1339,"Discharge Before Arrival","OK"),"Check Format"))</f>
        <v>OK</v>
      </c>
    </row>
    <row r="1340" spans="1:24" x14ac:dyDescent="0.25">
      <c r="A1340" s="2" t="s">
        <v>2035</v>
      </c>
      <c r="B1340" s="2" t="s">
        <v>1818</v>
      </c>
      <c r="C1340" s="3" t="s">
        <v>46</v>
      </c>
      <c r="D1340" s="3" t="s">
        <v>38</v>
      </c>
      <c r="E1340" s="4">
        <v>45380.65625</v>
      </c>
      <c r="F1340" s="4">
        <v>45380.640277777777</v>
      </c>
      <c r="G1340" s="4">
        <v>45380.743055555555</v>
      </c>
      <c r="I1340" s="3" t="s">
        <v>39</v>
      </c>
      <c r="J1340" s="3" t="s">
        <v>62</v>
      </c>
      <c r="K1340" s="5">
        <v>71</v>
      </c>
      <c r="L1340" s="5">
        <v>54</v>
      </c>
      <c r="M1340" s="3" t="s">
        <v>32</v>
      </c>
      <c r="N1340" t="s">
        <v>100</v>
      </c>
      <c r="O1340" s="5">
        <v>6</v>
      </c>
      <c r="Q1340" s="2">
        <v>97.24</v>
      </c>
      <c r="R1340" s="3" t="s">
        <v>58</v>
      </c>
      <c r="S1340">
        <f>COUNTIF(A:A,A1340)</f>
        <v>1</v>
      </c>
      <c r="T1340" t="str">
        <f>IF(OR(H1340="",LOWER(TRIM(H1340&amp;""))="missing",LOWER(TRIM(H1340&amp;""))=""),"Missing/",IFERROR(IF(OR(VALUE(H1340)&lt;0,VALUE(H1340)&gt;110),"Invalid","Valid"),"Check Format"))</f>
        <v>Missing/</v>
      </c>
      <c r="U1340" t="str">
        <f>IF(Raw_Data[[#This Row],[Age_Check]]="Valid",H1340,"")</f>
        <v/>
      </c>
      <c r="V1340" t="str">
        <f>IF(OR(K1340="",UPPER(TRIM(K1340&amp;""))="",LOWER(TRIM(K1340&amp;""))="",LOWER(TRIM(K1340&amp;""))="",LOWER(TRIM(K1340&amp;""))="missing"),"Missing/",IFERROR(IF(VALUE(K1340)&lt;0,"Invalid","Valid"),"Check Format"))</f>
        <v>Valid</v>
      </c>
      <c r="W1340" t="str">
        <f>IF(OR(E1340="",F1340=""),"Missing Date/Time",IFERROR(IF(F1340&gt;E1340,"Arrival After Appointment","OK"),"Check Format"))</f>
        <v>OK</v>
      </c>
      <c r="X1340" t="str">
        <f>IF(OR(F1340="",G1340=""),"Missing Date/Time",IFERROR(IF(G1340&lt;F1340,"Discharge Before Arrival","OK"),"Check Format"))</f>
        <v>OK</v>
      </c>
    </row>
    <row r="1341" spans="1:24" x14ac:dyDescent="0.25">
      <c r="A1341" s="2" t="s">
        <v>2036</v>
      </c>
      <c r="B1341" s="2" t="s">
        <v>761</v>
      </c>
      <c r="C1341" s="3" t="s">
        <v>19</v>
      </c>
      <c r="D1341" s="3" t="s">
        <v>20</v>
      </c>
      <c r="E1341" s="4">
        <v>45660.340277777781</v>
      </c>
      <c r="F1341" s="4">
        <v>45717.323611111111</v>
      </c>
      <c r="G1341" s="4">
        <v>45717.356944444444</v>
      </c>
      <c r="I1341" s="3" t="s">
        <v>73</v>
      </c>
      <c r="J1341" s="3" t="s">
        <v>62</v>
      </c>
      <c r="K1341" s="5">
        <v>0</v>
      </c>
      <c r="L1341" s="5">
        <v>24</v>
      </c>
      <c r="M1341" s="3" t="s">
        <v>23</v>
      </c>
      <c r="N1341" t="s">
        <v>24</v>
      </c>
      <c r="P1341" s="3" t="s">
        <v>25</v>
      </c>
      <c r="Q1341" s="2">
        <v>218.08</v>
      </c>
      <c r="R1341" s="3" t="s">
        <v>26</v>
      </c>
      <c r="S1341">
        <f>COUNTIF(A:A,A1341)</f>
        <v>1</v>
      </c>
      <c r="T1341" t="str">
        <f>IF(OR(H1341="",LOWER(TRIM(H1341&amp;""))="missing",LOWER(TRIM(H1341&amp;""))=""),"Missing/",IFERROR(IF(OR(VALUE(H1341)&lt;0,VALUE(H1341)&gt;110),"Invalid","Valid"),"Check Format"))</f>
        <v>Missing/</v>
      </c>
      <c r="U1341" t="str">
        <f>IF(Raw_Data[[#This Row],[Age_Check]]="Valid",H1341,"")</f>
        <v/>
      </c>
      <c r="V1341" t="str">
        <f>IF(OR(K1341="",UPPER(TRIM(K1341&amp;""))="",LOWER(TRIM(K1341&amp;""))="",LOWER(TRIM(K1341&amp;""))="",LOWER(TRIM(K1341&amp;""))="missing"),"Missing/",IFERROR(IF(VALUE(K1341)&lt;0,"Invalid","Valid"),"Check Format"))</f>
        <v>Valid</v>
      </c>
      <c r="W1341" t="str">
        <f>IF(OR(E1341="",F1341=""),"Missing Date/Time",IFERROR(IF(F1341&gt;E1341,"Arrival After Appointment","OK"),"Check Format"))</f>
        <v>Arrival After Appointment</v>
      </c>
      <c r="X1341" t="str">
        <f>IF(OR(F1341="",G1341=""),"Missing Date/Time",IFERROR(IF(G1341&lt;F1341,"Discharge Before Arrival","OK"),"Check Format"))</f>
        <v>OK</v>
      </c>
    </row>
    <row r="1342" spans="1:24" x14ac:dyDescent="0.25">
      <c r="A1342" s="2" t="s">
        <v>2037</v>
      </c>
      <c r="B1342" s="2" t="s">
        <v>123</v>
      </c>
      <c r="C1342" s="3" t="s">
        <v>94</v>
      </c>
      <c r="D1342" s="3" t="s">
        <v>99</v>
      </c>
      <c r="E1342" s="4">
        <v>45343.652777777781</v>
      </c>
      <c r="F1342" s="4">
        <v>45343.645138888889</v>
      </c>
      <c r="G1342" s="4">
        <v>45343.732638888891</v>
      </c>
      <c r="H1342" s="5">
        <v>14</v>
      </c>
      <c r="K1342" s="5">
        <v>76</v>
      </c>
      <c r="L1342" s="5">
        <v>39</v>
      </c>
      <c r="M1342" s="3" t="s">
        <v>87</v>
      </c>
      <c r="P1342" s="3" t="s">
        <v>80</v>
      </c>
      <c r="Q1342" s="2">
        <v>122.6</v>
      </c>
      <c r="R1342" s="3" t="s">
        <v>58</v>
      </c>
      <c r="S1342">
        <f>COUNTIF(A:A,A1342)</f>
        <v>1</v>
      </c>
      <c r="T1342" t="str">
        <f>IF(OR(H1342="",LOWER(TRIM(H1342&amp;""))="missing",LOWER(TRIM(H1342&amp;""))=""),"Missing/",IFERROR(IF(OR(VALUE(H1342)&lt;0,VALUE(H1342)&gt;110),"Invalid","Valid"),"Check Format"))</f>
        <v>Valid</v>
      </c>
      <c r="U1342">
        <f>IF(Raw_Data[[#This Row],[Age_Check]]="Valid",H1342,"")</f>
        <v>14</v>
      </c>
      <c r="V1342" t="str">
        <f>IF(OR(K1342="",UPPER(TRIM(K1342&amp;""))="",LOWER(TRIM(K1342&amp;""))="",LOWER(TRIM(K1342&amp;""))="",LOWER(TRIM(K1342&amp;""))="missing"),"Missing/",IFERROR(IF(VALUE(K1342)&lt;0,"Invalid","Valid"),"Check Format"))</f>
        <v>Valid</v>
      </c>
      <c r="W1342" t="str">
        <f>IF(OR(E1342="",F1342=""),"Missing Date/Time",IFERROR(IF(F1342&gt;E1342,"Arrival After Appointment","OK"),"Check Format"))</f>
        <v>OK</v>
      </c>
      <c r="X1342" t="str">
        <f>IF(OR(F1342="",G1342=""),"Missing Date/Time",IFERROR(IF(G1342&lt;F1342,"Discharge Before Arrival","OK"),"Check Format"))</f>
        <v>OK</v>
      </c>
    </row>
    <row r="1343" spans="1:24" x14ac:dyDescent="0.25">
      <c r="A1343" s="2" t="s">
        <v>2038</v>
      </c>
      <c r="B1343" s="2" t="s">
        <v>1437</v>
      </c>
      <c r="D1343" s="3" t="s">
        <v>38</v>
      </c>
      <c r="E1343" s="4">
        <v>45388.590277777781</v>
      </c>
      <c r="G1343" s="4">
        <v>45388.62777777778</v>
      </c>
      <c r="H1343" s="5">
        <v>91</v>
      </c>
      <c r="I1343" s="3" t="s">
        <v>73</v>
      </c>
      <c r="J1343" s="3" t="s">
        <v>2639</v>
      </c>
      <c r="K1343" s="5">
        <v>13</v>
      </c>
      <c r="L1343" s="5">
        <v>41</v>
      </c>
      <c r="M1343" s="3" t="s">
        <v>23</v>
      </c>
      <c r="N1343" t="s">
        <v>74</v>
      </c>
      <c r="O1343" s="5">
        <v>6</v>
      </c>
      <c r="P1343" s="3" t="s">
        <v>25</v>
      </c>
      <c r="Q1343" s="2">
        <v>78.260000000000005</v>
      </c>
      <c r="R1343" s="3" t="s">
        <v>26</v>
      </c>
      <c r="S1343">
        <f>COUNTIF(A:A,A1343)</f>
        <v>1</v>
      </c>
      <c r="T1343" t="str">
        <f>IF(OR(H1343="",LOWER(TRIM(H1343&amp;""))="missing",LOWER(TRIM(H1343&amp;""))=""),"Missing/",IFERROR(IF(OR(VALUE(H1343)&lt;0,VALUE(H1343)&gt;110),"Invalid","Valid"),"Check Format"))</f>
        <v>Valid</v>
      </c>
      <c r="U1343">
        <f>IF(Raw_Data[[#This Row],[Age_Check]]="Valid",H1343,"")</f>
        <v>91</v>
      </c>
      <c r="V1343" t="str">
        <f>IF(OR(K1343="",UPPER(TRIM(K1343&amp;""))="",LOWER(TRIM(K1343&amp;""))="",LOWER(TRIM(K1343&amp;""))="",LOWER(TRIM(K1343&amp;""))="missing"),"Missing/",IFERROR(IF(VALUE(K1343)&lt;0,"Invalid","Valid"),"Check Format"))</f>
        <v>Valid</v>
      </c>
      <c r="W1343" t="str">
        <f>IF(OR(E1343="",F1343=""),"Missing Date/Time",IFERROR(IF(F1343&gt;E1343,"Arrival After Appointment","OK"),"Check Format"))</f>
        <v>Missing Date/Time</v>
      </c>
      <c r="X1343" t="str">
        <f>IF(OR(F1343="",G1343=""),"Missing Date/Time",IFERROR(IF(G1343&lt;F1343,"Discharge Before Arrival","OK"),"Check Format"))</f>
        <v>Missing Date/Time</v>
      </c>
    </row>
    <row r="1344" spans="1:24" x14ac:dyDescent="0.25">
      <c r="A1344" s="2" t="s">
        <v>2039</v>
      </c>
      <c r="B1344" s="2" t="s">
        <v>972</v>
      </c>
      <c r="C1344" s="3" t="s">
        <v>37</v>
      </c>
      <c r="D1344" s="3" t="s">
        <v>38</v>
      </c>
      <c r="E1344" s="4">
        <v>45322.34375</v>
      </c>
      <c r="F1344" s="4">
        <v>45322.326388888891</v>
      </c>
      <c r="G1344" s="4">
        <v>45322.46597222222</v>
      </c>
      <c r="H1344" s="5">
        <v>47</v>
      </c>
      <c r="I1344" s="3" t="s">
        <v>73</v>
      </c>
      <c r="J1344" s="3" t="s">
        <v>2639</v>
      </c>
      <c r="K1344" s="5">
        <v>134</v>
      </c>
      <c r="L1344" s="5">
        <v>42</v>
      </c>
      <c r="M1344" s="3" t="s">
        <v>23</v>
      </c>
      <c r="N1344" t="s">
        <v>103</v>
      </c>
      <c r="O1344" s="5">
        <v>0</v>
      </c>
      <c r="P1344" s="3" t="s">
        <v>25</v>
      </c>
      <c r="R1344" s="3" t="s">
        <v>58</v>
      </c>
      <c r="S1344">
        <f>COUNTIF(A:A,A1344)</f>
        <v>1</v>
      </c>
      <c r="T1344" t="str">
        <f>IF(OR(H1344="",LOWER(TRIM(H1344&amp;""))="missing",LOWER(TRIM(H1344&amp;""))=""),"Missing/",IFERROR(IF(OR(VALUE(H1344)&lt;0,VALUE(H1344)&gt;110),"Invalid","Valid"),"Check Format"))</f>
        <v>Valid</v>
      </c>
      <c r="U1344">
        <f>IF(Raw_Data[[#This Row],[Age_Check]]="Valid",H1344,"")</f>
        <v>47</v>
      </c>
      <c r="V1344" t="str">
        <f>IF(OR(K1344="",UPPER(TRIM(K1344&amp;""))="",LOWER(TRIM(K1344&amp;""))="",LOWER(TRIM(K1344&amp;""))="",LOWER(TRIM(K1344&amp;""))="missing"),"Missing/",IFERROR(IF(VALUE(K1344)&lt;0,"Invalid","Valid"),"Check Format"))</f>
        <v>Valid</v>
      </c>
      <c r="W1344" t="str">
        <f>IF(OR(E1344="",F1344=""),"Missing Date/Time",IFERROR(IF(F1344&gt;E1344,"Arrival After Appointment","OK"),"Check Format"))</f>
        <v>OK</v>
      </c>
      <c r="X1344" t="str">
        <f>IF(OR(F1344="",G1344=""),"Missing Date/Time",IFERROR(IF(G1344&lt;F1344,"Discharge Before Arrival","OK"),"Check Format"))</f>
        <v>OK</v>
      </c>
    </row>
    <row r="1345" spans="1:24" x14ac:dyDescent="0.25">
      <c r="A1345" s="2" t="s">
        <v>2040</v>
      </c>
      <c r="B1345" s="2" t="s">
        <v>154</v>
      </c>
      <c r="C1345" s="3" t="s">
        <v>37</v>
      </c>
      <c r="D1345" s="3" t="s">
        <v>20</v>
      </c>
      <c r="E1345" s="4">
        <v>46016.732638888891</v>
      </c>
      <c r="F1345" s="4">
        <v>46016.732638888891</v>
      </c>
      <c r="G1345" s="4">
        <v>46016.772222222222</v>
      </c>
      <c r="J1345" s="3" t="s">
        <v>171</v>
      </c>
      <c r="K1345" s="5">
        <v>37</v>
      </c>
      <c r="L1345" s="5">
        <v>20</v>
      </c>
      <c r="M1345" s="3" t="s">
        <v>23</v>
      </c>
      <c r="N1345" t="s">
        <v>100</v>
      </c>
      <c r="Q1345" s="2">
        <v>137.56</v>
      </c>
      <c r="R1345" s="3" t="s">
        <v>58</v>
      </c>
      <c r="S1345">
        <f>COUNTIF(A:A,A1345)</f>
        <v>1</v>
      </c>
      <c r="T1345" t="str">
        <f>IF(OR(H1345="",LOWER(TRIM(H1345&amp;""))="missing",LOWER(TRIM(H1345&amp;""))=""),"Missing/",IFERROR(IF(OR(VALUE(H1345)&lt;0,VALUE(H1345)&gt;110),"Invalid","Valid"),"Check Format"))</f>
        <v>Missing/</v>
      </c>
      <c r="U1345" t="str">
        <f>IF(Raw_Data[[#This Row],[Age_Check]]="Valid",H1345,"")</f>
        <v/>
      </c>
      <c r="V1345" t="str">
        <f>IF(OR(K1345="",UPPER(TRIM(K1345&amp;""))="",LOWER(TRIM(K1345&amp;""))="",LOWER(TRIM(K1345&amp;""))="",LOWER(TRIM(K1345&amp;""))="missing"),"Missing/",IFERROR(IF(VALUE(K1345)&lt;0,"Invalid","Valid"),"Check Format"))</f>
        <v>Valid</v>
      </c>
      <c r="W1345" t="str">
        <f>IF(OR(E1345="",F1345=""),"Missing Date/Time",IFERROR(IF(F1345&gt;E1345,"Arrival After Appointment","OK"),"Check Format"))</f>
        <v>OK</v>
      </c>
      <c r="X1345" t="str">
        <f>IF(OR(F1345="",G1345=""),"Missing Date/Time",IFERROR(IF(G1345&lt;F1345,"Discharge Before Arrival","OK"),"Check Format"))</f>
        <v>OK</v>
      </c>
    </row>
    <row r="1346" spans="1:24" x14ac:dyDescent="0.25">
      <c r="A1346" s="2" t="s">
        <v>2041</v>
      </c>
      <c r="B1346" s="2" t="s">
        <v>351</v>
      </c>
      <c r="C1346" s="3" t="s">
        <v>29</v>
      </c>
      <c r="D1346" s="3" t="s">
        <v>72</v>
      </c>
      <c r="E1346" s="4">
        <v>45680.416666666664</v>
      </c>
      <c r="F1346" s="4">
        <v>45680.411111111112</v>
      </c>
      <c r="G1346" s="4">
        <v>45680.486805555556</v>
      </c>
      <c r="J1346" s="3" t="s">
        <v>67</v>
      </c>
      <c r="K1346" s="5">
        <v>49</v>
      </c>
      <c r="L1346" s="5">
        <v>52</v>
      </c>
      <c r="M1346" s="3" t="s">
        <v>50</v>
      </c>
      <c r="N1346" t="s">
        <v>69</v>
      </c>
      <c r="P1346" s="3" t="s">
        <v>80</v>
      </c>
      <c r="R1346" s="3" t="s">
        <v>58</v>
      </c>
      <c r="S1346">
        <f>COUNTIF(A:A,A1346)</f>
        <v>1</v>
      </c>
      <c r="T1346" t="str">
        <f>IF(OR(H1346="",LOWER(TRIM(H1346&amp;""))="missing",LOWER(TRIM(H1346&amp;""))=""),"Missing/",IFERROR(IF(OR(VALUE(H1346)&lt;0,VALUE(H1346)&gt;110),"Invalid","Valid"),"Check Format"))</f>
        <v>Missing/</v>
      </c>
      <c r="U1346" t="str">
        <f>IF(Raw_Data[[#This Row],[Age_Check]]="Valid",H1346,"")</f>
        <v/>
      </c>
      <c r="V1346" t="str">
        <f>IF(OR(K1346="",UPPER(TRIM(K1346&amp;""))="",LOWER(TRIM(K1346&amp;""))="",LOWER(TRIM(K1346&amp;""))="",LOWER(TRIM(K1346&amp;""))="missing"),"Missing/",IFERROR(IF(VALUE(K1346)&lt;0,"Invalid","Valid"),"Check Format"))</f>
        <v>Valid</v>
      </c>
      <c r="W1346" t="str">
        <f>IF(OR(E1346="",F1346=""),"Missing Date/Time",IFERROR(IF(F1346&gt;E1346,"Arrival After Appointment","OK"),"Check Format"))</f>
        <v>OK</v>
      </c>
      <c r="X1346" t="str">
        <f>IF(OR(F1346="",G1346=""),"Missing Date/Time",IFERROR(IF(G1346&lt;F1346,"Discharge Before Arrival","OK"),"Check Format"))</f>
        <v>OK</v>
      </c>
    </row>
    <row r="1347" spans="1:24" x14ac:dyDescent="0.25">
      <c r="A1347" s="2" t="s">
        <v>2042</v>
      </c>
      <c r="B1347" s="2" t="s">
        <v>176</v>
      </c>
      <c r="C1347" s="3" t="s">
        <v>46</v>
      </c>
      <c r="D1347" s="3" t="s">
        <v>106</v>
      </c>
      <c r="E1347" s="4">
        <v>45301.322916666664</v>
      </c>
      <c r="F1347" s="4">
        <v>45301.318749999999</v>
      </c>
      <c r="G1347" s="4">
        <v>45301.379861111112</v>
      </c>
      <c r="H1347" s="5">
        <v>38</v>
      </c>
      <c r="I1347" s="3" t="s">
        <v>95</v>
      </c>
      <c r="J1347" s="3" t="s">
        <v>62</v>
      </c>
      <c r="K1347" s="5">
        <v>64</v>
      </c>
      <c r="L1347" s="5">
        <v>18</v>
      </c>
      <c r="N1347" t="s">
        <v>91</v>
      </c>
      <c r="P1347" s="3" t="s">
        <v>25</v>
      </c>
      <c r="Q1347" s="2">
        <v>296.24</v>
      </c>
      <c r="R1347" s="3" t="s">
        <v>26</v>
      </c>
      <c r="S1347">
        <f>COUNTIF(A:A,A1347)</f>
        <v>1</v>
      </c>
      <c r="T1347" t="str">
        <f>IF(OR(H1347="",LOWER(TRIM(H1347&amp;""))="missing",LOWER(TRIM(H1347&amp;""))=""),"Missing/",IFERROR(IF(OR(VALUE(H1347)&lt;0,VALUE(H1347)&gt;110),"Invalid","Valid"),"Check Format"))</f>
        <v>Valid</v>
      </c>
      <c r="U1347">
        <f>IF(Raw_Data[[#This Row],[Age_Check]]="Valid",H1347,"")</f>
        <v>38</v>
      </c>
      <c r="V1347" t="str">
        <f>IF(OR(K1347="",UPPER(TRIM(K1347&amp;""))="",LOWER(TRIM(K1347&amp;""))="",LOWER(TRIM(K1347&amp;""))="",LOWER(TRIM(K1347&amp;""))="missing"),"Missing/",IFERROR(IF(VALUE(K1347)&lt;0,"Invalid","Valid"),"Check Format"))</f>
        <v>Valid</v>
      </c>
      <c r="W1347" t="str">
        <f>IF(OR(E1347="",F1347=""),"Missing Date/Time",IFERROR(IF(F1347&gt;E1347,"Arrival After Appointment","OK"),"Check Format"))</f>
        <v>OK</v>
      </c>
      <c r="X1347" t="str">
        <f>IF(OR(F1347="",G1347=""),"Missing Date/Time",IFERROR(IF(G1347&lt;F1347,"Discharge Before Arrival","OK"),"Check Format"))</f>
        <v>OK</v>
      </c>
    </row>
    <row r="1348" spans="1:24" x14ac:dyDescent="0.25">
      <c r="A1348" s="2" t="s">
        <v>2043</v>
      </c>
      <c r="B1348" s="2" t="s">
        <v>708</v>
      </c>
      <c r="C1348" s="3" t="s">
        <v>94</v>
      </c>
      <c r="D1348" s="3" t="s">
        <v>30</v>
      </c>
      <c r="E1348" s="4">
        <v>45958.385416666664</v>
      </c>
      <c r="F1348" s="4">
        <v>45958.366666666669</v>
      </c>
      <c r="G1348" s="4">
        <v>45958.457638888889</v>
      </c>
      <c r="H1348" s="5">
        <v>88</v>
      </c>
      <c r="I1348" s="3" t="s">
        <v>39</v>
      </c>
      <c r="J1348" s="3" t="s">
        <v>62</v>
      </c>
      <c r="K1348" s="5">
        <v>59</v>
      </c>
      <c r="L1348" s="5">
        <v>45</v>
      </c>
      <c r="M1348" s="3" t="s">
        <v>41</v>
      </c>
      <c r="N1348" t="s">
        <v>103</v>
      </c>
      <c r="O1348" s="5">
        <v>3</v>
      </c>
      <c r="P1348" s="3" t="s">
        <v>80</v>
      </c>
      <c r="Q1348" s="2">
        <v>96.34</v>
      </c>
      <c r="R1348" s="3" t="s">
        <v>58</v>
      </c>
      <c r="S1348">
        <f>COUNTIF(A:A,A1348)</f>
        <v>1</v>
      </c>
      <c r="T1348" t="str">
        <f>IF(OR(H1348="",LOWER(TRIM(H1348&amp;""))="missing",LOWER(TRIM(H1348&amp;""))=""),"Missing/",IFERROR(IF(OR(VALUE(H1348)&lt;0,VALUE(H1348)&gt;110),"Invalid","Valid"),"Check Format"))</f>
        <v>Valid</v>
      </c>
      <c r="U1348">
        <f>IF(Raw_Data[[#This Row],[Age_Check]]="Valid",H1348,"")</f>
        <v>88</v>
      </c>
      <c r="V1348" t="str">
        <f>IF(OR(K1348="",UPPER(TRIM(K1348&amp;""))="",LOWER(TRIM(K1348&amp;""))="",LOWER(TRIM(K1348&amp;""))="",LOWER(TRIM(K1348&amp;""))="missing"),"Missing/",IFERROR(IF(VALUE(K1348)&lt;0,"Invalid","Valid"),"Check Format"))</f>
        <v>Valid</v>
      </c>
      <c r="W1348" t="str">
        <f>IF(OR(E1348="",F1348=""),"Missing Date/Time",IFERROR(IF(F1348&gt;E1348,"Arrival After Appointment","OK"),"Check Format"))</f>
        <v>OK</v>
      </c>
      <c r="X1348" t="str">
        <f>IF(OR(F1348="",G1348=""),"Missing Date/Time",IFERROR(IF(G1348&lt;F1348,"Discharge Before Arrival","OK"),"Check Format"))</f>
        <v>OK</v>
      </c>
    </row>
    <row r="1349" spans="1:24" x14ac:dyDescent="0.25">
      <c r="A1349" s="2" t="s">
        <v>2044</v>
      </c>
      <c r="B1349" s="2" t="s">
        <v>321</v>
      </c>
      <c r="C1349" s="3" t="s">
        <v>37</v>
      </c>
      <c r="D1349" s="3" t="s">
        <v>38</v>
      </c>
      <c r="E1349" s="4">
        <v>45511.486111111109</v>
      </c>
      <c r="F1349" s="4">
        <v>45511.475694444445</v>
      </c>
      <c r="G1349" s="4">
        <v>45511.560416666667</v>
      </c>
      <c r="H1349" s="5">
        <v>81</v>
      </c>
      <c r="I1349" s="3" t="s">
        <v>95</v>
      </c>
      <c r="J1349" s="3" t="s">
        <v>171</v>
      </c>
      <c r="K1349" s="5">
        <v>70</v>
      </c>
      <c r="L1349" s="5">
        <v>37</v>
      </c>
      <c r="M1349" s="3" t="s">
        <v>50</v>
      </c>
      <c r="P1349" s="3" t="s">
        <v>42</v>
      </c>
      <c r="Q1349" s="2">
        <v>0</v>
      </c>
      <c r="R1349" s="3" t="s">
        <v>75</v>
      </c>
      <c r="S1349">
        <f>COUNTIF(A:A,A1349)</f>
        <v>1</v>
      </c>
      <c r="T1349" t="str">
        <f>IF(OR(H1349="",LOWER(TRIM(H1349&amp;""))="missing",LOWER(TRIM(H1349&amp;""))=""),"Missing/",IFERROR(IF(OR(VALUE(H1349)&lt;0,VALUE(H1349)&gt;110),"Invalid","Valid"),"Check Format"))</f>
        <v>Valid</v>
      </c>
      <c r="U1349">
        <f>IF(Raw_Data[[#This Row],[Age_Check]]="Valid",H1349,"")</f>
        <v>81</v>
      </c>
      <c r="V1349" t="str">
        <f>IF(OR(K1349="",UPPER(TRIM(K1349&amp;""))="",LOWER(TRIM(K1349&amp;""))="",LOWER(TRIM(K1349&amp;""))="",LOWER(TRIM(K1349&amp;""))="missing"),"Missing/",IFERROR(IF(VALUE(K1349)&lt;0,"Invalid","Valid"),"Check Format"))</f>
        <v>Valid</v>
      </c>
      <c r="W1349" t="str">
        <f>IF(OR(E1349="",F1349=""),"Missing Date/Time",IFERROR(IF(F1349&gt;E1349,"Arrival After Appointment","OK"),"Check Format"))</f>
        <v>OK</v>
      </c>
      <c r="X1349" t="str">
        <f>IF(OR(F1349="",G1349=""),"Missing Date/Time",IFERROR(IF(G1349&lt;F1349,"Discharge Before Arrival","OK"),"Check Format"))</f>
        <v>OK</v>
      </c>
    </row>
    <row r="1350" spans="1:24" x14ac:dyDescent="0.25">
      <c r="A1350" s="2" t="s">
        <v>2045</v>
      </c>
      <c r="B1350" s="2" t="s">
        <v>508</v>
      </c>
      <c r="C1350" s="3" t="s">
        <v>37</v>
      </c>
      <c r="D1350" s="3" t="s">
        <v>99</v>
      </c>
      <c r="F1350" s="4">
        <v>45572.644444444442</v>
      </c>
      <c r="G1350" s="4">
        <v>45572.772916666669</v>
      </c>
      <c r="H1350" s="5">
        <v>51</v>
      </c>
      <c r="I1350" s="3" t="s">
        <v>73</v>
      </c>
      <c r="J1350" s="3" t="s">
        <v>62</v>
      </c>
      <c r="K1350" s="5">
        <v>128</v>
      </c>
      <c r="L1350" s="5">
        <v>55</v>
      </c>
      <c r="M1350" s="3" t="s">
        <v>41</v>
      </c>
      <c r="N1350" t="s">
        <v>91</v>
      </c>
      <c r="O1350" s="5">
        <v>0</v>
      </c>
      <c r="P1350" s="3" t="s">
        <v>80</v>
      </c>
      <c r="Q1350" s="2">
        <v>113.22</v>
      </c>
      <c r="R1350" s="3" t="s">
        <v>58</v>
      </c>
      <c r="S1350">
        <f>COUNTIF(A:A,A1350)</f>
        <v>1</v>
      </c>
      <c r="T1350" t="str">
        <f>IF(OR(H1350="",LOWER(TRIM(H1350&amp;""))="missing",LOWER(TRIM(H1350&amp;""))=""),"Missing/",IFERROR(IF(OR(VALUE(H1350)&lt;0,VALUE(H1350)&gt;110),"Invalid","Valid"),"Check Format"))</f>
        <v>Valid</v>
      </c>
      <c r="U1350">
        <f>IF(Raw_Data[[#This Row],[Age_Check]]="Valid",H1350,"")</f>
        <v>51</v>
      </c>
      <c r="V1350" t="str">
        <f>IF(OR(K1350="",UPPER(TRIM(K1350&amp;""))="",LOWER(TRIM(K1350&amp;""))="",LOWER(TRIM(K1350&amp;""))="",LOWER(TRIM(K1350&amp;""))="missing"),"Missing/",IFERROR(IF(VALUE(K1350)&lt;0,"Invalid","Valid"),"Check Format"))</f>
        <v>Valid</v>
      </c>
      <c r="W1350" t="str">
        <f>IF(OR(E1350="",F1350=""),"Missing Date/Time",IFERROR(IF(F1350&gt;E1350,"Arrival After Appointment","OK"),"Check Format"))</f>
        <v>Missing Date/Time</v>
      </c>
      <c r="X1350" t="str">
        <f>IF(OR(F1350="",G1350=""),"Missing Date/Time",IFERROR(IF(G1350&lt;F1350,"Discharge Before Arrival","OK"),"Check Format"))</f>
        <v>OK</v>
      </c>
    </row>
    <row r="1351" spans="1:24" x14ac:dyDescent="0.25">
      <c r="A1351" s="2" t="s">
        <v>2046</v>
      </c>
      <c r="B1351" s="2" t="s">
        <v>1023</v>
      </c>
      <c r="C1351" s="3" t="s">
        <v>94</v>
      </c>
      <c r="D1351" s="3" t="s">
        <v>61</v>
      </c>
      <c r="E1351" s="4">
        <v>45397.371527777781</v>
      </c>
      <c r="F1351" s="4">
        <v>45397.356249999997</v>
      </c>
      <c r="G1351" s="4">
        <v>45397.411111111112</v>
      </c>
      <c r="I1351" s="3" t="s">
        <v>73</v>
      </c>
      <c r="J1351" s="3" t="s">
        <v>22</v>
      </c>
      <c r="K1351" s="5">
        <v>19</v>
      </c>
      <c r="L1351" s="5">
        <v>38</v>
      </c>
      <c r="M1351" s="3" t="s">
        <v>23</v>
      </c>
      <c r="N1351" t="s">
        <v>69</v>
      </c>
      <c r="O1351" s="5">
        <v>5</v>
      </c>
      <c r="P1351" s="3" t="s">
        <v>25</v>
      </c>
      <c r="Q1351" s="2">
        <v>151.94</v>
      </c>
      <c r="R1351" s="3" t="s">
        <v>58</v>
      </c>
      <c r="S1351">
        <f>COUNTIF(A:A,A1351)</f>
        <v>1</v>
      </c>
      <c r="T1351" t="str">
        <f>IF(OR(H1351="",LOWER(TRIM(H1351&amp;""))="missing",LOWER(TRIM(H1351&amp;""))=""),"Missing/",IFERROR(IF(OR(VALUE(H1351)&lt;0,VALUE(H1351)&gt;110),"Invalid","Valid"),"Check Format"))</f>
        <v>Missing/</v>
      </c>
      <c r="U1351" t="str">
        <f>IF(Raw_Data[[#This Row],[Age_Check]]="Valid",H1351,"")</f>
        <v/>
      </c>
      <c r="V1351" t="str">
        <f>IF(OR(K1351="",UPPER(TRIM(K1351&amp;""))="",LOWER(TRIM(K1351&amp;""))="",LOWER(TRIM(K1351&amp;""))="",LOWER(TRIM(K1351&amp;""))="missing"),"Missing/",IFERROR(IF(VALUE(K1351)&lt;0,"Invalid","Valid"),"Check Format"))</f>
        <v>Valid</v>
      </c>
      <c r="W1351" t="str">
        <f>IF(OR(E1351="",F1351=""),"Missing Date/Time",IFERROR(IF(F1351&gt;E1351,"Arrival After Appointment","OK"),"Check Format"))</f>
        <v>OK</v>
      </c>
      <c r="X1351" t="str">
        <f>IF(OR(F1351="",G1351=""),"Missing Date/Time",IFERROR(IF(G1351&lt;F1351,"Discharge Before Arrival","OK"),"Check Format"))</f>
        <v>OK</v>
      </c>
    </row>
    <row r="1352" spans="1:24" x14ac:dyDescent="0.25">
      <c r="A1352" s="2" t="s">
        <v>2047</v>
      </c>
      <c r="B1352" s="2" t="s">
        <v>635</v>
      </c>
      <c r="C1352" s="3" t="s">
        <v>29</v>
      </c>
      <c r="D1352" s="3" t="s">
        <v>99</v>
      </c>
      <c r="E1352" s="4">
        <v>45820.673611111109</v>
      </c>
      <c r="F1352" s="4">
        <v>45820.668055555558</v>
      </c>
      <c r="G1352" s="4">
        <v>45820.746527777781</v>
      </c>
      <c r="H1352" s="5">
        <v>33</v>
      </c>
      <c r="I1352" s="3" t="s">
        <v>95</v>
      </c>
      <c r="J1352" s="3" t="s">
        <v>67</v>
      </c>
      <c r="K1352" s="5">
        <v>70</v>
      </c>
      <c r="L1352" s="5">
        <v>35</v>
      </c>
      <c r="M1352" s="3" t="s">
        <v>50</v>
      </c>
      <c r="N1352" t="s">
        <v>69</v>
      </c>
      <c r="O1352" s="5">
        <v>3</v>
      </c>
      <c r="P1352" s="3" t="s">
        <v>80</v>
      </c>
      <c r="Q1352" s="2">
        <v>185.5</v>
      </c>
      <c r="R1352" s="3" t="s">
        <v>75</v>
      </c>
      <c r="S1352">
        <f>COUNTIF(A:A,A1352)</f>
        <v>1</v>
      </c>
      <c r="T1352" t="str">
        <f>IF(OR(H1352="",LOWER(TRIM(H1352&amp;""))="missing",LOWER(TRIM(H1352&amp;""))=""),"Missing/",IFERROR(IF(OR(VALUE(H1352)&lt;0,VALUE(H1352)&gt;110),"Invalid","Valid"),"Check Format"))</f>
        <v>Valid</v>
      </c>
      <c r="U1352">
        <f>IF(Raw_Data[[#This Row],[Age_Check]]="Valid",H1352,"")</f>
        <v>33</v>
      </c>
      <c r="V1352" t="str">
        <f>IF(OR(K1352="",UPPER(TRIM(K1352&amp;""))="",LOWER(TRIM(K1352&amp;""))="",LOWER(TRIM(K1352&amp;""))="",LOWER(TRIM(K1352&amp;""))="missing"),"Missing/",IFERROR(IF(VALUE(K1352)&lt;0,"Invalid","Valid"),"Check Format"))</f>
        <v>Valid</v>
      </c>
      <c r="W1352" t="str">
        <f>IF(OR(E1352="",F1352=""),"Missing Date/Time",IFERROR(IF(F1352&gt;E1352,"Arrival After Appointment","OK"),"Check Format"))</f>
        <v>OK</v>
      </c>
      <c r="X1352" t="str">
        <f>IF(OR(F1352="",G1352=""),"Missing Date/Time",IFERROR(IF(G1352&lt;F1352,"Discharge Before Arrival","OK"),"Check Format"))</f>
        <v>OK</v>
      </c>
    </row>
    <row r="1353" spans="1:24" x14ac:dyDescent="0.25">
      <c r="A1353" s="2" t="s">
        <v>2048</v>
      </c>
      <c r="B1353" s="2" t="s">
        <v>291</v>
      </c>
      <c r="C1353" s="3" t="s">
        <v>94</v>
      </c>
      <c r="D1353" s="3" t="s">
        <v>61</v>
      </c>
      <c r="E1353" s="4" t="s">
        <v>2049</v>
      </c>
      <c r="F1353" s="4">
        <v>45984.493055555555</v>
      </c>
      <c r="H1353" s="5">
        <v>0</v>
      </c>
      <c r="J1353" s="3" t="s">
        <v>150</v>
      </c>
      <c r="K1353" s="5">
        <v>108</v>
      </c>
      <c r="L1353" s="5">
        <v>42</v>
      </c>
      <c r="N1353" t="s">
        <v>69</v>
      </c>
      <c r="O1353" s="5">
        <v>4</v>
      </c>
      <c r="P1353" s="3" t="s">
        <v>80</v>
      </c>
      <c r="Q1353" s="2">
        <v>61.03</v>
      </c>
      <c r="R1353" s="3" t="s">
        <v>58</v>
      </c>
      <c r="S1353">
        <f>COUNTIF(A:A,A1353)</f>
        <v>1</v>
      </c>
      <c r="T1353" t="str">
        <f>IF(OR(H1353="",LOWER(TRIM(H1353&amp;""))="missing",LOWER(TRIM(H1353&amp;""))=""),"Missing/",IFERROR(IF(OR(VALUE(H1353)&lt;0,VALUE(H1353)&gt;110),"Invalid","Valid"),"Check Format"))</f>
        <v>Valid</v>
      </c>
      <c r="U1353">
        <f>IF(Raw_Data[[#This Row],[Age_Check]]="Valid",H1353,"")</f>
        <v>0</v>
      </c>
      <c r="V1353" t="str">
        <f>IF(OR(K1353="",UPPER(TRIM(K1353&amp;""))="",LOWER(TRIM(K1353&amp;""))="",LOWER(TRIM(K1353&amp;""))="",LOWER(TRIM(K1353&amp;""))="missing"),"Missing/",IFERROR(IF(VALUE(K1353)&lt;0,"Invalid","Valid"),"Check Format"))</f>
        <v>Valid</v>
      </c>
      <c r="W1353" t="str">
        <f>IF(OR(E1353="",F1353=""),"Missing Date/Time",IFERROR(IF(F1353&gt;E1353,"Arrival After Appointment","OK"),"Check Format"))</f>
        <v>OK</v>
      </c>
      <c r="X1353" t="str">
        <f>IF(OR(F1353="",G1353=""),"Missing Date/Time",IFERROR(IF(G1353&lt;F1353,"Discharge Before Arrival","OK"),"Check Format"))</f>
        <v>Missing Date/Time</v>
      </c>
    </row>
    <row r="1354" spans="1:24" x14ac:dyDescent="0.25">
      <c r="A1354" s="2" t="s">
        <v>2050</v>
      </c>
      <c r="B1354" s="2" t="s">
        <v>298</v>
      </c>
      <c r="C1354" s="3" t="s">
        <v>37</v>
      </c>
      <c r="D1354" s="3" t="s">
        <v>99</v>
      </c>
      <c r="E1354" s="4">
        <v>45420.753472222219</v>
      </c>
      <c r="F1354" s="4">
        <v>45420.738888888889</v>
      </c>
      <c r="G1354" s="4">
        <v>45420.868750000001</v>
      </c>
      <c r="I1354" s="3" t="s">
        <v>73</v>
      </c>
      <c r="J1354" s="3" t="s">
        <v>62</v>
      </c>
      <c r="K1354" s="5">
        <v>105</v>
      </c>
      <c r="L1354" s="5">
        <v>61</v>
      </c>
      <c r="M1354" s="3" t="s">
        <v>87</v>
      </c>
      <c r="O1354" s="5">
        <v>2</v>
      </c>
      <c r="Q1354" s="2">
        <v>397.16</v>
      </c>
      <c r="R1354" s="3" t="s">
        <v>26</v>
      </c>
      <c r="S1354">
        <f>COUNTIF(A:A,A1354)</f>
        <v>1</v>
      </c>
      <c r="T1354" t="str">
        <f>IF(OR(H1354="",LOWER(TRIM(H1354&amp;""))="missing",LOWER(TRIM(H1354&amp;""))=""),"Missing/",IFERROR(IF(OR(VALUE(H1354)&lt;0,VALUE(H1354)&gt;110),"Invalid","Valid"),"Check Format"))</f>
        <v>Missing/</v>
      </c>
      <c r="U1354" t="str">
        <f>IF(Raw_Data[[#This Row],[Age_Check]]="Valid",H1354,"")</f>
        <v/>
      </c>
      <c r="V1354" t="str">
        <f>IF(OR(K1354="",UPPER(TRIM(K1354&amp;""))="",LOWER(TRIM(K1354&amp;""))="",LOWER(TRIM(K1354&amp;""))="",LOWER(TRIM(K1354&amp;""))="missing"),"Missing/",IFERROR(IF(VALUE(K1354)&lt;0,"Invalid","Valid"),"Check Format"))</f>
        <v>Valid</v>
      </c>
      <c r="W1354" t="str">
        <f>IF(OR(E1354="",F1354=""),"Missing Date/Time",IFERROR(IF(F1354&gt;E1354,"Arrival After Appointment","OK"),"Check Format"))</f>
        <v>OK</v>
      </c>
      <c r="X1354" t="str">
        <f>IF(OR(F1354="",G1354=""),"Missing Date/Time",IFERROR(IF(G1354&lt;F1354,"Discharge Before Arrival","OK"),"Check Format"))</f>
        <v>OK</v>
      </c>
    </row>
    <row r="1355" spans="1:24" x14ac:dyDescent="0.25">
      <c r="A1355" s="2" t="s">
        <v>1593</v>
      </c>
      <c r="B1355" s="2" t="s">
        <v>1304</v>
      </c>
      <c r="C1355" s="3" t="s">
        <v>46</v>
      </c>
      <c r="D1355" s="3" t="s">
        <v>55</v>
      </c>
      <c r="E1355" s="4">
        <v>45294.760416666664</v>
      </c>
      <c r="F1355" s="4">
        <v>45352.745138888888</v>
      </c>
      <c r="G1355" s="4">
        <v>45352.835416666669</v>
      </c>
      <c r="H1355" s="5">
        <v>145</v>
      </c>
      <c r="I1355" s="3" t="s">
        <v>73</v>
      </c>
      <c r="J1355" s="3" t="s">
        <v>67</v>
      </c>
      <c r="K1355" s="5">
        <v>84</v>
      </c>
      <c r="L1355" s="5">
        <v>24</v>
      </c>
      <c r="M1355" s="3" t="s">
        <v>41</v>
      </c>
      <c r="N1355" t="s">
        <v>24</v>
      </c>
      <c r="Q1355" s="2">
        <v>54.59</v>
      </c>
      <c r="R1355" s="3" t="s">
        <v>58</v>
      </c>
      <c r="S1355">
        <f>COUNTIF(A:A,A1355)</f>
        <v>1</v>
      </c>
      <c r="T1355" t="str">
        <f>IF(OR(H1355="",LOWER(TRIM(H1355&amp;""))="missing",LOWER(TRIM(H1355&amp;""))=""),"Missing/",IFERROR(IF(OR(VALUE(H1355)&lt;0,VALUE(H1355)&gt;110),"Invalid","Valid"),"Check Format"))</f>
        <v>Invalid</v>
      </c>
      <c r="U1355" t="str">
        <f>IF(Raw_Data[[#This Row],[Age_Check]]="Valid",H1355,"")</f>
        <v/>
      </c>
      <c r="V1355" t="str">
        <f>IF(OR(K1355="",UPPER(TRIM(K1355&amp;""))="",LOWER(TRIM(K1355&amp;""))="",LOWER(TRIM(K1355&amp;""))="",LOWER(TRIM(K1355&amp;""))="missing"),"Missing/",IFERROR(IF(VALUE(K1355)&lt;0,"Invalid","Valid"),"Check Format"))</f>
        <v>Valid</v>
      </c>
      <c r="W1355" t="str">
        <f>IF(OR(E1355="",F1355=""),"Missing Date/Time",IFERROR(IF(F1355&gt;E1355,"Arrival After Appointment","OK"),"Check Format"))</f>
        <v>Arrival After Appointment</v>
      </c>
      <c r="X1355" t="str">
        <f>IF(OR(F1355="",G1355=""),"Missing Date/Time",IFERROR(IF(G1355&lt;F1355,"Discharge Before Arrival","OK"),"Check Format"))</f>
        <v>OK</v>
      </c>
    </row>
    <row r="1356" spans="1:24" x14ac:dyDescent="0.25">
      <c r="A1356" s="2" t="s">
        <v>2052</v>
      </c>
      <c r="B1356" s="2" t="s">
        <v>431</v>
      </c>
      <c r="C1356" s="3" t="s">
        <v>37</v>
      </c>
      <c r="D1356" s="3" t="s">
        <v>72</v>
      </c>
      <c r="E1356" s="4">
        <v>45804.291666666664</v>
      </c>
      <c r="F1356" s="4">
        <v>45804.281944444447</v>
      </c>
      <c r="G1356" s="4">
        <v>45804.315972222219</v>
      </c>
      <c r="J1356" s="3" t="s">
        <v>62</v>
      </c>
      <c r="K1356" s="5">
        <v>30</v>
      </c>
      <c r="L1356" s="5">
        <v>5</v>
      </c>
      <c r="M1356" s="3" t="s">
        <v>68</v>
      </c>
      <c r="N1356" t="s">
        <v>24</v>
      </c>
      <c r="O1356" s="5">
        <v>0</v>
      </c>
      <c r="P1356" s="3" t="s">
        <v>42</v>
      </c>
      <c r="Q1356" s="2">
        <v>107.3</v>
      </c>
      <c r="R1356" s="3" t="s">
        <v>43</v>
      </c>
      <c r="S1356">
        <f>COUNTIF(A:A,A1356)</f>
        <v>1</v>
      </c>
      <c r="T1356" t="str">
        <f>IF(OR(H1356="",LOWER(TRIM(H1356&amp;""))="missing",LOWER(TRIM(H1356&amp;""))=""),"Missing/",IFERROR(IF(OR(VALUE(H1356)&lt;0,VALUE(H1356)&gt;110),"Invalid","Valid"),"Check Format"))</f>
        <v>Missing/</v>
      </c>
      <c r="U1356" t="str">
        <f>IF(Raw_Data[[#This Row],[Age_Check]]="Valid",H1356,"")</f>
        <v/>
      </c>
      <c r="V1356" t="str">
        <f>IF(OR(K1356="",UPPER(TRIM(K1356&amp;""))="",LOWER(TRIM(K1356&amp;""))="",LOWER(TRIM(K1356&amp;""))="",LOWER(TRIM(K1356&amp;""))="missing"),"Missing/",IFERROR(IF(VALUE(K1356)&lt;0,"Invalid","Valid"),"Check Format"))</f>
        <v>Valid</v>
      </c>
      <c r="W1356" t="str">
        <f>IF(OR(E1356="",F1356=""),"Missing Date/Time",IFERROR(IF(F1356&gt;E1356,"Arrival After Appointment","OK"),"Check Format"))</f>
        <v>OK</v>
      </c>
      <c r="X1356" t="str">
        <f>IF(OR(F1356="",G1356=""),"Missing Date/Time",IFERROR(IF(G1356&lt;F1356,"Discharge Before Arrival","OK"),"Check Format"))</f>
        <v>OK</v>
      </c>
    </row>
    <row r="1357" spans="1:24" x14ac:dyDescent="0.25">
      <c r="A1357" s="2" t="s">
        <v>2053</v>
      </c>
      <c r="B1357" s="2" t="s">
        <v>148</v>
      </c>
      <c r="D1357" s="3" t="s">
        <v>47</v>
      </c>
      <c r="E1357" s="4">
        <v>45818.690972222219</v>
      </c>
      <c r="G1357" s="4">
        <v>45818.722222222219</v>
      </c>
      <c r="J1357" s="3" t="s">
        <v>62</v>
      </c>
      <c r="K1357" s="5">
        <v>0</v>
      </c>
      <c r="L1357" s="5">
        <v>45</v>
      </c>
      <c r="M1357" s="3" t="s">
        <v>63</v>
      </c>
      <c r="N1357" t="s">
        <v>91</v>
      </c>
      <c r="O1357" s="5">
        <v>4</v>
      </c>
      <c r="P1357" s="3" t="s">
        <v>42</v>
      </c>
      <c r="Q1357" s="2">
        <v>0</v>
      </c>
      <c r="R1357" s="3" t="s">
        <v>58</v>
      </c>
      <c r="S1357">
        <f>COUNTIF(A:A,A1357)</f>
        <v>1</v>
      </c>
      <c r="T1357" t="str">
        <f>IF(OR(H1357="",LOWER(TRIM(H1357&amp;""))="missing",LOWER(TRIM(H1357&amp;""))=""),"Missing/",IFERROR(IF(OR(VALUE(H1357)&lt;0,VALUE(H1357)&gt;110),"Invalid","Valid"),"Check Format"))</f>
        <v>Missing/</v>
      </c>
      <c r="U1357" t="str">
        <f>IF(Raw_Data[[#This Row],[Age_Check]]="Valid",H1357,"")</f>
        <v/>
      </c>
      <c r="V1357" t="str">
        <f>IF(OR(K1357="",UPPER(TRIM(K1357&amp;""))="",LOWER(TRIM(K1357&amp;""))="",LOWER(TRIM(K1357&amp;""))="",LOWER(TRIM(K1357&amp;""))="missing"),"Missing/",IFERROR(IF(VALUE(K1357)&lt;0,"Invalid","Valid"),"Check Format"))</f>
        <v>Valid</v>
      </c>
      <c r="W1357" t="str">
        <f>IF(OR(E1357="",F1357=""),"Missing Date/Time",IFERROR(IF(F1357&gt;E1357,"Arrival After Appointment","OK"),"Check Format"))</f>
        <v>Missing Date/Time</v>
      </c>
      <c r="X1357" t="str">
        <f>IF(OR(F1357="",G1357=""),"Missing Date/Time",IFERROR(IF(G1357&lt;F1357,"Discharge Before Arrival","OK"),"Check Format"))</f>
        <v>Missing Date/Time</v>
      </c>
    </row>
    <row r="1358" spans="1:24" x14ac:dyDescent="0.25">
      <c r="A1358" s="2" t="s">
        <v>2054</v>
      </c>
      <c r="B1358" s="2" t="s">
        <v>1218</v>
      </c>
      <c r="C1358" s="3" t="s">
        <v>37</v>
      </c>
      <c r="D1358" s="3" t="s">
        <v>66</v>
      </c>
      <c r="E1358" s="4">
        <v>45696.486111111109</v>
      </c>
      <c r="F1358" s="4">
        <v>45871.478472222225</v>
      </c>
      <c r="G1358" s="4">
        <v>45871.529861111114</v>
      </c>
      <c r="I1358" s="3" t="s">
        <v>73</v>
      </c>
      <c r="J1358" s="3" t="s">
        <v>22</v>
      </c>
      <c r="K1358" s="5">
        <v>58</v>
      </c>
      <c r="L1358" s="5">
        <v>5</v>
      </c>
      <c r="M1358" s="3" t="s">
        <v>32</v>
      </c>
      <c r="N1358" t="s">
        <v>69</v>
      </c>
      <c r="P1358" s="3" t="s">
        <v>25</v>
      </c>
      <c r="Q1358" s="2">
        <v>119.38</v>
      </c>
      <c r="R1358" s="3" t="s">
        <v>58</v>
      </c>
      <c r="S1358">
        <f>COUNTIF(A:A,A1358)</f>
        <v>1</v>
      </c>
      <c r="T1358" t="str">
        <f>IF(OR(H1358="",LOWER(TRIM(H1358&amp;""))="missing",LOWER(TRIM(H1358&amp;""))=""),"Missing/",IFERROR(IF(OR(VALUE(H1358)&lt;0,VALUE(H1358)&gt;110),"Invalid","Valid"),"Check Format"))</f>
        <v>Missing/</v>
      </c>
      <c r="U1358" t="str">
        <f>IF(Raw_Data[[#This Row],[Age_Check]]="Valid",H1358,"")</f>
        <v/>
      </c>
      <c r="V1358" t="str">
        <f>IF(OR(K1358="",UPPER(TRIM(K1358&amp;""))="",LOWER(TRIM(K1358&amp;""))="",LOWER(TRIM(K1358&amp;""))="",LOWER(TRIM(K1358&amp;""))="missing"),"Missing/",IFERROR(IF(VALUE(K1358)&lt;0,"Invalid","Valid"),"Check Format"))</f>
        <v>Valid</v>
      </c>
      <c r="W1358" t="str">
        <f>IF(OR(E1358="",F1358=""),"Missing Date/Time",IFERROR(IF(F1358&gt;E1358,"Arrival After Appointment","OK"),"Check Format"))</f>
        <v>Arrival After Appointment</v>
      </c>
      <c r="X1358" t="str">
        <f>IF(OR(F1358="",G1358=""),"Missing Date/Time",IFERROR(IF(G1358&lt;F1358,"Discharge Before Arrival","OK"),"Check Format"))</f>
        <v>OK</v>
      </c>
    </row>
    <row r="1359" spans="1:24" x14ac:dyDescent="0.25">
      <c r="A1359" s="2" t="s">
        <v>2055</v>
      </c>
      <c r="B1359" s="2" t="s">
        <v>926</v>
      </c>
      <c r="D1359" s="3" t="s">
        <v>72</v>
      </c>
      <c r="E1359" s="4" t="s">
        <v>2056</v>
      </c>
      <c r="F1359" s="4">
        <v>45341.394444444442</v>
      </c>
      <c r="G1359" s="4">
        <v>45341.502083333333</v>
      </c>
      <c r="I1359" s="3" t="s">
        <v>73</v>
      </c>
      <c r="J1359" s="3" t="s">
        <v>150</v>
      </c>
      <c r="K1359" s="5">
        <v>115</v>
      </c>
      <c r="L1359" s="5">
        <v>38</v>
      </c>
      <c r="M1359" s="3" t="s">
        <v>32</v>
      </c>
      <c r="N1359" t="s">
        <v>74</v>
      </c>
      <c r="P1359" s="3" t="s">
        <v>25</v>
      </c>
      <c r="Q1359" s="2">
        <v>75.92</v>
      </c>
      <c r="R1359" s="3" t="s">
        <v>58</v>
      </c>
      <c r="S1359">
        <f>COUNTIF(A:A,A1359)</f>
        <v>1</v>
      </c>
      <c r="T1359" t="str">
        <f>IF(OR(H1359="",LOWER(TRIM(H1359&amp;""))="missing",LOWER(TRIM(H1359&amp;""))=""),"Missing/",IFERROR(IF(OR(VALUE(H1359)&lt;0,VALUE(H1359)&gt;110),"Invalid","Valid"),"Check Format"))</f>
        <v>Missing/</v>
      </c>
      <c r="U1359" t="str">
        <f>IF(Raw_Data[[#This Row],[Age_Check]]="Valid",H1359,"")</f>
        <v/>
      </c>
      <c r="V1359" t="str">
        <f>IF(OR(K1359="",UPPER(TRIM(K1359&amp;""))="",LOWER(TRIM(K1359&amp;""))="",LOWER(TRIM(K1359&amp;""))="",LOWER(TRIM(K1359&amp;""))="missing"),"Missing/",IFERROR(IF(VALUE(K1359)&lt;0,"Invalid","Valid"),"Check Format"))</f>
        <v>Valid</v>
      </c>
      <c r="W1359" t="str">
        <f>IF(OR(E1359="",F1359=""),"Missing Date/Time",IFERROR(IF(F1359&gt;E1359,"Arrival After Appointment","OK"),"Check Format"))</f>
        <v>OK</v>
      </c>
      <c r="X1359" t="str">
        <f>IF(OR(F1359="",G1359=""),"Missing Date/Time",IFERROR(IF(G1359&lt;F1359,"Discharge Before Arrival","OK"),"Check Format"))</f>
        <v>OK</v>
      </c>
    </row>
    <row r="1360" spans="1:24" x14ac:dyDescent="0.25">
      <c r="A1360" s="2" t="s">
        <v>2057</v>
      </c>
      <c r="B1360" s="2" t="s">
        <v>2058</v>
      </c>
      <c r="C1360" s="3" t="s">
        <v>94</v>
      </c>
      <c r="D1360" s="3" t="s">
        <v>209</v>
      </c>
      <c r="E1360" s="4">
        <v>45718.336805555555</v>
      </c>
      <c r="F1360" s="4">
        <v>45718.335416666669</v>
      </c>
      <c r="G1360" s="4">
        <v>45718.397916666669</v>
      </c>
      <c r="H1360" s="5">
        <v>64</v>
      </c>
      <c r="I1360" s="3" t="s">
        <v>95</v>
      </c>
      <c r="J1360" s="3" t="s">
        <v>22</v>
      </c>
      <c r="K1360" s="5">
        <v>56</v>
      </c>
      <c r="L1360" s="5">
        <v>32</v>
      </c>
      <c r="M1360" s="3" t="s">
        <v>32</v>
      </c>
      <c r="N1360" t="s">
        <v>91</v>
      </c>
      <c r="Q1360" s="2">
        <v>182.81</v>
      </c>
      <c r="R1360" s="3" t="s">
        <v>58</v>
      </c>
      <c r="S1360">
        <f>COUNTIF(A:A,A1360)</f>
        <v>1</v>
      </c>
      <c r="T1360" t="str">
        <f>IF(OR(H1360="",LOWER(TRIM(H1360&amp;""))="missing",LOWER(TRIM(H1360&amp;""))=""),"Missing/",IFERROR(IF(OR(VALUE(H1360)&lt;0,VALUE(H1360)&gt;110),"Invalid","Valid"),"Check Format"))</f>
        <v>Valid</v>
      </c>
      <c r="U1360">
        <f>IF(Raw_Data[[#This Row],[Age_Check]]="Valid",H1360,"")</f>
        <v>64</v>
      </c>
      <c r="V1360" t="str">
        <f>IF(OR(K1360="",UPPER(TRIM(K1360&amp;""))="",LOWER(TRIM(K1360&amp;""))="",LOWER(TRIM(K1360&amp;""))="",LOWER(TRIM(K1360&amp;""))="missing"),"Missing/",IFERROR(IF(VALUE(K1360)&lt;0,"Invalid","Valid"),"Check Format"))</f>
        <v>Valid</v>
      </c>
      <c r="W1360" t="str">
        <f>IF(OR(E1360="",F1360=""),"Missing Date/Time",IFERROR(IF(F1360&gt;E1360,"Arrival After Appointment","OK"),"Check Format"))</f>
        <v>OK</v>
      </c>
      <c r="X1360" t="str">
        <f>IF(OR(F1360="",G1360=""),"Missing Date/Time",IFERROR(IF(G1360&lt;F1360,"Discharge Before Arrival","OK"),"Check Format"))</f>
        <v>OK</v>
      </c>
    </row>
    <row r="1361" spans="1:24" x14ac:dyDescent="0.25">
      <c r="A1361" s="2" t="s">
        <v>2059</v>
      </c>
      <c r="B1361" s="2" t="s">
        <v>1028</v>
      </c>
      <c r="D1361" s="3" t="s">
        <v>99</v>
      </c>
      <c r="E1361" s="4">
        <v>45820.659722222219</v>
      </c>
      <c r="F1361" s="4">
        <v>45820.647916666669</v>
      </c>
      <c r="G1361" s="4">
        <v>45820.695833333331</v>
      </c>
      <c r="I1361" s="3" t="s">
        <v>95</v>
      </c>
      <c r="J1361" s="3" t="s">
        <v>150</v>
      </c>
      <c r="K1361" s="5">
        <v>10</v>
      </c>
      <c r="L1361" s="5">
        <v>42</v>
      </c>
      <c r="M1361" s="3" t="s">
        <v>87</v>
      </c>
      <c r="N1361" t="s">
        <v>24</v>
      </c>
      <c r="O1361" s="5">
        <v>5</v>
      </c>
      <c r="P1361" s="3" t="s">
        <v>42</v>
      </c>
      <c r="Q1361" s="2">
        <v>0</v>
      </c>
      <c r="R1361" s="3" t="s">
        <v>43</v>
      </c>
      <c r="S1361">
        <f>COUNTIF(A:A,A1361)</f>
        <v>1</v>
      </c>
      <c r="T1361" t="str">
        <f>IF(OR(H1361="",LOWER(TRIM(H1361&amp;""))="missing",LOWER(TRIM(H1361&amp;""))=""),"Missing/",IFERROR(IF(OR(VALUE(H1361)&lt;0,VALUE(H1361)&gt;110),"Invalid","Valid"),"Check Format"))</f>
        <v>Missing/</v>
      </c>
      <c r="U1361" t="str">
        <f>IF(Raw_Data[[#This Row],[Age_Check]]="Valid",H1361,"")</f>
        <v/>
      </c>
      <c r="V1361" t="str">
        <f>IF(OR(K1361="",UPPER(TRIM(K1361&amp;""))="",LOWER(TRIM(K1361&amp;""))="",LOWER(TRIM(K1361&amp;""))="",LOWER(TRIM(K1361&amp;""))="missing"),"Missing/",IFERROR(IF(VALUE(K1361)&lt;0,"Invalid","Valid"),"Check Format"))</f>
        <v>Valid</v>
      </c>
      <c r="W1361" t="str">
        <f>IF(OR(E1361="",F1361=""),"Missing Date/Time",IFERROR(IF(F1361&gt;E1361,"Arrival After Appointment","OK"),"Check Format"))</f>
        <v>OK</v>
      </c>
      <c r="X1361" t="str">
        <f>IF(OR(F1361="",G1361=""),"Missing Date/Time",IFERROR(IF(G1361&lt;F1361,"Discharge Before Arrival","OK"),"Check Format"))</f>
        <v>OK</v>
      </c>
    </row>
    <row r="1362" spans="1:24" x14ac:dyDescent="0.25">
      <c r="A1362" s="2" t="s">
        <v>2060</v>
      </c>
      <c r="B1362" s="2" t="s">
        <v>1209</v>
      </c>
      <c r="D1362" s="3" t="s">
        <v>115</v>
      </c>
      <c r="E1362" s="4">
        <v>45957.777777777781</v>
      </c>
      <c r="F1362" s="4">
        <v>45957.765277777777</v>
      </c>
      <c r="I1362" s="3" t="s">
        <v>95</v>
      </c>
      <c r="J1362" s="3" t="s">
        <v>67</v>
      </c>
      <c r="K1362" s="5">
        <v>35</v>
      </c>
      <c r="L1362" s="5">
        <v>23</v>
      </c>
      <c r="M1362" s="3" t="s">
        <v>87</v>
      </c>
      <c r="N1362" t="s">
        <v>69</v>
      </c>
      <c r="P1362" s="3" t="s">
        <v>42</v>
      </c>
      <c r="Q1362" s="2">
        <v>195.67</v>
      </c>
      <c r="R1362" s="3" t="s">
        <v>26</v>
      </c>
      <c r="S1362">
        <f>COUNTIF(A:A,A1362)</f>
        <v>1</v>
      </c>
      <c r="T1362" t="str">
        <f>IF(OR(H1362="",LOWER(TRIM(H1362&amp;""))="missing",LOWER(TRIM(H1362&amp;""))=""),"Missing/",IFERROR(IF(OR(VALUE(H1362)&lt;0,VALUE(H1362)&gt;110),"Invalid","Valid"),"Check Format"))</f>
        <v>Missing/</v>
      </c>
      <c r="U1362" t="str">
        <f>IF(Raw_Data[[#This Row],[Age_Check]]="Valid",H1362,"")</f>
        <v/>
      </c>
      <c r="V1362" t="str">
        <f>IF(OR(K1362="",UPPER(TRIM(K1362&amp;""))="",LOWER(TRIM(K1362&amp;""))="",LOWER(TRIM(K1362&amp;""))="",LOWER(TRIM(K1362&amp;""))="missing"),"Missing/",IFERROR(IF(VALUE(K1362)&lt;0,"Invalid","Valid"),"Check Format"))</f>
        <v>Valid</v>
      </c>
      <c r="W1362" t="str">
        <f>IF(OR(E1362="",F1362=""),"Missing Date/Time",IFERROR(IF(F1362&gt;E1362,"Arrival After Appointment","OK"),"Check Format"))</f>
        <v>OK</v>
      </c>
      <c r="X1362" t="str">
        <f>IF(OR(F1362="",G1362=""),"Missing Date/Time",IFERROR(IF(G1362&lt;F1362,"Discharge Before Arrival","OK"),"Check Format"))</f>
        <v>Missing Date/Time</v>
      </c>
    </row>
    <row r="1363" spans="1:24" x14ac:dyDescent="0.25">
      <c r="A1363" s="2" t="s">
        <v>2061</v>
      </c>
      <c r="B1363" s="2" t="s">
        <v>256</v>
      </c>
      <c r="C1363" s="3" t="s">
        <v>94</v>
      </c>
      <c r="D1363" s="3" t="s">
        <v>61</v>
      </c>
      <c r="E1363" s="4">
        <v>45661.586805555555</v>
      </c>
      <c r="F1363" s="4">
        <v>45661.570138888892</v>
      </c>
      <c r="G1363" s="4">
        <v>45661.631249999999</v>
      </c>
      <c r="I1363" s="3" t="s">
        <v>73</v>
      </c>
      <c r="J1363" s="3" t="s">
        <v>67</v>
      </c>
      <c r="K1363" s="5">
        <v>58</v>
      </c>
      <c r="L1363" s="5">
        <v>6</v>
      </c>
      <c r="M1363" s="3" t="s">
        <v>87</v>
      </c>
      <c r="O1363" s="5">
        <v>1</v>
      </c>
      <c r="Q1363" s="2">
        <v>66.2</v>
      </c>
      <c r="R1363" s="3" t="s">
        <v>26</v>
      </c>
      <c r="S1363">
        <f>COUNTIF(A:A,A1363)</f>
        <v>1</v>
      </c>
      <c r="T1363" t="str">
        <f>IF(OR(H1363="",LOWER(TRIM(H1363&amp;""))="missing",LOWER(TRIM(H1363&amp;""))=""),"Missing/",IFERROR(IF(OR(VALUE(H1363)&lt;0,VALUE(H1363)&gt;110),"Invalid","Valid"),"Check Format"))</f>
        <v>Missing/</v>
      </c>
      <c r="U1363" t="str">
        <f>IF(Raw_Data[[#This Row],[Age_Check]]="Valid",H1363,"")</f>
        <v/>
      </c>
      <c r="V1363" t="str">
        <f>IF(OR(K1363="",UPPER(TRIM(K1363&amp;""))="",LOWER(TRIM(K1363&amp;""))="",LOWER(TRIM(K1363&amp;""))="",LOWER(TRIM(K1363&amp;""))="missing"),"Missing/",IFERROR(IF(VALUE(K1363)&lt;0,"Invalid","Valid"),"Check Format"))</f>
        <v>Valid</v>
      </c>
      <c r="W1363" t="str">
        <f>IF(OR(E1363="",F1363=""),"Missing Date/Time",IFERROR(IF(F1363&gt;E1363,"Arrival After Appointment","OK"),"Check Format"))</f>
        <v>OK</v>
      </c>
      <c r="X1363" t="str">
        <f>IF(OR(F1363="",G1363=""),"Missing Date/Time",IFERROR(IF(G1363&lt;F1363,"Discharge Before Arrival","OK"),"Check Format"))</f>
        <v>OK</v>
      </c>
    </row>
    <row r="1364" spans="1:24" x14ac:dyDescent="0.25">
      <c r="A1364" s="2" t="s">
        <v>2062</v>
      </c>
      <c r="B1364" s="2" t="s">
        <v>161</v>
      </c>
      <c r="D1364" s="3" t="s">
        <v>38</v>
      </c>
      <c r="E1364" s="4">
        <v>45718.788194444445</v>
      </c>
      <c r="F1364" s="4">
        <v>45718.770833333336</v>
      </c>
      <c r="G1364" s="4">
        <v>45718.853472222225</v>
      </c>
      <c r="H1364" s="5">
        <v>145</v>
      </c>
      <c r="I1364" s="3" t="s">
        <v>73</v>
      </c>
      <c r="J1364" s="3" t="s">
        <v>67</v>
      </c>
      <c r="K1364" s="5">
        <v>64</v>
      </c>
      <c r="L1364" s="5">
        <v>30</v>
      </c>
      <c r="M1364" s="3" t="s">
        <v>63</v>
      </c>
      <c r="O1364" s="5">
        <v>5</v>
      </c>
      <c r="P1364" s="3" t="s">
        <v>42</v>
      </c>
      <c r="Q1364" s="2">
        <v>98.67</v>
      </c>
      <c r="R1364" s="3" t="s">
        <v>58</v>
      </c>
      <c r="S1364">
        <f>COUNTIF(A:A,A1364)</f>
        <v>1</v>
      </c>
      <c r="T1364" t="str">
        <f>IF(OR(H1364="",LOWER(TRIM(H1364&amp;""))="missing",LOWER(TRIM(H1364&amp;""))=""),"Missing/",IFERROR(IF(OR(VALUE(H1364)&lt;0,VALUE(H1364)&gt;110),"Invalid","Valid"),"Check Format"))</f>
        <v>Invalid</v>
      </c>
      <c r="U1364" t="str">
        <f>IF(Raw_Data[[#This Row],[Age_Check]]="Valid",H1364,"")</f>
        <v/>
      </c>
      <c r="V1364" t="str">
        <f>IF(OR(K1364="",UPPER(TRIM(K1364&amp;""))="",LOWER(TRIM(K1364&amp;""))="",LOWER(TRIM(K1364&amp;""))="",LOWER(TRIM(K1364&amp;""))="missing"),"Missing/",IFERROR(IF(VALUE(K1364)&lt;0,"Invalid","Valid"),"Check Format"))</f>
        <v>Valid</v>
      </c>
      <c r="W1364" t="str">
        <f>IF(OR(E1364="",F1364=""),"Missing Date/Time",IFERROR(IF(F1364&gt;E1364,"Arrival After Appointment","OK"),"Check Format"))</f>
        <v>OK</v>
      </c>
      <c r="X1364" t="str">
        <f>IF(OR(F1364="",G1364=""),"Missing Date/Time",IFERROR(IF(G1364&lt;F1364,"Discharge Before Arrival","OK"),"Check Format"))</f>
        <v>OK</v>
      </c>
    </row>
    <row r="1365" spans="1:24" x14ac:dyDescent="0.25">
      <c r="A1365" s="2" t="s">
        <v>2063</v>
      </c>
      <c r="B1365" s="2" t="s">
        <v>298</v>
      </c>
      <c r="C1365" s="3" t="s">
        <v>46</v>
      </c>
      <c r="D1365" s="3" t="s">
        <v>30</v>
      </c>
      <c r="E1365" s="4">
        <v>45711.715277777781</v>
      </c>
      <c r="F1365" s="4">
        <v>45711.709722222222</v>
      </c>
      <c r="G1365" s="4">
        <v>45711.774305555555</v>
      </c>
      <c r="I1365" s="3" t="s">
        <v>95</v>
      </c>
      <c r="J1365" s="3" t="s">
        <v>67</v>
      </c>
      <c r="K1365" s="5">
        <v>41</v>
      </c>
      <c r="L1365" s="5">
        <v>44</v>
      </c>
      <c r="N1365" t="s">
        <v>24</v>
      </c>
      <c r="P1365" s="3" t="s">
        <v>25</v>
      </c>
      <c r="Q1365" s="2">
        <v>103.58</v>
      </c>
      <c r="R1365" s="3" t="s">
        <v>26</v>
      </c>
      <c r="S1365">
        <f>COUNTIF(A:A,A1365)</f>
        <v>1</v>
      </c>
      <c r="T1365" t="str">
        <f>IF(OR(H1365="",LOWER(TRIM(H1365&amp;""))="missing",LOWER(TRIM(H1365&amp;""))=""),"Missing/",IFERROR(IF(OR(VALUE(H1365)&lt;0,VALUE(H1365)&gt;110),"Invalid","Valid"),"Check Format"))</f>
        <v>Missing/</v>
      </c>
      <c r="U1365" t="str">
        <f>IF(Raw_Data[[#This Row],[Age_Check]]="Valid",H1365,"")</f>
        <v/>
      </c>
      <c r="V1365" t="str">
        <f>IF(OR(K1365="",UPPER(TRIM(K1365&amp;""))="",LOWER(TRIM(K1365&amp;""))="",LOWER(TRIM(K1365&amp;""))="",LOWER(TRIM(K1365&amp;""))="missing"),"Missing/",IFERROR(IF(VALUE(K1365)&lt;0,"Invalid","Valid"),"Check Format"))</f>
        <v>Valid</v>
      </c>
      <c r="W1365" t="str">
        <f>IF(OR(E1365="",F1365=""),"Missing Date/Time",IFERROR(IF(F1365&gt;E1365,"Arrival After Appointment","OK"),"Check Format"))</f>
        <v>OK</v>
      </c>
      <c r="X1365" t="str">
        <f>IF(OR(F1365="",G1365=""),"Missing Date/Time",IFERROR(IF(G1365&lt;F1365,"Discharge Before Arrival","OK"),"Check Format"))</f>
        <v>OK</v>
      </c>
    </row>
    <row r="1366" spans="1:24" x14ac:dyDescent="0.25">
      <c r="A1366" s="2" t="s">
        <v>2064</v>
      </c>
      <c r="B1366" s="2" t="s">
        <v>337</v>
      </c>
      <c r="C1366" s="3" t="s">
        <v>46</v>
      </c>
      <c r="D1366" s="3" t="s">
        <v>149</v>
      </c>
      <c r="E1366" s="4" t="s">
        <v>2065</v>
      </c>
      <c r="F1366" s="4">
        <v>45892.475694444445</v>
      </c>
      <c r="G1366" s="4">
        <v>45892.569444444445</v>
      </c>
      <c r="H1366" s="5">
        <v>7</v>
      </c>
      <c r="I1366" s="3" t="s">
        <v>95</v>
      </c>
      <c r="J1366" s="3" t="s">
        <v>62</v>
      </c>
      <c r="K1366" s="5">
        <v>54</v>
      </c>
      <c r="L1366" s="5">
        <v>71</v>
      </c>
      <c r="M1366" s="3" t="s">
        <v>68</v>
      </c>
      <c r="N1366" t="s">
        <v>69</v>
      </c>
      <c r="O1366" s="5">
        <v>5</v>
      </c>
      <c r="P1366" s="3" t="s">
        <v>80</v>
      </c>
      <c r="Q1366" s="2">
        <v>31.11</v>
      </c>
      <c r="R1366" s="3" t="s">
        <v>58</v>
      </c>
      <c r="S1366">
        <f>COUNTIF(A:A,A1366)</f>
        <v>1</v>
      </c>
      <c r="T1366" t="str">
        <f>IF(OR(H1366="",LOWER(TRIM(H1366&amp;""))="missing",LOWER(TRIM(H1366&amp;""))=""),"Missing/",IFERROR(IF(OR(VALUE(H1366)&lt;0,VALUE(H1366)&gt;110),"Invalid","Valid"),"Check Format"))</f>
        <v>Valid</v>
      </c>
      <c r="U1366">
        <f>IF(Raw_Data[[#This Row],[Age_Check]]="Valid",H1366,"")</f>
        <v>7</v>
      </c>
      <c r="V1366" t="str">
        <f>IF(OR(K1366="",UPPER(TRIM(K1366&amp;""))="",LOWER(TRIM(K1366&amp;""))="",LOWER(TRIM(K1366&amp;""))="",LOWER(TRIM(K1366&amp;""))="missing"),"Missing/",IFERROR(IF(VALUE(K1366)&lt;0,"Invalid","Valid"),"Check Format"))</f>
        <v>Valid</v>
      </c>
      <c r="W1366" t="str">
        <f>IF(OR(E1366="",F1366=""),"Missing Date/Time",IFERROR(IF(F1366&gt;E1366,"Arrival After Appointment","OK"),"Check Format"))</f>
        <v>OK</v>
      </c>
      <c r="X1366" t="str">
        <f>IF(OR(F1366="",G1366=""),"Missing Date/Time",IFERROR(IF(G1366&lt;F1366,"Discharge Before Arrival","OK"),"Check Format"))</f>
        <v>OK</v>
      </c>
    </row>
    <row r="1367" spans="1:24" x14ac:dyDescent="0.25">
      <c r="A1367" s="2" t="s">
        <v>2066</v>
      </c>
      <c r="B1367" s="2" t="s">
        <v>371</v>
      </c>
      <c r="C1367" s="3" t="s">
        <v>46</v>
      </c>
      <c r="D1367" s="3" t="s">
        <v>23</v>
      </c>
      <c r="E1367" s="4">
        <v>45672.59375</v>
      </c>
      <c r="F1367" s="4">
        <v>45672.593055555553</v>
      </c>
      <c r="G1367" s="4">
        <v>45672.625694444447</v>
      </c>
      <c r="H1367" s="5">
        <v>29</v>
      </c>
      <c r="I1367" s="3" t="s">
        <v>95</v>
      </c>
      <c r="J1367" s="3" t="s">
        <v>2639</v>
      </c>
      <c r="K1367" s="5">
        <v>0</v>
      </c>
      <c r="L1367" s="5">
        <v>46</v>
      </c>
      <c r="M1367" s="3" t="s">
        <v>41</v>
      </c>
      <c r="N1367" t="s">
        <v>69</v>
      </c>
      <c r="O1367" s="5">
        <v>0</v>
      </c>
      <c r="P1367" s="3" t="s">
        <v>80</v>
      </c>
      <c r="Q1367" s="2">
        <v>90.71</v>
      </c>
      <c r="R1367" s="3" t="s">
        <v>75</v>
      </c>
      <c r="S1367">
        <f>COUNTIF(A:A,A1367)</f>
        <v>1</v>
      </c>
      <c r="T1367" t="str">
        <f>IF(OR(H1367="",LOWER(TRIM(H1367&amp;""))="missing",LOWER(TRIM(H1367&amp;""))=""),"Missing/",IFERROR(IF(OR(VALUE(H1367)&lt;0,VALUE(H1367)&gt;110),"Invalid","Valid"),"Check Format"))</f>
        <v>Valid</v>
      </c>
      <c r="U1367">
        <f>IF(Raw_Data[[#This Row],[Age_Check]]="Valid",H1367,"")</f>
        <v>29</v>
      </c>
      <c r="V1367" t="str">
        <f>IF(OR(K1367="",UPPER(TRIM(K1367&amp;""))="",LOWER(TRIM(K1367&amp;""))="",LOWER(TRIM(K1367&amp;""))="",LOWER(TRIM(K1367&amp;""))="missing"),"Missing/",IFERROR(IF(VALUE(K1367)&lt;0,"Invalid","Valid"),"Check Format"))</f>
        <v>Valid</v>
      </c>
      <c r="W1367" t="str">
        <f>IF(OR(E1367="",F1367=""),"Missing Date/Time",IFERROR(IF(F1367&gt;E1367,"Arrival After Appointment","OK"),"Check Format"))</f>
        <v>OK</v>
      </c>
      <c r="X1367" t="str">
        <f>IF(OR(F1367="",G1367=""),"Missing Date/Time",IFERROR(IF(G1367&lt;F1367,"Discharge Before Arrival","OK"),"Check Format"))</f>
        <v>OK</v>
      </c>
    </row>
    <row r="1368" spans="1:24" x14ac:dyDescent="0.25">
      <c r="A1368" s="2" t="s">
        <v>2067</v>
      </c>
      <c r="B1368" s="2" t="s">
        <v>1437</v>
      </c>
      <c r="C1368" s="3" t="s">
        <v>94</v>
      </c>
      <c r="D1368" s="3" t="s">
        <v>23</v>
      </c>
      <c r="E1368" s="4">
        <v>45874.739583333336</v>
      </c>
      <c r="F1368" s="4">
        <v>45785.73541666667</v>
      </c>
      <c r="G1368" s="4">
        <v>45785.783333333333</v>
      </c>
      <c r="H1368" s="5">
        <v>55</v>
      </c>
      <c r="I1368" s="3" t="s">
        <v>73</v>
      </c>
      <c r="J1368" s="3" t="s">
        <v>67</v>
      </c>
      <c r="K1368" s="5">
        <v>46</v>
      </c>
      <c r="L1368" s="5">
        <v>17</v>
      </c>
      <c r="M1368" s="3" t="s">
        <v>63</v>
      </c>
      <c r="N1368" t="s">
        <v>69</v>
      </c>
      <c r="P1368" s="3" t="s">
        <v>42</v>
      </c>
      <c r="Q1368" s="2">
        <v>124.22</v>
      </c>
      <c r="R1368" s="3" t="s">
        <v>26</v>
      </c>
      <c r="S1368">
        <f>COUNTIF(A:A,A1368)</f>
        <v>1</v>
      </c>
      <c r="T1368" t="str">
        <f>IF(OR(H1368="",LOWER(TRIM(H1368&amp;""))="missing",LOWER(TRIM(H1368&amp;""))=""),"Missing/",IFERROR(IF(OR(VALUE(H1368)&lt;0,VALUE(H1368)&gt;110),"Invalid","Valid"),"Check Format"))</f>
        <v>Valid</v>
      </c>
      <c r="U1368">
        <f>IF(Raw_Data[[#This Row],[Age_Check]]="Valid",H1368,"")</f>
        <v>55</v>
      </c>
      <c r="V1368" t="str">
        <f>IF(OR(K1368="",UPPER(TRIM(K1368&amp;""))="",LOWER(TRIM(K1368&amp;""))="",LOWER(TRIM(K1368&amp;""))="",LOWER(TRIM(K1368&amp;""))="missing"),"Missing/",IFERROR(IF(VALUE(K1368)&lt;0,"Invalid","Valid"),"Check Format"))</f>
        <v>Valid</v>
      </c>
      <c r="W1368" t="str">
        <f>IF(OR(E1368="",F1368=""),"Missing Date/Time",IFERROR(IF(F1368&gt;E1368,"Arrival After Appointment","OK"),"Check Format"))</f>
        <v>OK</v>
      </c>
      <c r="X1368" t="str">
        <f>IF(OR(F1368="",G1368=""),"Missing Date/Time",IFERROR(IF(G1368&lt;F1368,"Discharge Before Arrival","OK"),"Check Format"))</f>
        <v>OK</v>
      </c>
    </row>
    <row r="1369" spans="1:24" x14ac:dyDescent="0.25">
      <c r="A1369" s="2" t="s">
        <v>2068</v>
      </c>
      <c r="B1369" s="2" t="s">
        <v>490</v>
      </c>
      <c r="C1369" s="3" t="s">
        <v>19</v>
      </c>
      <c r="D1369" s="3" t="s">
        <v>55</v>
      </c>
      <c r="E1369" s="4">
        <v>45634.618055555555</v>
      </c>
      <c r="G1369" s="4">
        <v>45516.728472222225</v>
      </c>
      <c r="I1369" s="3" t="s">
        <v>95</v>
      </c>
      <c r="J1369" s="3" t="s">
        <v>171</v>
      </c>
      <c r="K1369" s="5">
        <v>113</v>
      </c>
      <c r="L1369" s="5">
        <v>46</v>
      </c>
      <c r="M1369" s="3" t="s">
        <v>87</v>
      </c>
      <c r="O1369" s="5">
        <v>3</v>
      </c>
      <c r="P1369" s="3" t="s">
        <v>42</v>
      </c>
      <c r="Q1369" s="2">
        <v>213.98</v>
      </c>
      <c r="R1369" s="3" t="s">
        <v>58</v>
      </c>
      <c r="S1369">
        <f>COUNTIF(A:A,A1369)</f>
        <v>1</v>
      </c>
      <c r="T1369" t="str">
        <f>IF(OR(H1369="",LOWER(TRIM(H1369&amp;""))="missing",LOWER(TRIM(H1369&amp;""))=""),"Missing/",IFERROR(IF(OR(VALUE(H1369)&lt;0,VALUE(H1369)&gt;110),"Invalid","Valid"),"Check Format"))</f>
        <v>Missing/</v>
      </c>
      <c r="U1369" t="str">
        <f>IF(Raw_Data[[#This Row],[Age_Check]]="Valid",H1369,"")</f>
        <v/>
      </c>
      <c r="V1369" t="str">
        <f>IF(OR(K1369="",UPPER(TRIM(K1369&amp;""))="",LOWER(TRIM(K1369&amp;""))="",LOWER(TRIM(K1369&amp;""))="",LOWER(TRIM(K1369&amp;""))="missing"),"Missing/",IFERROR(IF(VALUE(K1369)&lt;0,"Invalid","Valid"),"Check Format"))</f>
        <v>Valid</v>
      </c>
      <c r="W1369" t="str">
        <f>IF(OR(E1369="",F1369=""),"Missing Date/Time",IFERROR(IF(F1369&gt;E1369,"Arrival After Appointment","OK"),"Check Format"))</f>
        <v>Missing Date/Time</v>
      </c>
      <c r="X1369" t="str">
        <f>IF(OR(F1369="",G1369=""),"Missing Date/Time",IFERROR(IF(G1369&lt;F1369,"Discharge Before Arrival","OK"),"Check Format"))</f>
        <v>Missing Date/Time</v>
      </c>
    </row>
    <row r="1370" spans="1:24" x14ac:dyDescent="0.25">
      <c r="A1370" s="2" t="s">
        <v>2069</v>
      </c>
      <c r="B1370" s="2" t="s">
        <v>807</v>
      </c>
      <c r="C1370" s="3" t="s">
        <v>29</v>
      </c>
      <c r="D1370" s="3" t="s">
        <v>47</v>
      </c>
      <c r="E1370" s="4">
        <v>45487.427083333336</v>
      </c>
      <c r="F1370" s="4">
        <v>45487.410416666666</v>
      </c>
      <c r="G1370" s="4">
        <v>45487.44027777778</v>
      </c>
      <c r="I1370" s="3" t="s">
        <v>73</v>
      </c>
      <c r="J1370" s="3" t="s">
        <v>62</v>
      </c>
      <c r="K1370" s="5">
        <v>8</v>
      </c>
      <c r="L1370" s="5">
        <v>11</v>
      </c>
      <c r="M1370" s="3" t="s">
        <v>87</v>
      </c>
      <c r="N1370" t="s">
        <v>103</v>
      </c>
      <c r="O1370" s="5">
        <v>0</v>
      </c>
      <c r="P1370" s="3" t="s">
        <v>25</v>
      </c>
      <c r="Q1370" s="2">
        <v>0</v>
      </c>
      <c r="R1370" s="3" t="s">
        <v>75</v>
      </c>
      <c r="S1370">
        <f>COUNTIF(A:A,A1370)</f>
        <v>1</v>
      </c>
      <c r="T1370" t="str">
        <f>IF(OR(H1370="",LOWER(TRIM(H1370&amp;""))="missing",LOWER(TRIM(H1370&amp;""))=""),"Missing/",IFERROR(IF(OR(VALUE(H1370)&lt;0,VALUE(H1370)&gt;110),"Invalid","Valid"),"Check Format"))</f>
        <v>Missing/</v>
      </c>
      <c r="U1370" t="str">
        <f>IF(Raw_Data[[#This Row],[Age_Check]]="Valid",H1370,"")</f>
        <v/>
      </c>
      <c r="V1370" t="str">
        <f>IF(OR(K1370="",UPPER(TRIM(K1370&amp;""))="",LOWER(TRIM(K1370&amp;""))="",LOWER(TRIM(K1370&amp;""))="",LOWER(TRIM(K1370&amp;""))="missing"),"Missing/",IFERROR(IF(VALUE(K1370)&lt;0,"Invalid","Valid"),"Check Format"))</f>
        <v>Valid</v>
      </c>
      <c r="W1370" t="str">
        <f>IF(OR(E1370="",F1370=""),"Missing Date/Time",IFERROR(IF(F1370&gt;E1370,"Arrival After Appointment","OK"),"Check Format"))</f>
        <v>OK</v>
      </c>
      <c r="X1370" t="str">
        <f>IF(OR(F1370="",G1370=""),"Missing Date/Time",IFERROR(IF(G1370&lt;F1370,"Discharge Before Arrival","OK"),"Check Format"))</f>
        <v>OK</v>
      </c>
    </row>
    <row r="1371" spans="1:24" x14ac:dyDescent="0.25">
      <c r="A1371" s="2" t="s">
        <v>2070</v>
      </c>
      <c r="B1371" s="2" t="s">
        <v>662</v>
      </c>
      <c r="C1371" s="3" t="s">
        <v>94</v>
      </c>
      <c r="D1371" s="3" t="s">
        <v>115</v>
      </c>
      <c r="E1371" s="4">
        <v>45723.701388888891</v>
      </c>
      <c r="F1371" s="4">
        <v>45723.682638888888</v>
      </c>
      <c r="G1371" s="4">
        <v>45723.755555555559</v>
      </c>
      <c r="I1371" s="3" t="s">
        <v>95</v>
      </c>
      <c r="J1371" s="3" t="s">
        <v>67</v>
      </c>
      <c r="K1371" s="5">
        <v>29</v>
      </c>
      <c r="L1371" s="5">
        <v>49</v>
      </c>
      <c r="M1371" s="3" t="s">
        <v>23</v>
      </c>
      <c r="N1371" t="s">
        <v>91</v>
      </c>
      <c r="O1371" s="5">
        <v>5</v>
      </c>
      <c r="P1371" s="3" t="s">
        <v>80</v>
      </c>
      <c r="Q1371" s="2">
        <v>186.36</v>
      </c>
      <c r="R1371" s="3" t="s">
        <v>43</v>
      </c>
      <c r="S1371">
        <f>COUNTIF(A:A,A1371)</f>
        <v>1</v>
      </c>
      <c r="T1371" t="str">
        <f>IF(OR(H1371="",LOWER(TRIM(H1371&amp;""))="missing",LOWER(TRIM(H1371&amp;""))=""),"Missing/",IFERROR(IF(OR(VALUE(H1371)&lt;0,VALUE(H1371)&gt;110),"Invalid","Valid"),"Check Format"))</f>
        <v>Missing/</v>
      </c>
      <c r="U1371" t="str">
        <f>IF(Raw_Data[[#This Row],[Age_Check]]="Valid",H1371,"")</f>
        <v/>
      </c>
      <c r="V1371" t="str">
        <f>IF(OR(K1371="",UPPER(TRIM(K1371&amp;""))="",LOWER(TRIM(K1371&amp;""))="",LOWER(TRIM(K1371&amp;""))="",LOWER(TRIM(K1371&amp;""))="missing"),"Missing/",IFERROR(IF(VALUE(K1371)&lt;0,"Invalid","Valid"),"Check Format"))</f>
        <v>Valid</v>
      </c>
      <c r="W1371" t="str">
        <f>IF(OR(E1371="",F1371=""),"Missing Date/Time",IFERROR(IF(F1371&gt;E1371,"Arrival After Appointment","OK"),"Check Format"))</f>
        <v>OK</v>
      </c>
      <c r="X1371" t="str">
        <f>IF(OR(F1371="",G1371=""),"Missing Date/Time",IFERROR(IF(G1371&lt;F1371,"Discharge Before Arrival","OK"),"Check Format"))</f>
        <v>OK</v>
      </c>
    </row>
    <row r="1372" spans="1:24" x14ac:dyDescent="0.25">
      <c r="A1372" s="2" t="s">
        <v>1656</v>
      </c>
      <c r="B1372" s="2" t="s">
        <v>357</v>
      </c>
      <c r="D1372" s="3" t="s">
        <v>115</v>
      </c>
      <c r="E1372" s="4">
        <v>45345.777777777781</v>
      </c>
      <c r="F1372" s="4">
        <v>45345.776388888888</v>
      </c>
      <c r="G1372" s="4">
        <v>45345.864583333336</v>
      </c>
      <c r="I1372" s="3" t="s">
        <v>73</v>
      </c>
      <c r="J1372" s="3" t="s">
        <v>150</v>
      </c>
      <c r="K1372" s="5">
        <v>72</v>
      </c>
      <c r="L1372" s="5">
        <v>53</v>
      </c>
      <c r="M1372" s="3" t="s">
        <v>23</v>
      </c>
      <c r="N1372" t="s">
        <v>103</v>
      </c>
      <c r="O1372" s="5">
        <v>0</v>
      </c>
      <c r="P1372" s="3" t="s">
        <v>25</v>
      </c>
      <c r="Q1372" s="2">
        <v>35.270000000000003</v>
      </c>
      <c r="R1372" s="3" t="s">
        <v>58</v>
      </c>
      <c r="S1372">
        <f>COUNTIF(A:A,A1372)</f>
        <v>2</v>
      </c>
      <c r="T1372" t="str">
        <f>IF(OR(H1372="",LOWER(TRIM(H1372&amp;""))="missing",LOWER(TRIM(H1372&amp;""))=""),"Missing/",IFERROR(IF(OR(VALUE(H1372)&lt;0,VALUE(H1372)&gt;110),"Invalid","Valid"),"Check Format"))</f>
        <v>Missing/</v>
      </c>
      <c r="U1372" t="str">
        <f>IF(Raw_Data[[#This Row],[Age_Check]]="Valid",H1372,"")</f>
        <v/>
      </c>
      <c r="V1372" t="str">
        <f>IF(OR(K1372="",UPPER(TRIM(K1372&amp;""))="",LOWER(TRIM(K1372&amp;""))="",LOWER(TRIM(K1372&amp;""))="",LOWER(TRIM(K1372&amp;""))="missing"),"Missing/",IFERROR(IF(VALUE(K1372)&lt;0,"Invalid","Valid"),"Check Format"))</f>
        <v>Valid</v>
      </c>
      <c r="W1372" t="str">
        <f>IF(OR(E1372="",F1372=""),"Missing Date/Time",IFERROR(IF(F1372&gt;E1372,"Arrival After Appointment","OK"),"Check Format"))</f>
        <v>OK</v>
      </c>
      <c r="X1372" t="str">
        <f>IF(OR(F1372="",G1372=""),"Missing Date/Time",IFERROR(IF(G1372&lt;F1372,"Discharge Before Arrival","OK"),"Check Format"))</f>
        <v>OK</v>
      </c>
    </row>
    <row r="1373" spans="1:24" x14ac:dyDescent="0.25">
      <c r="A1373" s="2" t="s">
        <v>2073</v>
      </c>
      <c r="B1373" s="2" t="s">
        <v>186</v>
      </c>
      <c r="C1373" s="3" t="s">
        <v>46</v>
      </c>
      <c r="D1373" s="3" t="s">
        <v>174</v>
      </c>
      <c r="E1373" s="4">
        <v>45953.59375</v>
      </c>
      <c r="F1373" s="4">
        <v>45953.581250000003</v>
      </c>
      <c r="G1373" s="4">
        <v>45953.674305555556</v>
      </c>
      <c r="H1373" s="5">
        <v>31</v>
      </c>
      <c r="J1373" s="3" t="s">
        <v>22</v>
      </c>
      <c r="K1373" s="5">
        <v>68</v>
      </c>
      <c r="L1373" s="5">
        <v>48</v>
      </c>
      <c r="M1373" s="3" t="s">
        <v>41</v>
      </c>
      <c r="O1373" s="5">
        <v>1</v>
      </c>
      <c r="P1373" s="3" t="s">
        <v>25</v>
      </c>
      <c r="Q1373" s="2">
        <v>111.79</v>
      </c>
      <c r="R1373" s="3" t="s">
        <v>75</v>
      </c>
      <c r="S1373">
        <f>COUNTIF(A:A,A1373)</f>
        <v>1</v>
      </c>
      <c r="T1373" t="str">
        <f>IF(OR(H1373="",LOWER(TRIM(H1373&amp;""))="missing",LOWER(TRIM(H1373&amp;""))=""),"Missing/",IFERROR(IF(OR(VALUE(H1373)&lt;0,VALUE(H1373)&gt;110),"Invalid","Valid"),"Check Format"))</f>
        <v>Valid</v>
      </c>
      <c r="U1373">
        <f>IF(Raw_Data[[#This Row],[Age_Check]]="Valid",H1373,"")</f>
        <v>31</v>
      </c>
      <c r="V1373" t="str">
        <f>IF(OR(K1373="",UPPER(TRIM(K1373&amp;""))="",LOWER(TRIM(K1373&amp;""))="",LOWER(TRIM(K1373&amp;""))="",LOWER(TRIM(K1373&amp;""))="missing"),"Missing/",IFERROR(IF(VALUE(K1373)&lt;0,"Invalid","Valid"),"Check Format"))</f>
        <v>Valid</v>
      </c>
      <c r="W1373" t="str">
        <f>IF(OR(E1373="",F1373=""),"Missing Date/Time",IFERROR(IF(F1373&gt;E1373,"Arrival After Appointment","OK"),"Check Format"))</f>
        <v>OK</v>
      </c>
      <c r="X1373" t="str">
        <f>IF(OR(F1373="",G1373=""),"Missing Date/Time",IFERROR(IF(G1373&lt;F1373,"Discharge Before Arrival","OK"),"Check Format"))</f>
        <v>OK</v>
      </c>
    </row>
    <row r="1374" spans="1:24" x14ac:dyDescent="0.25">
      <c r="A1374" s="2" t="s">
        <v>2074</v>
      </c>
      <c r="B1374" s="2" t="s">
        <v>369</v>
      </c>
      <c r="C1374" s="3" t="s">
        <v>94</v>
      </c>
      <c r="D1374" s="3" t="s">
        <v>20</v>
      </c>
      <c r="E1374" s="4">
        <v>45397.517361111109</v>
      </c>
      <c r="F1374" s="4">
        <v>45397.504166666666</v>
      </c>
      <c r="G1374" s="4">
        <v>45397.631249999999</v>
      </c>
      <c r="I1374" s="3" t="s">
        <v>95</v>
      </c>
      <c r="J1374" s="3" t="s">
        <v>67</v>
      </c>
      <c r="K1374" s="5">
        <v>82</v>
      </c>
      <c r="L1374" s="5">
        <v>82</v>
      </c>
      <c r="M1374" s="3" t="s">
        <v>50</v>
      </c>
      <c r="Q1374" s="2">
        <v>136.65</v>
      </c>
      <c r="R1374" s="3" t="s">
        <v>58</v>
      </c>
      <c r="S1374">
        <f>COUNTIF(A:A,A1374)</f>
        <v>1</v>
      </c>
      <c r="T1374" t="str">
        <f>IF(OR(H1374="",LOWER(TRIM(H1374&amp;""))="missing",LOWER(TRIM(H1374&amp;""))=""),"Missing/",IFERROR(IF(OR(VALUE(H1374)&lt;0,VALUE(H1374)&gt;110),"Invalid","Valid"),"Check Format"))</f>
        <v>Missing/</v>
      </c>
      <c r="U1374" t="str">
        <f>IF(Raw_Data[[#This Row],[Age_Check]]="Valid",H1374,"")</f>
        <v/>
      </c>
      <c r="V1374" t="str">
        <f>IF(OR(K1374="",UPPER(TRIM(K1374&amp;""))="",LOWER(TRIM(K1374&amp;""))="",LOWER(TRIM(K1374&amp;""))="",LOWER(TRIM(K1374&amp;""))="missing"),"Missing/",IFERROR(IF(VALUE(K1374)&lt;0,"Invalid","Valid"),"Check Format"))</f>
        <v>Valid</v>
      </c>
      <c r="W1374" t="str">
        <f>IF(OR(E1374="",F1374=""),"Missing Date/Time",IFERROR(IF(F1374&gt;E1374,"Arrival After Appointment","OK"),"Check Format"))</f>
        <v>OK</v>
      </c>
      <c r="X1374" t="str">
        <f>IF(OR(F1374="",G1374=""),"Missing Date/Time",IFERROR(IF(G1374&lt;F1374,"Discharge Before Arrival","OK"),"Check Format"))</f>
        <v>OK</v>
      </c>
    </row>
    <row r="1375" spans="1:24" x14ac:dyDescent="0.25">
      <c r="A1375" s="2" t="s">
        <v>2075</v>
      </c>
      <c r="B1375" s="2" t="s">
        <v>1485</v>
      </c>
      <c r="C1375" s="3" t="s">
        <v>46</v>
      </c>
      <c r="D1375" s="3" t="s">
        <v>115</v>
      </c>
      <c r="E1375" s="4">
        <v>45495.357638888891</v>
      </c>
      <c r="F1375" s="4">
        <v>45495.338888888888</v>
      </c>
      <c r="I1375" s="3" t="s">
        <v>73</v>
      </c>
      <c r="J1375" s="3" t="s">
        <v>67</v>
      </c>
      <c r="K1375" s="5">
        <v>71</v>
      </c>
      <c r="L1375" s="5">
        <v>18</v>
      </c>
      <c r="M1375" s="3" t="s">
        <v>50</v>
      </c>
      <c r="N1375" t="s">
        <v>69</v>
      </c>
      <c r="P1375" s="3" t="s">
        <v>42</v>
      </c>
      <c r="Q1375" s="2">
        <v>159.5</v>
      </c>
      <c r="R1375" s="3" t="s">
        <v>75</v>
      </c>
      <c r="S1375">
        <f>COUNTIF(A:A,A1375)</f>
        <v>1</v>
      </c>
      <c r="T1375" t="str">
        <f>IF(OR(H1375="",LOWER(TRIM(H1375&amp;""))="missing",LOWER(TRIM(H1375&amp;""))=""),"Missing/",IFERROR(IF(OR(VALUE(H1375)&lt;0,VALUE(H1375)&gt;110),"Invalid","Valid"),"Check Format"))</f>
        <v>Missing/</v>
      </c>
      <c r="U1375" t="str">
        <f>IF(Raw_Data[[#This Row],[Age_Check]]="Valid",H1375,"")</f>
        <v/>
      </c>
      <c r="V1375" t="str">
        <f>IF(OR(K1375="",UPPER(TRIM(K1375&amp;""))="",LOWER(TRIM(K1375&amp;""))="",LOWER(TRIM(K1375&amp;""))="",LOWER(TRIM(K1375&amp;""))="missing"),"Missing/",IFERROR(IF(VALUE(K1375)&lt;0,"Invalid","Valid"),"Check Format"))</f>
        <v>Valid</v>
      </c>
      <c r="W1375" t="str">
        <f>IF(OR(E1375="",F1375=""),"Missing Date/Time",IFERROR(IF(F1375&gt;E1375,"Arrival After Appointment","OK"),"Check Format"))</f>
        <v>OK</v>
      </c>
      <c r="X1375" t="str">
        <f>IF(OR(F1375="",G1375=""),"Missing Date/Time",IFERROR(IF(G1375&lt;F1375,"Discharge Before Arrival","OK"),"Check Format"))</f>
        <v>Missing Date/Time</v>
      </c>
    </row>
    <row r="1376" spans="1:24" x14ac:dyDescent="0.25">
      <c r="A1376" s="2" t="s">
        <v>2076</v>
      </c>
      <c r="B1376" s="2" t="s">
        <v>125</v>
      </c>
      <c r="C1376" s="3" t="s">
        <v>37</v>
      </c>
      <c r="D1376" s="3" t="s">
        <v>61</v>
      </c>
      <c r="E1376" s="4">
        <v>46013.381944444445</v>
      </c>
      <c r="F1376" s="4">
        <v>46013.380555555559</v>
      </c>
      <c r="G1376" s="4">
        <v>46013.457638888889</v>
      </c>
      <c r="H1376" s="5">
        <v>50</v>
      </c>
      <c r="J1376" s="3" t="s">
        <v>2639</v>
      </c>
      <c r="K1376" s="5">
        <v>74</v>
      </c>
      <c r="L1376" s="5">
        <v>35</v>
      </c>
      <c r="M1376" s="3" t="s">
        <v>23</v>
      </c>
      <c r="N1376" t="s">
        <v>74</v>
      </c>
      <c r="P1376" s="3" t="s">
        <v>25</v>
      </c>
      <c r="Q1376" s="2">
        <v>63.42</v>
      </c>
      <c r="R1376" s="3" t="s">
        <v>58</v>
      </c>
      <c r="S1376">
        <f>COUNTIF(A:A,A1376)</f>
        <v>1</v>
      </c>
      <c r="T1376" t="str">
        <f>IF(OR(H1376="",LOWER(TRIM(H1376&amp;""))="missing",LOWER(TRIM(H1376&amp;""))=""),"Missing/",IFERROR(IF(OR(VALUE(H1376)&lt;0,VALUE(H1376)&gt;110),"Invalid","Valid"),"Check Format"))</f>
        <v>Valid</v>
      </c>
      <c r="U1376">
        <f>IF(Raw_Data[[#This Row],[Age_Check]]="Valid",H1376,"")</f>
        <v>50</v>
      </c>
      <c r="V1376" t="str">
        <f>IF(OR(K1376="",UPPER(TRIM(K1376&amp;""))="",LOWER(TRIM(K1376&amp;""))="",LOWER(TRIM(K1376&amp;""))="",LOWER(TRIM(K1376&amp;""))="missing"),"Missing/",IFERROR(IF(VALUE(K1376)&lt;0,"Invalid","Valid"),"Check Format"))</f>
        <v>Valid</v>
      </c>
      <c r="W1376" t="str">
        <f>IF(OR(E1376="",F1376=""),"Missing Date/Time",IFERROR(IF(F1376&gt;E1376,"Arrival After Appointment","OK"),"Check Format"))</f>
        <v>OK</v>
      </c>
      <c r="X1376" t="str">
        <f>IF(OR(F1376="",G1376=""),"Missing Date/Time",IFERROR(IF(G1376&lt;F1376,"Discharge Before Arrival","OK"),"Check Format"))</f>
        <v>OK</v>
      </c>
    </row>
    <row r="1377" spans="1:24" x14ac:dyDescent="0.25">
      <c r="A1377" s="2" t="s">
        <v>2077</v>
      </c>
      <c r="B1377" s="2" t="s">
        <v>844</v>
      </c>
      <c r="C1377" s="3" t="s">
        <v>37</v>
      </c>
      <c r="D1377" s="3" t="s">
        <v>61</v>
      </c>
      <c r="E1377" s="4" t="s">
        <v>2078</v>
      </c>
      <c r="F1377" s="4">
        <v>45504.745833333334</v>
      </c>
      <c r="G1377" s="4">
        <v>45504.842361111114</v>
      </c>
      <c r="I1377" s="3" t="s">
        <v>73</v>
      </c>
      <c r="J1377" s="3" t="s">
        <v>67</v>
      </c>
      <c r="K1377" s="5">
        <v>65</v>
      </c>
      <c r="L1377" s="5">
        <v>58</v>
      </c>
      <c r="M1377" s="3" t="s">
        <v>32</v>
      </c>
      <c r="N1377" t="s">
        <v>69</v>
      </c>
      <c r="P1377" s="3" t="s">
        <v>25</v>
      </c>
      <c r="Q1377" s="2">
        <v>180.89</v>
      </c>
      <c r="R1377" s="3" t="s">
        <v>58</v>
      </c>
      <c r="S1377">
        <f>COUNTIF(A:A,A1377)</f>
        <v>1</v>
      </c>
      <c r="T1377" t="str">
        <f>IF(OR(H1377="",LOWER(TRIM(H1377&amp;""))="missing",LOWER(TRIM(H1377&amp;""))=""),"Missing/",IFERROR(IF(OR(VALUE(H1377)&lt;0,VALUE(H1377)&gt;110),"Invalid","Valid"),"Check Format"))</f>
        <v>Missing/</v>
      </c>
      <c r="U1377" t="str">
        <f>IF(Raw_Data[[#This Row],[Age_Check]]="Valid",H1377,"")</f>
        <v/>
      </c>
      <c r="V1377" t="str">
        <f>IF(OR(K1377="",UPPER(TRIM(K1377&amp;""))="",LOWER(TRIM(K1377&amp;""))="",LOWER(TRIM(K1377&amp;""))="",LOWER(TRIM(K1377&amp;""))="missing"),"Missing/",IFERROR(IF(VALUE(K1377)&lt;0,"Invalid","Valid"),"Check Format"))</f>
        <v>Valid</v>
      </c>
      <c r="W1377" t="str">
        <f>IF(OR(E1377="",F1377=""),"Missing Date/Time",IFERROR(IF(F1377&gt;E1377,"Arrival After Appointment","OK"),"Check Format"))</f>
        <v>OK</v>
      </c>
      <c r="X1377" t="str">
        <f>IF(OR(F1377="",G1377=""),"Missing Date/Time",IFERROR(IF(G1377&lt;F1377,"Discharge Before Arrival","OK"),"Check Format"))</f>
        <v>OK</v>
      </c>
    </row>
    <row r="1378" spans="1:24" x14ac:dyDescent="0.25">
      <c r="A1378" s="2" t="s">
        <v>2079</v>
      </c>
      <c r="B1378" s="2" t="s">
        <v>1234</v>
      </c>
      <c r="C1378" s="3" t="s">
        <v>29</v>
      </c>
      <c r="D1378" s="3" t="s">
        <v>47</v>
      </c>
      <c r="E1378" s="4">
        <v>46016.743055555555</v>
      </c>
      <c r="F1378" s="4">
        <v>46016.724999999999</v>
      </c>
      <c r="G1378" s="4">
        <v>46016.824999999997</v>
      </c>
      <c r="J1378" s="3" t="s">
        <v>150</v>
      </c>
      <c r="K1378" s="5">
        <v>91</v>
      </c>
      <c r="L1378" s="5">
        <v>27</v>
      </c>
      <c r="M1378" s="3" t="s">
        <v>63</v>
      </c>
      <c r="N1378" t="s">
        <v>103</v>
      </c>
      <c r="P1378" s="3" t="s">
        <v>80</v>
      </c>
      <c r="Q1378" s="2">
        <v>204.99</v>
      </c>
      <c r="R1378" s="3" t="s">
        <v>26</v>
      </c>
      <c r="S1378">
        <f>COUNTIF(A:A,A1378)</f>
        <v>1</v>
      </c>
      <c r="T1378" t="str">
        <f>IF(OR(H1378="",LOWER(TRIM(H1378&amp;""))="missing",LOWER(TRIM(H1378&amp;""))=""),"Missing/",IFERROR(IF(OR(VALUE(H1378)&lt;0,VALUE(H1378)&gt;110),"Invalid","Valid"),"Check Format"))</f>
        <v>Missing/</v>
      </c>
      <c r="U1378" t="str">
        <f>IF(Raw_Data[[#This Row],[Age_Check]]="Valid",H1378,"")</f>
        <v/>
      </c>
      <c r="V1378" t="str">
        <f>IF(OR(K1378="",UPPER(TRIM(K1378&amp;""))="",LOWER(TRIM(K1378&amp;""))="",LOWER(TRIM(K1378&amp;""))="",LOWER(TRIM(K1378&amp;""))="missing"),"Missing/",IFERROR(IF(VALUE(K1378)&lt;0,"Invalid","Valid"),"Check Format"))</f>
        <v>Valid</v>
      </c>
      <c r="W1378" t="str">
        <f>IF(OR(E1378="",F1378=""),"Missing Date/Time",IFERROR(IF(F1378&gt;E1378,"Arrival After Appointment","OK"),"Check Format"))</f>
        <v>OK</v>
      </c>
      <c r="X1378" t="str">
        <f>IF(OR(F1378="",G1378=""),"Missing Date/Time",IFERROR(IF(G1378&lt;F1378,"Discharge Before Arrival","OK"),"Check Format"))</f>
        <v>OK</v>
      </c>
    </row>
    <row r="1379" spans="1:24" x14ac:dyDescent="0.25">
      <c r="A1379" s="2" t="s">
        <v>2080</v>
      </c>
      <c r="B1379" s="2" t="s">
        <v>1359</v>
      </c>
      <c r="C1379" s="3" t="s">
        <v>94</v>
      </c>
      <c r="D1379" s="3" t="s">
        <v>149</v>
      </c>
      <c r="E1379" s="4">
        <v>46020.506944444445</v>
      </c>
      <c r="F1379" s="4">
        <v>46020.486805555556</v>
      </c>
      <c r="G1379" s="4">
        <v>46020.563194444447</v>
      </c>
      <c r="K1379" s="5">
        <v>67</v>
      </c>
      <c r="L1379" s="5">
        <v>14</v>
      </c>
      <c r="M1379" s="3" t="s">
        <v>63</v>
      </c>
      <c r="N1379" t="s">
        <v>24</v>
      </c>
      <c r="O1379" s="5">
        <v>6</v>
      </c>
      <c r="P1379" s="3" t="s">
        <v>25</v>
      </c>
      <c r="Q1379" s="2">
        <v>170.48</v>
      </c>
      <c r="R1379" s="3" t="s">
        <v>26</v>
      </c>
      <c r="S1379">
        <f>COUNTIF(A:A,A1379)</f>
        <v>1</v>
      </c>
      <c r="T1379" t="str">
        <f>IF(OR(H1379="",LOWER(TRIM(H1379&amp;""))="missing",LOWER(TRIM(H1379&amp;""))=""),"Missing/",IFERROR(IF(OR(VALUE(H1379)&lt;0,VALUE(H1379)&gt;110),"Invalid","Valid"),"Check Format"))</f>
        <v>Missing/</v>
      </c>
      <c r="U1379" t="str">
        <f>IF(Raw_Data[[#This Row],[Age_Check]]="Valid",H1379,"")</f>
        <v/>
      </c>
      <c r="V1379" t="str">
        <f>IF(OR(K1379="",UPPER(TRIM(K1379&amp;""))="",LOWER(TRIM(K1379&amp;""))="",LOWER(TRIM(K1379&amp;""))="",LOWER(TRIM(K1379&amp;""))="missing"),"Missing/",IFERROR(IF(VALUE(K1379)&lt;0,"Invalid","Valid"),"Check Format"))</f>
        <v>Valid</v>
      </c>
      <c r="W1379" t="str">
        <f>IF(OR(E1379="",F1379=""),"Missing Date/Time",IFERROR(IF(F1379&gt;E1379,"Arrival After Appointment","OK"),"Check Format"))</f>
        <v>OK</v>
      </c>
      <c r="X1379" t="str">
        <f>IF(OR(F1379="",G1379=""),"Missing Date/Time",IFERROR(IF(G1379&lt;F1379,"Discharge Before Arrival","OK"),"Check Format"))</f>
        <v>OK</v>
      </c>
    </row>
    <row r="1380" spans="1:24" x14ac:dyDescent="0.25">
      <c r="A1380" s="2" t="s">
        <v>2081</v>
      </c>
      <c r="B1380" s="2" t="s">
        <v>305</v>
      </c>
      <c r="C1380" s="3" t="s">
        <v>46</v>
      </c>
      <c r="D1380" s="3" t="s">
        <v>115</v>
      </c>
      <c r="E1380" s="4" t="s">
        <v>2082</v>
      </c>
      <c r="F1380" s="4">
        <v>45562.484027777777</v>
      </c>
      <c r="G1380" s="4">
        <v>45562.529861111114</v>
      </c>
      <c r="H1380" s="5">
        <v>19</v>
      </c>
      <c r="J1380" s="3" t="s">
        <v>67</v>
      </c>
      <c r="K1380" s="5">
        <v>23</v>
      </c>
      <c r="L1380" s="5">
        <v>20</v>
      </c>
      <c r="N1380" t="s">
        <v>103</v>
      </c>
      <c r="P1380" s="3" t="s">
        <v>80</v>
      </c>
      <c r="Q1380" s="2">
        <v>160.15</v>
      </c>
      <c r="R1380" s="3" t="s">
        <v>43</v>
      </c>
      <c r="S1380">
        <f>COUNTIF(A:A,A1380)</f>
        <v>1</v>
      </c>
      <c r="T1380" t="str">
        <f>IF(OR(H1380="",LOWER(TRIM(H1380&amp;""))="missing",LOWER(TRIM(H1380&amp;""))=""),"Missing/",IFERROR(IF(OR(VALUE(H1380)&lt;0,VALUE(H1380)&gt;110),"Invalid","Valid"),"Check Format"))</f>
        <v>Valid</v>
      </c>
      <c r="U1380">
        <f>IF(Raw_Data[[#This Row],[Age_Check]]="Valid",H1380,"")</f>
        <v>19</v>
      </c>
      <c r="V1380" t="str">
        <f>IF(OR(K1380="",UPPER(TRIM(K1380&amp;""))="",LOWER(TRIM(K1380&amp;""))="",LOWER(TRIM(K1380&amp;""))="",LOWER(TRIM(K1380&amp;""))="missing"),"Missing/",IFERROR(IF(VALUE(K1380)&lt;0,"Invalid","Valid"),"Check Format"))</f>
        <v>Valid</v>
      </c>
      <c r="W1380" t="str">
        <f>IF(OR(E1380="",F1380=""),"Missing Date/Time",IFERROR(IF(F1380&gt;E1380,"Arrival After Appointment","OK"),"Check Format"))</f>
        <v>OK</v>
      </c>
      <c r="X1380" t="str">
        <f>IF(OR(F1380="",G1380=""),"Missing Date/Time",IFERROR(IF(G1380&lt;F1380,"Discharge Before Arrival","OK"),"Check Format"))</f>
        <v>OK</v>
      </c>
    </row>
    <row r="1381" spans="1:24" x14ac:dyDescent="0.25">
      <c r="A1381" s="2" t="s">
        <v>2083</v>
      </c>
      <c r="B1381" s="2" t="s">
        <v>117</v>
      </c>
      <c r="C1381" s="3" t="s">
        <v>19</v>
      </c>
      <c r="D1381" s="3" t="s">
        <v>55</v>
      </c>
      <c r="F1381" s="4">
        <v>45833.564583333333</v>
      </c>
      <c r="I1381" s="3" t="s">
        <v>73</v>
      </c>
      <c r="J1381" s="3" t="s">
        <v>150</v>
      </c>
      <c r="K1381" s="5">
        <v>68</v>
      </c>
      <c r="L1381" s="5">
        <v>10</v>
      </c>
      <c r="M1381" s="3" t="s">
        <v>87</v>
      </c>
      <c r="O1381" s="5">
        <v>1</v>
      </c>
      <c r="P1381" s="3" t="s">
        <v>25</v>
      </c>
      <c r="Q1381" s="2">
        <v>229.32</v>
      </c>
      <c r="R1381" s="3" t="s">
        <v>58</v>
      </c>
      <c r="S1381">
        <f>COUNTIF(A:A,A1381)</f>
        <v>1</v>
      </c>
      <c r="T1381" t="str">
        <f>IF(OR(H1381="",LOWER(TRIM(H1381&amp;""))="missing",LOWER(TRIM(H1381&amp;""))=""),"Missing/",IFERROR(IF(OR(VALUE(H1381)&lt;0,VALUE(H1381)&gt;110),"Invalid","Valid"),"Check Format"))</f>
        <v>Missing/</v>
      </c>
      <c r="U1381" t="str">
        <f>IF(Raw_Data[[#This Row],[Age_Check]]="Valid",H1381,"")</f>
        <v/>
      </c>
      <c r="V1381" t="str">
        <f>IF(OR(K1381="",UPPER(TRIM(K1381&amp;""))="",LOWER(TRIM(K1381&amp;""))="",LOWER(TRIM(K1381&amp;""))="",LOWER(TRIM(K1381&amp;""))="missing"),"Missing/",IFERROR(IF(VALUE(K1381)&lt;0,"Invalid","Valid"),"Check Format"))</f>
        <v>Valid</v>
      </c>
      <c r="W1381" t="str">
        <f>IF(OR(E1381="",F1381=""),"Missing Date/Time",IFERROR(IF(F1381&gt;E1381,"Arrival After Appointment","OK"),"Check Format"))</f>
        <v>Missing Date/Time</v>
      </c>
      <c r="X1381" t="str">
        <f>IF(OR(F1381="",G1381=""),"Missing Date/Time",IFERROR(IF(G1381&lt;F1381,"Discharge Before Arrival","OK"),"Check Format"))</f>
        <v>Missing Date/Time</v>
      </c>
    </row>
    <row r="1382" spans="1:24" x14ac:dyDescent="0.25">
      <c r="A1382" s="2" t="s">
        <v>2084</v>
      </c>
      <c r="B1382" s="2" t="s">
        <v>745</v>
      </c>
      <c r="C1382" s="3" t="s">
        <v>46</v>
      </c>
      <c r="D1382" s="3" t="s">
        <v>174</v>
      </c>
      <c r="E1382" s="4">
        <v>45598.666666666664</v>
      </c>
      <c r="F1382" s="4">
        <v>45598.650694444441</v>
      </c>
      <c r="G1382" s="4">
        <v>45598.734027777777</v>
      </c>
      <c r="I1382" s="3" t="s">
        <v>73</v>
      </c>
      <c r="J1382" s="3" t="s">
        <v>2639</v>
      </c>
      <c r="K1382" s="5">
        <v>78</v>
      </c>
      <c r="L1382" s="5">
        <v>19</v>
      </c>
      <c r="N1382" t="s">
        <v>100</v>
      </c>
      <c r="O1382" s="5">
        <v>2</v>
      </c>
      <c r="Q1382" s="2">
        <v>21.99</v>
      </c>
      <c r="R1382" s="3" t="s">
        <v>43</v>
      </c>
      <c r="S1382">
        <f>COUNTIF(A:A,A1382)</f>
        <v>1</v>
      </c>
      <c r="T1382" t="str">
        <f>IF(OR(H1382="",LOWER(TRIM(H1382&amp;""))="missing",LOWER(TRIM(H1382&amp;""))=""),"Missing/",IFERROR(IF(OR(VALUE(H1382)&lt;0,VALUE(H1382)&gt;110),"Invalid","Valid"),"Check Format"))</f>
        <v>Missing/</v>
      </c>
      <c r="U1382" t="str">
        <f>IF(Raw_Data[[#This Row],[Age_Check]]="Valid",H1382,"")</f>
        <v/>
      </c>
      <c r="V1382" t="str">
        <f>IF(OR(K1382="",UPPER(TRIM(K1382&amp;""))="",LOWER(TRIM(K1382&amp;""))="",LOWER(TRIM(K1382&amp;""))="",LOWER(TRIM(K1382&amp;""))="missing"),"Missing/",IFERROR(IF(VALUE(K1382)&lt;0,"Invalid","Valid"),"Check Format"))</f>
        <v>Valid</v>
      </c>
      <c r="W1382" t="str">
        <f>IF(OR(E1382="",F1382=""),"Missing Date/Time",IFERROR(IF(F1382&gt;E1382,"Arrival After Appointment","OK"),"Check Format"))</f>
        <v>OK</v>
      </c>
      <c r="X1382" t="str">
        <f>IF(OR(F1382="",G1382=""),"Missing Date/Time",IFERROR(IF(G1382&lt;F1382,"Discharge Before Arrival","OK"),"Check Format"))</f>
        <v>OK</v>
      </c>
    </row>
    <row r="1383" spans="1:24" x14ac:dyDescent="0.25">
      <c r="A1383" s="2" t="s">
        <v>2085</v>
      </c>
      <c r="B1383" s="2" t="s">
        <v>125</v>
      </c>
      <c r="C1383" s="3" t="s">
        <v>46</v>
      </c>
      <c r="D1383" s="3" t="s">
        <v>99</v>
      </c>
      <c r="E1383" s="4">
        <v>45612.527777777781</v>
      </c>
      <c r="G1383" s="4">
        <v>45612.579861111109</v>
      </c>
      <c r="H1383" s="5">
        <v>145</v>
      </c>
      <c r="J1383" s="3" t="s">
        <v>67</v>
      </c>
      <c r="K1383" s="5">
        <v>999</v>
      </c>
      <c r="L1383" s="5">
        <v>23</v>
      </c>
      <c r="M1383" s="3" t="s">
        <v>50</v>
      </c>
      <c r="N1383" t="s">
        <v>24</v>
      </c>
      <c r="O1383" s="5">
        <v>3</v>
      </c>
      <c r="Q1383" s="2">
        <v>154.05000000000001</v>
      </c>
      <c r="R1383" s="3" t="s">
        <v>58</v>
      </c>
      <c r="S1383">
        <f>COUNTIF(A:A,A1383)</f>
        <v>1</v>
      </c>
      <c r="T1383" t="str">
        <f>IF(OR(H1383="",LOWER(TRIM(H1383&amp;""))="missing",LOWER(TRIM(H1383&amp;""))=""),"Missing/",IFERROR(IF(OR(VALUE(H1383)&lt;0,VALUE(H1383)&gt;110),"Invalid","Valid"),"Check Format"))</f>
        <v>Invalid</v>
      </c>
      <c r="U1383" t="str">
        <f>IF(Raw_Data[[#This Row],[Age_Check]]="Valid",H1383,"")</f>
        <v/>
      </c>
      <c r="V1383" t="str">
        <f>IF(OR(K1383="",UPPER(TRIM(K1383&amp;""))="",LOWER(TRIM(K1383&amp;""))="",LOWER(TRIM(K1383&amp;""))="",LOWER(TRIM(K1383&amp;""))="missing"),"Missing/",IFERROR(IF(VALUE(K1383)&lt;0,"Invalid","Valid"),"Check Format"))</f>
        <v>Valid</v>
      </c>
      <c r="W1383" t="str">
        <f>IF(OR(E1383="",F1383=""),"Missing Date/Time",IFERROR(IF(F1383&gt;E1383,"Arrival After Appointment","OK"),"Check Format"))</f>
        <v>Missing Date/Time</v>
      </c>
      <c r="X1383" t="str">
        <f>IF(OR(F1383="",G1383=""),"Missing Date/Time",IFERROR(IF(G1383&lt;F1383,"Discharge Before Arrival","OK"),"Check Format"))</f>
        <v>Missing Date/Time</v>
      </c>
    </row>
    <row r="1384" spans="1:24" x14ac:dyDescent="0.25">
      <c r="A1384" s="2" t="s">
        <v>2086</v>
      </c>
      <c r="B1384" s="2" t="s">
        <v>1083</v>
      </c>
      <c r="C1384" s="3" t="s">
        <v>46</v>
      </c>
      <c r="D1384" s="3" t="s">
        <v>38</v>
      </c>
      <c r="E1384" s="4">
        <v>45292.298611111109</v>
      </c>
      <c r="F1384" s="4">
        <v>45292.279166666667</v>
      </c>
      <c r="G1384" s="4">
        <v>45292.333333333336</v>
      </c>
      <c r="I1384" s="3" t="s">
        <v>39</v>
      </c>
      <c r="J1384" s="3" t="s">
        <v>150</v>
      </c>
      <c r="K1384" s="5">
        <v>45</v>
      </c>
      <c r="L1384" s="5">
        <v>5</v>
      </c>
      <c r="M1384" s="3" t="s">
        <v>32</v>
      </c>
      <c r="N1384" t="s">
        <v>100</v>
      </c>
      <c r="P1384" s="3" t="s">
        <v>25</v>
      </c>
      <c r="R1384" s="3" t="s">
        <v>58</v>
      </c>
      <c r="S1384">
        <f>COUNTIF(A:A,A1384)</f>
        <v>1</v>
      </c>
      <c r="T1384" t="str">
        <f>IF(OR(H1384="",LOWER(TRIM(H1384&amp;""))="missing",LOWER(TRIM(H1384&amp;""))=""),"Missing/",IFERROR(IF(OR(VALUE(H1384)&lt;0,VALUE(H1384)&gt;110),"Invalid","Valid"),"Check Format"))</f>
        <v>Missing/</v>
      </c>
      <c r="U1384" t="str">
        <f>IF(Raw_Data[[#This Row],[Age_Check]]="Valid",H1384,"")</f>
        <v/>
      </c>
      <c r="V1384" t="str">
        <f>IF(OR(K1384="",UPPER(TRIM(K1384&amp;""))="",LOWER(TRIM(K1384&amp;""))="",LOWER(TRIM(K1384&amp;""))="",LOWER(TRIM(K1384&amp;""))="missing"),"Missing/",IFERROR(IF(VALUE(K1384)&lt;0,"Invalid","Valid"),"Check Format"))</f>
        <v>Valid</v>
      </c>
      <c r="W1384" t="str">
        <f>IF(OR(E1384="",F1384=""),"Missing Date/Time",IFERROR(IF(F1384&gt;E1384,"Arrival After Appointment","OK"),"Check Format"))</f>
        <v>OK</v>
      </c>
      <c r="X1384" t="str">
        <f>IF(OR(F1384="",G1384=""),"Missing Date/Time",IFERROR(IF(G1384&lt;F1384,"Discharge Before Arrival","OK"),"Check Format"))</f>
        <v>OK</v>
      </c>
    </row>
    <row r="1385" spans="1:24" x14ac:dyDescent="0.25">
      <c r="A1385" s="2" t="s">
        <v>2087</v>
      </c>
      <c r="B1385" s="2" t="s">
        <v>805</v>
      </c>
      <c r="C1385" s="3" t="s">
        <v>19</v>
      </c>
      <c r="D1385" s="3" t="s">
        <v>23</v>
      </c>
      <c r="E1385" s="4" t="s">
        <v>1183</v>
      </c>
      <c r="F1385" s="4">
        <v>45410.421527777777</v>
      </c>
      <c r="G1385" s="4">
        <v>45410.486111111109</v>
      </c>
      <c r="J1385" s="3" t="s">
        <v>150</v>
      </c>
      <c r="K1385" s="5">
        <v>44</v>
      </c>
      <c r="L1385" s="5">
        <v>26</v>
      </c>
      <c r="M1385" s="3" t="s">
        <v>32</v>
      </c>
      <c r="N1385" t="s">
        <v>100</v>
      </c>
      <c r="P1385" s="3" t="s">
        <v>80</v>
      </c>
      <c r="Q1385" s="2">
        <v>195.69</v>
      </c>
      <c r="R1385" s="3" t="s">
        <v>58</v>
      </c>
      <c r="S1385">
        <f>COUNTIF(A:A,A1385)</f>
        <v>1</v>
      </c>
      <c r="T1385" t="str">
        <f>IF(OR(H1385="",LOWER(TRIM(H1385&amp;""))="missing",LOWER(TRIM(H1385&amp;""))=""),"Missing/",IFERROR(IF(OR(VALUE(H1385)&lt;0,VALUE(H1385)&gt;110),"Invalid","Valid"),"Check Format"))</f>
        <v>Missing/</v>
      </c>
      <c r="U1385" t="str">
        <f>IF(Raw_Data[[#This Row],[Age_Check]]="Valid",H1385,"")</f>
        <v/>
      </c>
      <c r="V1385" t="str">
        <f>IF(OR(K1385="",UPPER(TRIM(K1385&amp;""))="",LOWER(TRIM(K1385&amp;""))="",LOWER(TRIM(K1385&amp;""))="",LOWER(TRIM(K1385&amp;""))="missing"),"Missing/",IFERROR(IF(VALUE(K1385)&lt;0,"Invalid","Valid"),"Check Format"))</f>
        <v>Valid</v>
      </c>
      <c r="W1385" t="str">
        <f>IF(OR(E1385="",F1385=""),"Missing Date/Time",IFERROR(IF(F1385&gt;E1385,"Arrival After Appointment","OK"),"Check Format"))</f>
        <v>OK</v>
      </c>
      <c r="X1385" t="str">
        <f>IF(OR(F1385="",G1385=""),"Missing Date/Time",IFERROR(IF(G1385&lt;F1385,"Discharge Before Arrival","OK"),"Check Format"))</f>
        <v>OK</v>
      </c>
    </row>
    <row r="1386" spans="1:24" x14ac:dyDescent="0.25">
      <c r="A1386" s="2" t="s">
        <v>2088</v>
      </c>
      <c r="B1386" s="2" t="s">
        <v>2089</v>
      </c>
      <c r="C1386" s="3" t="s">
        <v>19</v>
      </c>
      <c r="D1386" s="3" t="s">
        <v>38</v>
      </c>
      <c r="E1386" s="4" t="s">
        <v>2090</v>
      </c>
      <c r="F1386" s="4">
        <v>45443.675694444442</v>
      </c>
      <c r="G1386" s="4">
        <v>45443.743055555555</v>
      </c>
      <c r="H1386" s="5">
        <v>28</v>
      </c>
      <c r="I1386" s="3" t="s">
        <v>95</v>
      </c>
      <c r="J1386" s="3" t="s">
        <v>171</v>
      </c>
      <c r="K1386" s="5">
        <v>33</v>
      </c>
      <c r="L1386" s="5">
        <v>62</v>
      </c>
      <c r="M1386" s="3" t="s">
        <v>23</v>
      </c>
      <c r="N1386" t="s">
        <v>24</v>
      </c>
      <c r="P1386" s="3" t="s">
        <v>80</v>
      </c>
      <c r="Q1386" s="2">
        <v>0</v>
      </c>
      <c r="R1386" s="3" t="s">
        <v>58</v>
      </c>
      <c r="S1386">
        <f>COUNTIF(A:A,A1386)</f>
        <v>1</v>
      </c>
      <c r="T1386" t="str">
        <f>IF(OR(H1386="",LOWER(TRIM(H1386&amp;""))="missing",LOWER(TRIM(H1386&amp;""))=""),"Missing/",IFERROR(IF(OR(VALUE(H1386)&lt;0,VALUE(H1386)&gt;110),"Invalid","Valid"),"Check Format"))</f>
        <v>Valid</v>
      </c>
      <c r="U1386">
        <f>IF(Raw_Data[[#This Row],[Age_Check]]="Valid",H1386,"")</f>
        <v>28</v>
      </c>
      <c r="V1386" t="str">
        <f>IF(OR(K1386="",UPPER(TRIM(K1386&amp;""))="",LOWER(TRIM(K1386&amp;""))="",LOWER(TRIM(K1386&amp;""))="",LOWER(TRIM(K1386&amp;""))="missing"),"Missing/",IFERROR(IF(VALUE(K1386)&lt;0,"Invalid","Valid"),"Check Format"))</f>
        <v>Valid</v>
      </c>
      <c r="W1386" t="str">
        <f>IF(OR(E1386="",F1386=""),"Missing Date/Time",IFERROR(IF(F1386&gt;E1386,"Arrival After Appointment","OK"),"Check Format"))</f>
        <v>OK</v>
      </c>
      <c r="X1386" t="str">
        <f>IF(OR(F1386="",G1386=""),"Missing Date/Time",IFERROR(IF(G1386&lt;F1386,"Discharge Before Arrival","OK"),"Check Format"))</f>
        <v>OK</v>
      </c>
    </row>
    <row r="1387" spans="1:24" x14ac:dyDescent="0.25">
      <c r="A1387" s="2" t="s">
        <v>2091</v>
      </c>
      <c r="B1387" s="2" t="s">
        <v>1148</v>
      </c>
      <c r="C1387" s="3" t="s">
        <v>19</v>
      </c>
      <c r="D1387" s="3" t="s">
        <v>106</v>
      </c>
      <c r="E1387" s="4">
        <v>45563.326388888891</v>
      </c>
      <c r="F1387" s="4">
        <v>45563.315972222219</v>
      </c>
      <c r="G1387" s="4">
        <v>45563.416666666664</v>
      </c>
      <c r="I1387" s="3" t="s">
        <v>95</v>
      </c>
      <c r="J1387" s="3" t="s">
        <v>67</v>
      </c>
      <c r="K1387" s="5">
        <v>103</v>
      </c>
      <c r="L1387" s="5">
        <v>27</v>
      </c>
      <c r="M1387" s="3" t="s">
        <v>68</v>
      </c>
      <c r="N1387" t="s">
        <v>24</v>
      </c>
      <c r="O1387" s="5">
        <v>3</v>
      </c>
      <c r="P1387" s="3" t="s">
        <v>80</v>
      </c>
      <c r="Q1387" s="2">
        <v>213.77</v>
      </c>
      <c r="R1387" s="3" t="s">
        <v>58</v>
      </c>
      <c r="S1387">
        <f>COUNTIF(A:A,A1387)</f>
        <v>1</v>
      </c>
      <c r="T1387" t="str">
        <f>IF(OR(H1387="",LOWER(TRIM(H1387&amp;""))="missing",LOWER(TRIM(H1387&amp;""))=""),"Missing/",IFERROR(IF(OR(VALUE(H1387)&lt;0,VALUE(H1387)&gt;110),"Invalid","Valid"),"Check Format"))</f>
        <v>Missing/</v>
      </c>
      <c r="U1387" t="str">
        <f>IF(Raw_Data[[#This Row],[Age_Check]]="Valid",H1387,"")</f>
        <v/>
      </c>
      <c r="V1387" t="str">
        <f>IF(OR(K1387="",UPPER(TRIM(K1387&amp;""))="",LOWER(TRIM(K1387&amp;""))="",LOWER(TRIM(K1387&amp;""))="",LOWER(TRIM(K1387&amp;""))="missing"),"Missing/",IFERROR(IF(VALUE(K1387)&lt;0,"Invalid","Valid"),"Check Format"))</f>
        <v>Valid</v>
      </c>
      <c r="W1387" t="str">
        <f>IF(OR(E1387="",F1387=""),"Missing Date/Time",IFERROR(IF(F1387&gt;E1387,"Arrival After Appointment","OK"),"Check Format"))</f>
        <v>OK</v>
      </c>
      <c r="X1387" t="str">
        <f>IF(OR(F1387="",G1387=""),"Missing Date/Time",IFERROR(IF(G1387&lt;F1387,"Discharge Before Arrival","OK"),"Check Format"))</f>
        <v>OK</v>
      </c>
    </row>
    <row r="1388" spans="1:24" x14ac:dyDescent="0.25">
      <c r="A1388" s="2" t="s">
        <v>2092</v>
      </c>
      <c r="B1388" s="2" t="s">
        <v>410</v>
      </c>
      <c r="C1388" s="3" t="s">
        <v>29</v>
      </c>
      <c r="D1388" s="3" t="s">
        <v>47</v>
      </c>
      <c r="E1388" s="4">
        <v>45716.756944444445</v>
      </c>
      <c r="F1388" s="4">
        <v>45716.747916666667</v>
      </c>
      <c r="G1388" s="4">
        <v>45716.834722222222</v>
      </c>
      <c r="H1388" s="5">
        <v>11</v>
      </c>
      <c r="I1388" s="3" t="s">
        <v>73</v>
      </c>
      <c r="J1388" s="3" t="s">
        <v>67</v>
      </c>
      <c r="K1388" s="5">
        <v>60</v>
      </c>
      <c r="L1388" s="5">
        <v>52</v>
      </c>
      <c r="M1388" s="3" t="s">
        <v>23</v>
      </c>
      <c r="P1388" s="3" t="s">
        <v>25</v>
      </c>
      <c r="Q1388" s="2">
        <v>114.01</v>
      </c>
      <c r="R1388" s="3" t="s">
        <v>58</v>
      </c>
      <c r="S1388">
        <f>COUNTIF(A:A,A1388)</f>
        <v>1</v>
      </c>
      <c r="T1388" t="str">
        <f>IF(OR(H1388="",LOWER(TRIM(H1388&amp;""))="missing",LOWER(TRIM(H1388&amp;""))=""),"Missing/",IFERROR(IF(OR(VALUE(H1388)&lt;0,VALUE(H1388)&gt;110),"Invalid","Valid"),"Check Format"))</f>
        <v>Valid</v>
      </c>
      <c r="U1388">
        <f>IF(Raw_Data[[#This Row],[Age_Check]]="Valid",H1388,"")</f>
        <v>11</v>
      </c>
      <c r="V1388" t="str">
        <f>IF(OR(K1388="",UPPER(TRIM(K1388&amp;""))="",LOWER(TRIM(K1388&amp;""))="",LOWER(TRIM(K1388&amp;""))="",LOWER(TRIM(K1388&amp;""))="missing"),"Missing/",IFERROR(IF(VALUE(K1388)&lt;0,"Invalid","Valid"),"Check Format"))</f>
        <v>Valid</v>
      </c>
      <c r="W1388" t="str">
        <f>IF(OR(E1388="",F1388=""),"Missing Date/Time",IFERROR(IF(F1388&gt;E1388,"Arrival After Appointment","OK"),"Check Format"))</f>
        <v>OK</v>
      </c>
      <c r="X1388" t="str">
        <f>IF(OR(F1388="",G1388=""),"Missing Date/Time",IFERROR(IF(G1388&lt;F1388,"Discharge Before Arrival","OK"),"Check Format"))</f>
        <v>OK</v>
      </c>
    </row>
    <row r="1389" spans="1:24" x14ac:dyDescent="0.25">
      <c r="A1389" s="2" t="s">
        <v>2093</v>
      </c>
      <c r="B1389" s="2" t="s">
        <v>465</v>
      </c>
      <c r="C1389" s="3" t="s">
        <v>29</v>
      </c>
      <c r="D1389" s="3" t="s">
        <v>20</v>
      </c>
      <c r="E1389" s="4">
        <v>45952.451388888891</v>
      </c>
      <c r="F1389" s="4">
        <v>45952.435416666667</v>
      </c>
      <c r="G1389" s="4">
        <v>45952.504166666666</v>
      </c>
      <c r="I1389" s="3" t="s">
        <v>95</v>
      </c>
      <c r="J1389" s="3" t="s">
        <v>2639</v>
      </c>
      <c r="K1389" s="5">
        <v>19</v>
      </c>
      <c r="L1389" s="5">
        <v>57</v>
      </c>
      <c r="M1389" s="3" t="s">
        <v>87</v>
      </c>
      <c r="N1389" t="s">
        <v>69</v>
      </c>
      <c r="O1389" s="5">
        <v>2</v>
      </c>
      <c r="Q1389" s="2">
        <v>135.91999999999999</v>
      </c>
      <c r="R1389" s="3" t="s">
        <v>75</v>
      </c>
      <c r="S1389">
        <f>COUNTIF(A:A,A1389)</f>
        <v>1</v>
      </c>
      <c r="T1389" t="str">
        <f>IF(OR(H1389="",LOWER(TRIM(H1389&amp;""))="missing",LOWER(TRIM(H1389&amp;""))=""),"Missing/",IFERROR(IF(OR(VALUE(H1389)&lt;0,VALUE(H1389)&gt;110),"Invalid","Valid"),"Check Format"))</f>
        <v>Missing/</v>
      </c>
      <c r="U1389" t="str">
        <f>IF(Raw_Data[[#This Row],[Age_Check]]="Valid",H1389,"")</f>
        <v/>
      </c>
      <c r="V1389" t="str">
        <f>IF(OR(K1389="",UPPER(TRIM(K1389&amp;""))="",LOWER(TRIM(K1389&amp;""))="",LOWER(TRIM(K1389&amp;""))="",LOWER(TRIM(K1389&amp;""))="missing"),"Missing/",IFERROR(IF(VALUE(K1389)&lt;0,"Invalid","Valid"),"Check Format"))</f>
        <v>Valid</v>
      </c>
      <c r="W1389" t="str">
        <f>IF(OR(E1389="",F1389=""),"Missing Date/Time",IFERROR(IF(F1389&gt;E1389,"Arrival After Appointment","OK"),"Check Format"))</f>
        <v>OK</v>
      </c>
      <c r="X1389" t="str">
        <f>IF(OR(F1389="",G1389=""),"Missing Date/Time",IFERROR(IF(G1389&lt;F1389,"Discharge Before Arrival","OK"),"Check Format"))</f>
        <v>OK</v>
      </c>
    </row>
    <row r="1390" spans="1:24" x14ac:dyDescent="0.25">
      <c r="A1390" s="2" t="s">
        <v>2094</v>
      </c>
      <c r="B1390" s="2" t="s">
        <v>130</v>
      </c>
      <c r="C1390" s="3" t="s">
        <v>94</v>
      </c>
      <c r="D1390" s="3" t="s">
        <v>209</v>
      </c>
      <c r="E1390" s="4">
        <v>46009.670138888891</v>
      </c>
      <c r="F1390" s="4">
        <v>46009.669444444444</v>
      </c>
      <c r="G1390" s="4">
        <v>46009.75277777778</v>
      </c>
      <c r="I1390" s="3" t="s">
        <v>95</v>
      </c>
      <c r="J1390" s="3" t="s">
        <v>67</v>
      </c>
      <c r="K1390" s="5">
        <v>65</v>
      </c>
      <c r="L1390" s="5">
        <v>54</v>
      </c>
      <c r="M1390" s="3" t="s">
        <v>23</v>
      </c>
      <c r="N1390" t="s">
        <v>100</v>
      </c>
      <c r="O1390" s="5">
        <v>1</v>
      </c>
      <c r="Q1390" s="2">
        <v>62.44</v>
      </c>
      <c r="R1390" s="3" t="s">
        <v>26</v>
      </c>
      <c r="S1390">
        <f>COUNTIF(A:A,A1390)</f>
        <v>1</v>
      </c>
      <c r="T1390" t="str">
        <f>IF(OR(H1390="",LOWER(TRIM(H1390&amp;""))="missing",LOWER(TRIM(H1390&amp;""))=""),"Missing/",IFERROR(IF(OR(VALUE(H1390)&lt;0,VALUE(H1390)&gt;110),"Invalid","Valid"),"Check Format"))</f>
        <v>Missing/</v>
      </c>
      <c r="U1390" t="str">
        <f>IF(Raw_Data[[#This Row],[Age_Check]]="Valid",H1390,"")</f>
        <v/>
      </c>
      <c r="V1390" t="str">
        <f>IF(OR(K1390="",UPPER(TRIM(K1390&amp;""))="",LOWER(TRIM(K1390&amp;""))="",LOWER(TRIM(K1390&amp;""))="",LOWER(TRIM(K1390&amp;""))="missing"),"Missing/",IFERROR(IF(VALUE(K1390)&lt;0,"Invalid","Valid"),"Check Format"))</f>
        <v>Valid</v>
      </c>
      <c r="W1390" t="str">
        <f>IF(OR(E1390="",F1390=""),"Missing Date/Time",IFERROR(IF(F1390&gt;E1390,"Arrival After Appointment","OK"),"Check Format"))</f>
        <v>OK</v>
      </c>
      <c r="X1390" t="str">
        <f>IF(OR(F1390="",G1390=""),"Missing Date/Time",IFERROR(IF(G1390&lt;F1390,"Discharge Before Arrival","OK"),"Check Format"))</f>
        <v>OK</v>
      </c>
    </row>
    <row r="1391" spans="1:24" x14ac:dyDescent="0.25">
      <c r="A1391" s="2" t="s">
        <v>2095</v>
      </c>
      <c r="B1391" s="2" t="s">
        <v>329</v>
      </c>
      <c r="C1391" s="3" t="s">
        <v>19</v>
      </c>
      <c r="D1391" s="3" t="s">
        <v>61</v>
      </c>
      <c r="E1391" s="4">
        <v>45997.625</v>
      </c>
      <c r="F1391" s="4">
        <v>45997.614583333336</v>
      </c>
      <c r="G1391" s="4">
        <v>45997.693749999999</v>
      </c>
      <c r="H1391" s="5">
        <v>145</v>
      </c>
      <c r="I1391" s="3" t="s">
        <v>73</v>
      </c>
      <c r="J1391" s="3" t="s">
        <v>22</v>
      </c>
      <c r="K1391" s="5">
        <v>78</v>
      </c>
      <c r="L1391" s="5">
        <v>21</v>
      </c>
      <c r="M1391" s="3" t="s">
        <v>63</v>
      </c>
      <c r="N1391" t="s">
        <v>69</v>
      </c>
      <c r="P1391" s="3" t="s">
        <v>25</v>
      </c>
      <c r="Q1391" s="2">
        <v>134.43</v>
      </c>
      <c r="R1391" s="3" t="s">
        <v>75</v>
      </c>
      <c r="S1391">
        <f>COUNTIF(A:A,A1391)</f>
        <v>1</v>
      </c>
      <c r="T1391" t="str">
        <f>IF(OR(H1391="",LOWER(TRIM(H1391&amp;""))="missing",LOWER(TRIM(H1391&amp;""))=""),"Missing/",IFERROR(IF(OR(VALUE(H1391)&lt;0,VALUE(H1391)&gt;110),"Invalid","Valid"),"Check Format"))</f>
        <v>Invalid</v>
      </c>
      <c r="U1391" t="str">
        <f>IF(Raw_Data[[#This Row],[Age_Check]]="Valid",H1391,"")</f>
        <v/>
      </c>
      <c r="V1391" t="str">
        <f>IF(OR(K1391="",UPPER(TRIM(K1391&amp;""))="",LOWER(TRIM(K1391&amp;""))="",LOWER(TRIM(K1391&amp;""))="",LOWER(TRIM(K1391&amp;""))="missing"),"Missing/",IFERROR(IF(VALUE(K1391)&lt;0,"Invalid","Valid"),"Check Format"))</f>
        <v>Valid</v>
      </c>
      <c r="W1391" t="str">
        <f>IF(OR(E1391="",F1391=""),"Missing Date/Time",IFERROR(IF(F1391&gt;E1391,"Arrival After Appointment","OK"),"Check Format"))</f>
        <v>OK</v>
      </c>
      <c r="X1391" t="str">
        <f>IF(OR(F1391="",G1391=""),"Missing Date/Time",IFERROR(IF(G1391&lt;F1391,"Discharge Before Arrival","OK"),"Check Format"))</f>
        <v>OK</v>
      </c>
    </row>
    <row r="1392" spans="1:24" x14ac:dyDescent="0.25">
      <c r="A1392" s="2" t="s">
        <v>2096</v>
      </c>
      <c r="B1392" s="2" t="s">
        <v>926</v>
      </c>
      <c r="C1392" s="3" t="s">
        <v>46</v>
      </c>
      <c r="D1392" s="3" t="s">
        <v>106</v>
      </c>
      <c r="E1392" s="4">
        <v>45632.625</v>
      </c>
      <c r="F1392" s="4">
        <v>45632.615972222222</v>
      </c>
      <c r="G1392" s="4">
        <v>45632.670138888891</v>
      </c>
      <c r="H1392" s="5">
        <v>145</v>
      </c>
      <c r="J1392" s="3" t="s">
        <v>67</v>
      </c>
      <c r="K1392" s="5">
        <v>60</v>
      </c>
      <c r="L1392" s="5">
        <v>5</v>
      </c>
      <c r="M1392" s="3" t="s">
        <v>41</v>
      </c>
      <c r="P1392" s="3" t="s">
        <v>80</v>
      </c>
      <c r="Q1392" s="2">
        <v>82.69</v>
      </c>
      <c r="R1392" s="3" t="s">
        <v>75</v>
      </c>
      <c r="S1392">
        <f>COUNTIF(A:A,A1392)</f>
        <v>1</v>
      </c>
      <c r="T1392" t="str">
        <f>IF(OR(H1392="",LOWER(TRIM(H1392&amp;""))="missing",LOWER(TRIM(H1392&amp;""))=""),"Missing/",IFERROR(IF(OR(VALUE(H1392)&lt;0,VALUE(H1392)&gt;110),"Invalid","Valid"),"Check Format"))</f>
        <v>Invalid</v>
      </c>
      <c r="U1392" t="str">
        <f>IF(Raw_Data[[#This Row],[Age_Check]]="Valid",H1392,"")</f>
        <v/>
      </c>
      <c r="V1392" t="str">
        <f>IF(OR(K1392="",UPPER(TRIM(K1392&amp;""))="",LOWER(TRIM(K1392&amp;""))="",LOWER(TRIM(K1392&amp;""))="",LOWER(TRIM(K1392&amp;""))="missing"),"Missing/",IFERROR(IF(VALUE(K1392)&lt;0,"Invalid","Valid"),"Check Format"))</f>
        <v>Valid</v>
      </c>
      <c r="W1392" t="str">
        <f>IF(OR(E1392="",F1392=""),"Missing Date/Time",IFERROR(IF(F1392&gt;E1392,"Arrival After Appointment","OK"),"Check Format"))</f>
        <v>OK</v>
      </c>
      <c r="X1392" t="str">
        <f>IF(OR(F1392="",G1392=""),"Missing Date/Time",IFERROR(IF(G1392&lt;F1392,"Discharge Before Arrival","OK"),"Check Format"))</f>
        <v>OK</v>
      </c>
    </row>
    <row r="1393" spans="1:24" x14ac:dyDescent="0.25">
      <c r="A1393" s="2" t="s">
        <v>2097</v>
      </c>
      <c r="B1393" s="2" t="s">
        <v>435</v>
      </c>
      <c r="C1393" s="3" t="s">
        <v>29</v>
      </c>
      <c r="D1393" s="3" t="s">
        <v>174</v>
      </c>
      <c r="E1393" s="4">
        <v>45308.489583333336</v>
      </c>
      <c r="F1393" s="4">
        <v>45308.474999999999</v>
      </c>
      <c r="G1393" s="4">
        <v>45308.595138888886</v>
      </c>
      <c r="I1393" s="3" t="s">
        <v>95</v>
      </c>
      <c r="J1393" s="3" t="s">
        <v>150</v>
      </c>
      <c r="K1393" s="5">
        <v>105</v>
      </c>
      <c r="L1393" s="5">
        <v>47</v>
      </c>
      <c r="P1393" s="3" t="s">
        <v>80</v>
      </c>
      <c r="R1393" s="3" t="s">
        <v>58</v>
      </c>
      <c r="S1393">
        <f>COUNTIF(A:A,A1393)</f>
        <v>1</v>
      </c>
      <c r="T1393" t="str">
        <f>IF(OR(H1393="",LOWER(TRIM(H1393&amp;""))="missing",LOWER(TRIM(H1393&amp;""))=""),"Missing/",IFERROR(IF(OR(VALUE(H1393)&lt;0,VALUE(H1393)&gt;110),"Invalid","Valid"),"Check Format"))</f>
        <v>Missing/</v>
      </c>
      <c r="U1393" t="str">
        <f>IF(Raw_Data[[#This Row],[Age_Check]]="Valid",H1393,"")</f>
        <v/>
      </c>
      <c r="V1393" t="str">
        <f>IF(OR(K1393="",UPPER(TRIM(K1393&amp;""))="",LOWER(TRIM(K1393&amp;""))="",LOWER(TRIM(K1393&amp;""))="",LOWER(TRIM(K1393&amp;""))="missing"),"Missing/",IFERROR(IF(VALUE(K1393)&lt;0,"Invalid","Valid"),"Check Format"))</f>
        <v>Valid</v>
      </c>
      <c r="W1393" t="str">
        <f>IF(OR(E1393="",F1393=""),"Missing Date/Time",IFERROR(IF(F1393&gt;E1393,"Arrival After Appointment","OK"),"Check Format"))</f>
        <v>OK</v>
      </c>
      <c r="X1393" t="str">
        <f>IF(OR(F1393="",G1393=""),"Missing Date/Time",IFERROR(IF(G1393&lt;F1393,"Discharge Before Arrival","OK"),"Check Format"))</f>
        <v>OK</v>
      </c>
    </row>
    <row r="1394" spans="1:24" x14ac:dyDescent="0.25">
      <c r="A1394" s="2" t="s">
        <v>2098</v>
      </c>
      <c r="B1394" s="2" t="s">
        <v>675</v>
      </c>
      <c r="C1394" s="3" t="s">
        <v>94</v>
      </c>
      <c r="D1394" s="3" t="s">
        <v>174</v>
      </c>
      <c r="E1394" s="4" t="s">
        <v>2099</v>
      </c>
      <c r="F1394" s="4">
        <v>45829.722222222219</v>
      </c>
      <c r="G1394" s="4">
        <v>45829.792361111111</v>
      </c>
      <c r="I1394" s="3" t="s">
        <v>95</v>
      </c>
      <c r="J1394" s="3" t="s">
        <v>62</v>
      </c>
      <c r="K1394" s="5">
        <v>55</v>
      </c>
      <c r="L1394" s="5">
        <v>36</v>
      </c>
      <c r="M1394" s="3" t="s">
        <v>68</v>
      </c>
      <c r="O1394" s="5">
        <v>4</v>
      </c>
      <c r="P1394" s="3" t="s">
        <v>25</v>
      </c>
      <c r="Q1394" s="2">
        <v>121.46</v>
      </c>
      <c r="R1394" s="3" t="s">
        <v>58</v>
      </c>
      <c r="S1394">
        <f>COUNTIF(A:A,A1394)</f>
        <v>1</v>
      </c>
      <c r="T1394" t="str">
        <f>IF(OR(H1394="",LOWER(TRIM(H1394&amp;""))="missing",LOWER(TRIM(H1394&amp;""))=""),"Missing/",IFERROR(IF(OR(VALUE(H1394)&lt;0,VALUE(H1394)&gt;110),"Invalid","Valid"),"Check Format"))</f>
        <v>Missing/</v>
      </c>
      <c r="U1394" t="str">
        <f>IF(Raw_Data[[#This Row],[Age_Check]]="Valid",H1394,"")</f>
        <v/>
      </c>
      <c r="V1394" t="str">
        <f>IF(OR(K1394="",UPPER(TRIM(K1394&amp;""))="",LOWER(TRIM(K1394&amp;""))="",LOWER(TRIM(K1394&amp;""))="",LOWER(TRIM(K1394&amp;""))="missing"),"Missing/",IFERROR(IF(VALUE(K1394)&lt;0,"Invalid","Valid"),"Check Format"))</f>
        <v>Valid</v>
      </c>
      <c r="W1394" t="str">
        <f>IF(OR(E1394="",F1394=""),"Missing Date/Time",IFERROR(IF(F1394&gt;E1394,"Arrival After Appointment","OK"),"Check Format"))</f>
        <v>OK</v>
      </c>
      <c r="X1394" t="str">
        <f>IF(OR(F1394="",G1394=""),"Missing Date/Time",IFERROR(IF(G1394&lt;F1394,"Discharge Before Arrival","OK"),"Check Format"))</f>
        <v>OK</v>
      </c>
    </row>
    <row r="1395" spans="1:24" x14ac:dyDescent="0.25">
      <c r="A1395" s="2" t="s">
        <v>2100</v>
      </c>
      <c r="B1395" s="2" t="s">
        <v>329</v>
      </c>
      <c r="C1395" s="3" t="s">
        <v>94</v>
      </c>
      <c r="D1395" s="3" t="s">
        <v>55</v>
      </c>
      <c r="E1395" s="4">
        <v>45536.430555555555</v>
      </c>
      <c r="F1395" s="4">
        <v>45300.429861111108</v>
      </c>
      <c r="H1395" s="5">
        <v>48</v>
      </c>
      <c r="I1395" s="3" t="s">
        <v>73</v>
      </c>
      <c r="K1395" s="5">
        <v>105</v>
      </c>
      <c r="L1395" s="5">
        <v>28</v>
      </c>
      <c r="M1395" s="3" t="s">
        <v>32</v>
      </c>
      <c r="N1395" t="s">
        <v>103</v>
      </c>
      <c r="O1395" s="5">
        <v>1</v>
      </c>
      <c r="P1395" s="3" t="s">
        <v>25</v>
      </c>
      <c r="Q1395" s="2">
        <v>163.55000000000001</v>
      </c>
      <c r="R1395" s="3" t="s">
        <v>58</v>
      </c>
      <c r="S1395">
        <f>COUNTIF(A:A,A1395)</f>
        <v>1</v>
      </c>
      <c r="T1395" t="str">
        <f>IF(OR(H1395="",LOWER(TRIM(H1395&amp;""))="missing",LOWER(TRIM(H1395&amp;""))=""),"Missing/",IFERROR(IF(OR(VALUE(H1395)&lt;0,VALUE(H1395)&gt;110),"Invalid","Valid"),"Check Format"))</f>
        <v>Valid</v>
      </c>
      <c r="U1395">
        <f>IF(Raw_Data[[#This Row],[Age_Check]]="Valid",H1395,"")</f>
        <v>48</v>
      </c>
      <c r="V1395" t="str">
        <f>IF(OR(K1395="",UPPER(TRIM(K1395&amp;""))="",LOWER(TRIM(K1395&amp;""))="",LOWER(TRIM(K1395&amp;""))="",LOWER(TRIM(K1395&amp;""))="missing"),"Missing/",IFERROR(IF(VALUE(K1395)&lt;0,"Invalid","Valid"),"Check Format"))</f>
        <v>Valid</v>
      </c>
      <c r="W1395" t="str">
        <f>IF(OR(E1395="",F1395=""),"Missing Date/Time",IFERROR(IF(F1395&gt;E1395,"Arrival After Appointment","OK"),"Check Format"))</f>
        <v>OK</v>
      </c>
      <c r="X1395" t="str">
        <f>IF(OR(F1395="",G1395=""),"Missing Date/Time",IFERROR(IF(G1395&lt;F1395,"Discharge Before Arrival","OK"),"Check Format"))</f>
        <v>Missing Date/Time</v>
      </c>
    </row>
    <row r="1396" spans="1:24" x14ac:dyDescent="0.25">
      <c r="A1396" s="2" t="s">
        <v>2101</v>
      </c>
      <c r="B1396" s="2" t="s">
        <v>202</v>
      </c>
      <c r="C1396" s="3" t="s">
        <v>29</v>
      </c>
      <c r="D1396" s="3" t="s">
        <v>55</v>
      </c>
      <c r="E1396" s="4">
        <v>45443.506944444445</v>
      </c>
      <c r="F1396" s="4">
        <v>45443.498611111114</v>
      </c>
      <c r="G1396" s="4">
        <v>45443.587500000001</v>
      </c>
      <c r="J1396" s="3" t="s">
        <v>22</v>
      </c>
      <c r="K1396" s="5">
        <v>98</v>
      </c>
      <c r="L1396" s="5">
        <v>18</v>
      </c>
      <c r="M1396" s="3" t="s">
        <v>63</v>
      </c>
      <c r="O1396" s="5">
        <v>0</v>
      </c>
      <c r="P1396" s="3" t="s">
        <v>80</v>
      </c>
      <c r="Q1396" s="2">
        <v>269.7</v>
      </c>
      <c r="R1396" s="3" t="s">
        <v>58</v>
      </c>
      <c r="S1396">
        <f>COUNTIF(A:A,A1396)</f>
        <v>1</v>
      </c>
      <c r="T1396" t="str">
        <f>IF(OR(H1396="",LOWER(TRIM(H1396&amp;""))="missing",LOWER(TRIM(H1396&amp;""))=""),"Missing/",IFERROR(IF(OR(VALUE(H1396)&lt;0,VALUE(H1396)&gt;110),"Invalid","Valid"),"Check Format"))</f>
        <v>Missing/</v>
      </c>
      <c r="U1396" t="str">
        <f>IF(Raw_Data[[#This Row],[Age_Check]]="Valid",H1396,"")</f>
        <v/>
      </c>
      <c r="V1396" t="str">
        <f>IF(OR(K1396="",UPPER(TRIM(K1396&amp;""))="",LOWER(TRIM(K1396&amp;""))="",LOWER(TRIM(K1396&amp;""))="",LOWER(TRIM(K1396&amp;""))="missing"),"Missing/",IFERROR(IF(VALUE(K1396)&lt;0,"Invalid","Valid"),"Check Format"))</f>
        <v>Valid</v>
      </c>
      <c r="W1396" t="str">
        <f>IF(OR(E1396="",F1396=""),"Missing Date/Time",IFERROR(IF(F1396&gt;E1396,"Arrival After Appointment","OK"),"Check Format"))</f>
        <v>OK</v>
      </c>
      <c r="X1396" t="str">
        <f>IF(OR(F1396="",G1396=""),"Missing Date/Time",IFERROR(IF(G1396&lt;F1396,"Discharge Before Arrival","OK"),"Check Format"))</f>
        <v>OK</v>
      </c>
    </row>
    <row r="1397" spans="1:24" x14ac:dyDescent="0.25">
      <c r="A1397" s="2" t="s">
        <v>2102</v>
      </c>
      <c r="B1397" s="2" t="s">
        <v>192</v>
      </c>
      <c r="C1397" s="3" t="s">
        <v>29</v>
      </c>
      <c r="D1397" s="3" t="s">
        <v>20</v>
      </c>
      <c r="E1397" s="4">
        <v>45525.510416666664</v>
      </c>
      <c r="F1397" s="4">
        <v>45525.510416666664</v>
      </c>
      <c r="G1397" s="4">
        <v>45525.555555555555</v>
      </c>
      <c r="I1397" s="3" t="s">
        <v>95</v>
      </c>
      <c r="J1397" s="3" t="s">
        <v>62</v>
      </c>
      <c r="K1397" s="5">
        <v>4</v>
      </c>
      <c r="L1397" s="5">
        <v>61</v>
      </c>
      <c r="M1397" s="3" t="s">
        <v>50</v>
      </c>
      <c r="N1397" t="s">
        <v>69</v>
      </c>
      <c r="O1397" s="5">
        <v>2</v>
      </c>
      <c r="P1397" s="3" t="s">
        <v>25</v>
      </c>
      <c r="Q1397" s="2">
        <v>115.19</v>
      </c>
      <c r="R1397" s="3" t="s">
        <v>43</v>
      </c>
      <c r="S1397">
        <f>COUNTIF(A:A,A1397)</f>
        <v>1</v>
      </c>
      <c r="T1397" t="str">
        <f>IF(OR(H1397="",LOWER(TRIM(H1397&amp;""))="missing",LOWER(TRIM(H1397&amp;""))=""),"Missing/",IFERROR(IF(OR(VALUE(H1397)&lt;0,VALUE(H1397)&gt;110),"Invalid","Valid"),"Check Format"))</f>
        <v>Missing/</v>
      </c>
      <c r="U1397" t="str">
        <f>IF(Raw_Data[[#This Row],[Age_Check]]="Valid",H1397,"")</f>
        <v/>
      </c>
      <c r="V1397" t="str">
        <f>IF(OR(K1397="",UPPER(TRIM(K1397&amp;""))="",LOWER(TRIM(K1397&amp;""))="",LOWER(TRIM(K1397&amp;""))="",LOWER(TRIM(K1397&amp;""))="missing"),"Missing/",IFERROR(IF(VALUE(K1397)&lt;0,"Invalid","Valid"),"Check Format"))</f>
        <v>Valid</v>
      </c>
      <c r="W1397" t="str">
        <f>IF(OR(E1397="",F1397=""),"Missing Date/Time",IFERROR(IF(F1397&gt;E1397,"Arrival After Appointment","OK"),"Check Format"))</f>
        <v>OK</v>
      </c>
      <c r="X1397" t="str">
        <f>IF(OR(F1397="",G1397=""),"Missing Date/Time",IFERROR(IF(G1397&lt;F1397,"Discharge Before Arrival","OK"),"Check Format"))</f>
        <v>OK</v>
      </c>
    </row>
    <row r="1398" spans="1:24" x14ac:dyDescent="0.25">
      <c r="A1398" s="2" t="s">
        <v>1656</v>
      </c>
      <c r="B1398" s="2" t="s">
        <v>1657</v>
      </c>
      <c r="C1398" s="3" t="s">
        <v>29</v>
      </c>
      <c r="D1398" s="3" t="s">
        <v>23</v>
      </c>
      <c r="E1398" s="4">
        <v>45371.649305555555</v>
      </c>
      <c r="F1398" s="4">
        <v>45371.646527777775</v>
      </c>
      <c r="G1398" s="4">
        <v>45371.69027777778</v>
      </c>
      <c r="J1398" s="3" t="s">
        <v>62</v>
      </c>
      <c r="K1398" s="5">
        <v>33</v>
      </c>
      <c r="L1398" s="5">
        <v>26</v>
      </c>
      <c r="M1398" s="3" t="s">
        <v>87</v>
      </c>
      <c r="N1398" t="s">
        <v>69</v>
      </c>
      <c r="P1398" s="3" t="s">
        <v>80</v>
      </c>
      <c r="Q1398" s="2">
        <v>82.3</v>
      </c>
      <c r="R1398" s="3" t="s">
        <v>58</v>
      </c>
      <c r="S1398">
        <f>COUNTIF(A:A,A1398)</f>
        <v>2</v>
      </c>
      <c r="T1398" t="str">
        <f>IF(OR(H1398="",LOWER(TRIM(H1398&amp;""))="missing",LOWER(TRIM(H1398&amp;""))=""),"Missing/",IFERROR(IF(OR(VALUE(H1398)&lt;0,VALUE(H1398)&gt;110),"Invalid","Valid"),"Check Format"))</f>
        <v>Missing/</v>
      </c>
      <c r="U1398" t="str">
        <f>IF(Raw_Data[[#This Row],[Age_Check]]="Valid",H1398,"")</f>
        <v/>
      </c>
      <c r="V1398" t="str">
        <f>IF(OR(K1398="",UPPER(TRIM(K1398&amp;""))="",LOWER(TRIM(K1398&amp;""))="",LOWER(TRIM(K1398&amp;""))="",LOWER(TRIM(K1398&amp;""))="missing"),"Missing/",IFERROR(IF(VALUE(K1398)&lt;0,"Invalid","Valid"),"Check Format"))</f>
        <v>Valid</v>
      </c>
      <c r="W1398" t="str">
        <f>IF(OR(E1398="",F1398=""),"Missing Date/Time",IFERROR(IF(F1398&gt;E1398,"Arrival After Appointment","OK"),"Check Format"))</f>
        <v>OK</v>
      </c>
      <c r="X1398" t="str">
        <f>IF(OR(F1398="",G1398=""),"Missing Date/Time",IFERROR(IF(G1398&lt;F1398,"Discharge Before Arrival","OK"),"Check Format"))</f>
        <v>OK</v>
      </c>
    </row>
    <row r="1399" spans="1:24" x14ac:dyDescent="0.25">
      <c r="A1399" s="2" t="s">
        <v>2104</v>
      </c>
      <c r="B1399" s="2" t="s">
        <v>341</v>
      </c>
      <c r="C1399" s="3" t="s">
        <v>19</v>
      </c>
      <c r="D1399" s="3" t="s">
        <v>66</v>
      </c>
      <c r="E1399" s="4">
        <v>45729.631944444445</v>
      </c>
      <c r="F1399" s="4">
        <v>45729.618055555555</v>
      </c>
      <c r="H1399" s="5">
        <v>145</v>
      </c>
      <c r="I1399" s="3" t="s">
        <v>95</v>
      </c>
      <c r="J1399" s="3" t="s">
        <v>2639</v>
      </c>
      <c r="K1399" s="5">
        <v>21</v>
      </c>
      <c r="L1399" s="5">
        <v>21</v>
      </c>
      <c r="M1399" s="3" t="s">
        <v>68</v>
      </c>
      <c r="N1399" t="s">
        <v>103</v>
      </c>
      <c r="P1399" s="3" t="s">
        <v>80</v>
      </c>
      <c r="Q1399" s="2">
        <v>134.02000000000001</v>
      </c>
      <c r="R1399" s="3" t="s">
        <v>26</v>
      </c>
      <c r="S1399">
        <f>COUNTIF(A:A,A1399)</f>
        <v>1</v>
      </c>
      <c r="T1399" t="str">
        <f>IF(OR(H1399="",LOWER(TRIM(H1399&amp;""))="missing",LOWER(TRIM(H1399&amp;""))=""),"Missing/",IFERROR(IF(OR(VALUE(H1399)&lt;0,VALUE(H1399)&gt;110),"Invalid","Valid"),"Check Format"))</f>
        <v>Invalid</v>
      </c>
      <c r="U1399" t="str">
        <f>IF(Raw_Data[[#This Row],[Age_Check]]="Valid",H1399,"")</f>
        <v/>
      </c>
      <c r="V1399" t="str">
        <f>IF(OR(K1399="",UPPER(TRIM(K1399&amp;""))="",LOWER(TRIM(K1399&amp;""))="",LOWER(TRIM(K1399&amp;""))="",LOWER(TRIM(K1399&amp;""))="missing"),"Missing/",IFERROR(IF(VALUE(K1399)&lt;0,"Invalid","Valid"),"Check Format"))</f>
        <v>Valid</v>
      </c>
      <c r="W1399" t="str">
        <f>IF(OR(E1399="",F1399=""),"Missing Date/Time",IFERROR(IF(F1399&gt;E1399,"Arrival After Appointment","OK"),"Check Format"))</f>
        <v>OK</v>
      </c>
      <c r="X1399" t="str">
        <f>IF(OR(F1399="",G1399=""),"Missing Date/Time",IFERROR(IF(G1399&lt;F1399,"Discharge Before Arrival","OK"),"Check Format"))</f>
        <v>Missing Date/Time</v>
      </c>
    </row>
    <row r="1400" spans="1:24" x14ac:dyDescent="0.25">
      <c r="A1400" s="2" t="s">
        <v>2105</v>
      </c>
      <c r="B1400" s="2" t="s">
        <v>648</v>
      </c>
      <c r="C1400" s="3" t="s">
        <v>94</v>
      </c>
      <c r="D1400" s="3" t="s">
        <v>174</v>
      </c>
      <c r="E1400" s="4">
        <v>45455.527777777781</v>
      </c>
      <c r="F1400" s="4">
        <v>45632.511111111111</v>
      </c>
      <c r="G1400" s="4">
        <v>45632.615277777775</v>
      </c>
      <c r="H1400" s="5">
        <v>145</v>
      </c>
      <c r="I1400" s="3" t="s">
        <v>95</v>
      </c>
      <c r="J1400" s="3" t="s">
        <v>62</v>
      </c>
      <c r="K1400" s="5">
        <v>91</v>
      </c>
      <c r="L1400" s="5">
        <v>35</v>
      </c>
      <c r="M1400" s="3" t="s">
        <v>50</v>
      </c>
      <c r="N1400" t="s">
        <v>24</v>
      </c>
      <c r="P1400" s="3" t="s">
        <v>25</v>
      </c>
      <c r="Q1400" s="2">
        <v>169.61</v>
      </c>
      <c r="R1400" s="3" t="s">
        <v>43</v>
      </c>
      <c r="S1400">
        <f>COUNTIF(A:A,A1400)</f>
        <v>1</v>
      </c>
      <c r="T1400" t="str">
        <f>IF(OR(H1400="",LOWER(TRIM(H1400&amp;""))="missing",LOWER(TRIM(H1400&amp;""))=""),"Missing/",IFERROR(IF(OR(VALUE(H1400)&lt;0,VALUE(H1400)&gt;110),"Invalid","Valid"),"Check Format"))</f>
        <v>Invalid</v>
      </c>
      <c r="U1400" t="str">
        <f>IF(Raw_Data[[#This Row],[Age_Check]]="Valid",H1400,"")</f>
        <v/>
      </c>
      <c r="V1400" t="str">
        <f>IF(OR(K1400="",UPPER(TRIM(K1400&amp;""))="",LOWER(TRIM(K1400&amp;""))="",LOWER(TRIM(K1400&amp;""))="",LOWER(TRIM(K1400&amp;""))="missing"),"Missing/",IFERROR(IF(VALUE(K1400)&lt;0,"Invalid","Valid"),"Check Format"))</f>
        <v>Valid</v>
      </c>
      <c r="W1400" t="str">
        <f>IF(OR(E1400="",F1400=""),"Missing Date/Time",IFERROR(IF(F1400&gt;E1400,"Arrival After Appointment","OK"),"Check Format"))</f>
        <v>Arrival After Appointment</v>
      </c>
      <c r="X1400" t="str">
        <f>IF(OR(F1400="",G1400=""),"Missing Date/Time",IFERROR(IF(G1400&lt;F1400,"Discharge Before Arrival","OK"),"Check Format"))</f>
        <v>OK</v>
      </c>
    </row>
    <row r="1401" spans="1:24" x14ac:dyDescent="0.25">
      <c r="A1401" s="2" t="s">
        <v>2106</v>
      </c>
      <c r="B1401" s="2" t="s">
        <v>609</v>
      </c>
      <c r="C1401" s="3" t="s">
        <v>29</v>
      </c>
      <c r="D1401" s="3" t="s">
        <v>38</v>
      </c>
      <c r="E1401" s="4">
        <v>45769.659722222219</v>
      </c>
      <c r="G1401" s="4">
        <v>45769.684027777781</v>
      </c>
      <c r="H1401" s="5">
        <v>46</v>
      </c>
      <c r="K1401" s="5">
        <v>19</v>
      </c>
      <c r="L1401" s="5">
        <v>16</v>
      </c>
      <c r="M1401" s="3" t="s">
        <v>68</v>
      </c>
      <c r="O1401" s="5">
        <v>4</v>
      </c>
      <c r="P1401" s="3" t="s">
        <v>25</v>
      </c>
      <c r="Q1401" s="2">
        <v>288.89999999999998</v>
      </c>
      <c r="R1401" s="3" t="s">
        <v>58</v>
      </c>
      <c r="S1401">
        <f>COUNTIF(A:A,A1401)</f>
        <v>1</v>
      </c>
      <c r="T1401" t="str">
        <f>IF(OR(H1401="",LOWER(TRIM(H1401&amp;""))="missing",LOWER(TRIM(H1401&amp;""))=""),"Missing/",IFERROR(IF(OR(VALUE(H1401)&lt;0,VALUE(H1401)&gt;110),"Invalid","Valid"),"Check Format"))</f>
        <v>Valid</v>
      </c>
      <c r="U1401">
        <f>IF(Raw_Data[[#This Row],[Age_Check]]="Valid",H1401,"")</f>
        <v>46</v>
      </c>
      <c r="V1401" t="str">
        <f>IF(OR(K1401="",UPPER(TRIM(K1401&amp;""))="",LOWER(TRIM(K1401&amp;""))="",LOWER(TRIM(K1401&amp;""))="",LOWER(TRIM(K1401&amp;""))="missing"),"Missing/",IFERROR(IF(VALUE(K1401)&lt;0,"Invalid","Valid"),"Check Format"))</f>
        <v>Valid</v>
      </c>
      <c r="W1401" t="str">
        <f>IF(OR(E1401="",F1401=""),"Missing Date/Time",IFERROR(IF(F1401&gt;E1401,"Arrival After Appointment","OK"),"Check Format"))</f>
        <v>Missing Date/Time</v>
      </c>
      <c r="X1401" t="str">
        <f>IF(OR(F1401="",G1401=""),"Missing Date/Time",IFERROR(IF(G1401&lt;F1401,"Discharge Before Arrival","OK"),"Check Format"))</f>
        <v>Missing Date/Time</v>
      </c>
    </row>
    <row r="1402" spans="1:24" x14ac:dyDescent="0.25">
      <c r="A1402" s="2" t="s">
        <v>2107</v>
      </c>
      <c r="B1402" s="2" t="s">
        <v>2108</v>
      </c>
      <c r="D1402" s="3" t="s">
        <v>174</v>
      </c>
      <c r="E1402" s="4" t="s">
        <v>2109</v>
      </c>
      <c r="F1402" s="4">
        <v>45837.388194444444</v>
      </c>
      <c r="I1402" s="3" t="s">
        <v>73</v>
      </c>
      <c r="K1402" s="5">
        <v>32</v>
      </c>
      <c r="L1402" s="5">
        <v>61</v>
      </c>
      <c r="M1402" s="3" t="s">
        <v>23</v>
      </c>
      <c r="N1402" t="s">
        <v>24</v>
      </c>
      <c r="P1402" s="3" t="s">
        <v>25</v>
      </c>
      <c r="Q1402" s="2">
        <v>125.56</v>
      </c>
      <c r="R1402" s="3" t="s">
        <v>75</v>
      </c>
      <c r="S1402">
        <f>COUNTIF(A:A,A1402)</f>
        <v>1</v>
      </c>
      <c r="T1402" t="str">
        <f>IF(OR(H1402="",LOWER(TRIM(H1402&amp;""))="missing",LOWER(TRIM(H1402&amp;""))=""),"Missing/",IFERROR(IF(OR(VALUE(H1402)&lt;0,VALUE(H1402)&gt;110),"Invalid","Valid"),"Check Format"))</f>
        <v>Missing/</v>
      </c>
      <c r="U1402" t="str">
        <f>IF(Raw_Data[[#This Row],[Age_Check]]="Valid",H1402,"")</f>
        <v/>
      </c>
      <c r="V1402" t="str">
        <f>IF(OR(K1402="",UPPER(TRIM(K1402&amp;""))="",LOWER(TRIM(K1402&amp;""))="",LOWER(TRIM(K1402&amp;""))="",LOWER(TRIM(K1402&amp;""))="missing"),"Missing/",IFERROR(IF(VALUE(K1402)&lt;0,"Invalid","Valid"),"Check Format"))</f>
        <v>Valid</v>
      </c>
      <c r="W1402" t="str">
        <f>IF(OR(E1402="",F1402=""),"Missing Date/Time",IFERROR(IF(F1402&gt;E1402,"Arrival After Appointment","OK"),"Check Format"))</f>
        <v>OK</v>
      </c>
      <c r="X1402" t="str">
        <f>IF(OR(F1402="",G1402=""),"Missing Date/Time",IFERROR(IF(G1402&lt;F1402,"Discharge Before Arrival","OK"),"Check Format"))</f>
        <v>Missing Date/Time</v>
      </c>
    </row>
    <row r="1403" spans="1:24" x14ac:dyDescent="0.25">
      <c r="A1403" s="2" t="s">
        <v>2110</v>
      </c>
      <c r="B1403" s="2" t="s">
        <v>1706</v>
      </c>
      <c r="C1403" s="3" t="s">
        <v>46</v>
      </c>
      <c r="D1403" s="3" t="s">
        <v>174</v>
      </c>
      <c r="E1403" s="4">
        <v>45477.743055555555</v>
      </c>
      <c r="F1403" s="4">
        <v>45389.737500000003</v>
      </c>
      <c r="G1403" s="4">
        <v>45389.818749999999</v>
      </c>
      <c r="H1403" s="5">
        <v>81</v>
      </c>
      <c r="I1403" s="3" t="s">
        <v>95</v>
      </c>
      <c r="J1403" s="3" t="s">
        <v>67</v>
      </c>
      <c r="K1403" s="5">
        <v>58</v>
      </c>
      <c r="L1403" s="5">
        <v>51</v>
      </c>
      <c r="M1403" s="3" t="s">
        <v>23</v>
      </c>
      <c r="N1403" t="s">
        <v>103</v>
      </c>
      <c r="O1403" s="5">
        <v>3</v>
      </c>
      <c r="P1403" s="3" t="s">
        <v>25</v>
      </c>
      <c r="Q1403" s="2">
        <v>246.75</v>
      </c>
      <c r="R1403" s="3" t="s">
        <v>26</v>
      </c>
      <c r="S1403">
        <f>COUNTIF(A:A,A1403)</f>
        <v>1</v>
      </c>
      <c r="T1403" t="str">
        <f>IF(OR(H1403="",LOWER(TRIM(H1403&amp;""))="missing",LOWER(TRIM(H1403&amp;""))=""),"Missing/",IFERROR(IF(OR(VALUE(H1403)&lt;0,VALUE(H1403)&gt;110),"Invalid","Valid"),"Check Format"))</f>
        <v>Valid</v>
      </c>
      <c r="U1403">
        <f>IF(Raw_Data[[#This Row],[Age_Check]]="Valid",H1403,"")</f>
        <v>81</v>
      </c>
      <c r="V1403" t="str">
        <f>IF(OR(K1403="",UPPER(TRIM(K1403&amp;""))="",LOWER(TRIM(K1403&amp;""))="",LOWER(TRIM(K1403&amp;""))="",LOWER(TRIM(K1403&amp;""))="missing"),"Missing/",IFERROR(IF(VALUE(K1403)&lt;0,"Invalid","Valid"),"Check Format"))</f>
        <v>Valid</v>
      </c>
      <c r="W1403" t="str">
        <f>IF(OR(E1403="",F1403=""),"Missing Date/Time",IFERROR(IF(F1403&gt;E1403,"Arrival After Appointment","OK"),"Check Format"))</f>
        <v>OK</v>
      </c>
      <c r="X1403" t="str">
        <f>IF(OR(F1403="",G1403=""),"Missing Date/Time",IFERROR(IF(G1403&lt;F1403,"Discharge Before Arrival","OK"),"Check Format"))</f>
        <v>OK</v>
      </c>
    </row>
    <row r="1404" spans="1:24" x14ac:dyDescent="0.25">
      <c r="A1404" s="2" t="s">
        <v>2111</v>
      </c>
      <c r="B1404" s="2" t="s">
        <v>1734</v>
      </c>
      <c r="C1404" s="3" t="s">
        <v>19</v>
      </c>
      <c r="D1404" s="3" t="s">
        <v>66</v>
      </c>
      <c r="E1404" s="4">
        <v>45611.46875</v>
      </c>
      <c r="F1404" s="4">
        <v>45611.461111111108</v>
      </c>
      <c r="G1404" s="4">
        <v>45611.523611111108</v>
      </c>
      <c r="H1404" s="5">
        <v>145</v>
      </c>
      <c r="I1404" s="3" t="s">
        <v>73</v>
      </c>
      <c r="J1404" s="3" t="s">
        <v>2639</v>
      </c>
      <c r="K1404" s="5">
        <v>54</v>
      </c>
      <c r="L1404" s="5">
        <v>25</v>
      </c>
      <c r="M1404" s="3" t="s">
        <v>68</v>
      </c>
      <c r="O1404" s="5">
        <v>0</v>
      </c>
      <c r="P1404" s="3" t="s">
        <v>25</v>
      </c>
      <c r="Q1404" s="2">
        <v>140.53</v>
      </c>
      <c r="R1404" s="3" t="s">
        <v>58</v>
      </c>
      <c r="S1404">
        <f>COUNTIF(A:A,A1404)</f>
        <v>1</v>
      </c>
      <c r="T1404" t="str">
        <f>IF(OR(H1404="",LOWER(TRIM(H1404&amp;""))="missing",LOWER(TRIM(H1404&amp;""))=""),"Missing/",IFERROR(IF(OR(VALUE(H1404)&lt;0,VALUE(H1404)&gt;110),"Invalid","Valid"),"Check Format"))</f>
        <v>Invalid</v>
      </c>
      <c r="U1404" t="str">
        <f>IF(Raw_Data[[#This Row],[Age_Check]]="Valid",H1404,"")</f>
        <v/>
      </c>
      <c r="V1404" t="str">
        <f>IF(OR(K1404="",UPPER(TRIM(K1404&amp;""))="",LOWER(TRIM(K1404&amp;""))="",LOWER(TRIM(K1404&amp;""))="",LOWER(TRIM(K1404&amp;""))="missing"),"Missing/",IFERROR(IF(VALUE(K1404)&lt;0,"Invalid","Valid"),"Check Format"))</f>
        <v>Valid</v>
      </c>
      <c r="W1404" t="str">
        <f>IF(OR(E1404="",F1404=""),"Missing Date/Time",IFERROR(IF(F1404&gt;E1404,"Arrival After Appointment","OK"),"Check Format"))</f>
        <v>OK</v>
      </c>
      <c r="X1404" t="str">
        <f>IF(OR(F1404="",G1404=""),"Missing Date/Time",IFERROR(IF(G1404&lt;F1404,"Discharge Before Arrival","OK"),"Check Format"))</f>
        <v>OK</v>
      </c>
    </row>
    <row r="1405" spans="1:24" x14ac:dyDescent="0.25">
      <c r="A1405" s="2" t="s">
        <v>2112</v>
      </c>
      <c r="B1405" s="2" t="s">
        <v>232</v>
      </c>
      <c r="C1405" s="3" t="s">
        <v>94</v>
      </c>
      <c r="D1405" s="3" t="s">
        <v>30</v>
      </c>
      <c r="E1405" s="4" t="s">
        <v>2113</v>
      </c>
      <c r="F1405" s="4">
        <v>45593.473611111112</v>
      </c>
      <c r="G1405" s="4">
        <v>45593.570833333331</v>
      </c>
      <c r="J1405" s="3" t="s">
        <v>62</v>
      </c>
      <c r="K1405" s="5">
        <v>69</v>
      </c>
      <c r="L1405" s="5">
        <v>48</v>
      </c>
      <c r="N1405" t="s">
        <v>74</v>
      </c>
      <c r="P1405" s="3" t="s">
        <v>25</v>
      </c>
      <c r="Q1405" s="2">
        <v>145.34</v>
      </c>
      <c r="R1405" s="3" t="s">
        <v>58</v>
      </c>
      <c r="S1405">
        <f>COUNTIF(A:A,A1405)</f>
        <v>1</v>
      </c>
      <c r="T1405" t="str">
        <f>IF(OR(H1405="",LOWER(TRIM(H1405&amp;""))="missing",LOWER(TRIM(H1405&amp;""))=""),"Missing/",IFERROR(IF(OR(VALUE(H1405)&lt;0,VALUE(H1405)&gt;110),"Invalid","Valid"),"Check Format"))</f>
        <v>Missing/</v>
      </c>
      <c r="U1405" t="str">
        <f>IF(Raw_Data[[#This Row],[Age_Check]]="Valid",H1405,"")</f>
        <v/>
      </c>
      <c r="V1405" t="str">
        <f>IF(OR(K1405="",UPPER(TRIM(K1405&amp;""))="",LOWER(TRIM(K1405&amp;""))="",LOWER(TRIM(K1405&amp;""))="",LOWER(TRIM(K1405&amp;""))="missing"),"Missing/",IFERROR(IF(VALUE(K1405)&lt;0,"Invalid","Valid"),"Check Format"))</f>
        <v>Valid</v>
      </c>
      <c r="W1405" t="str">
        <f>IF(OR(E1405="",F1405=""),"Missing Date/Time",IFERROR(IF(F1405&gt;E1405,"Arrival After Appointment","OK"),"Check Format"))</f>
        <v>OK</v>
      </c>
      <c r="X1405" t="str">
        <f>IF(OR(F1405="",G1405=""),"Missing Date/Time",IFERROR(IF(G1405&lt;F1405,"Discharge Before Arrival","OK"),"Check Format"))</f>
        <v>OK</v>
      </c>
    </row>
    <row r="1406" spans="1:24" x14ac:dyDescent="0.25">
      <c r="A1406" s="2" t="s">
        <v>2114</v>
      </c>
      <c r="B1406" s="2" t="s">
        <v>1175</v>
      </c>
      <c r="C1406" s="3" t="s">
        <v>46</v>
      </c>
      <c r="D1406" s="3" t="s">
        <v>209</v>
      </c>
      <c r="E1406" s="4">
        <v>45634.631944444445</v>
      </c>
      <c r="F1406" s="4">
        <v>45516.62777777778</v>
      </c>
      <c r="G1406" s="4">
        <v>45516.729166666664</v>
      </c>
      <c r="H1406" s="5">
        <v>21</v>
      </c>
      <c r="I1406" s="3" t="s">
        <v>73</v>
      </c>
      <c r="J1406" s="3" t="s">
        <v>62</v>
      </c>
      <c r="K1406" s="5">
        <v>79</v>
      </c>
      <c r="L1406" s="5">
        <v>61</v>
      </c>
      <c r="M1406" s="3" t="s">
        <v>41</v>
      </c>
      <c r="N1406" t="s">
        <v>103</v>
      </c>
      <c r="O1406" s="5">
        <v>0</v>
      </c>
      <c r="P1406" s="3" t="s">
        <v>25</v>
      </c>
      <c r="Q1406" s="2">
        <v>175.5</v>
      </c>
      <c r="R1406" s="3" t="s">
        <v>43</v>
      </c>
      <c r="S1406">
        <f>COUNTIF(A:A,A1406)</f>
        <v>1</v>
      </c>
      <c r="T1406" t="str">
        <f>IF(OR(H1406="",LOWER(TRIM(H1406&amp;""))="missing",LOWER(TRIM(H1406&amp;""))=""),"Missing/",IFERROR(IF(OR(VALUE(H1406)&lt;0,VALUE(H1406)&gt;110),"Invalid","Valid"),"Check Format"))</f>
        <v>Valid</v>
      </c>
      <c r="U1406">
        <f>IF(Raw_Data[[#This Row],[Age_Check]]="Valid",H1406,"")</f>
        <v>21</v>
      </c>
      <c r="V1406" t="str">
        <f>IF(OR(K1406="",UPPER(TRIM(K1406&amp;""))="",LOWER(TRIM(K1406&amp;""))="",LOWER(TRIM(K1406&amp;""))="",LOWER(TRIM(K1406&amp;""))="missing"),"Missing/",IFERROR(IF(VALUE(K1406)&lt;0,"Invalid","Valid"),"Check Format"))</f>
        <v>Valid</v>
      </c>
      <c r="W1406" t="str">
        <f>IF(OR(E1406="",F1406=""),"Missing Date/Time",IFERROR(IF(F1406&gt;E1406,"Arrival After Appointment","OK"),"Check Format"))</f>
        <v>OK</v>
      </c>
      <c r="X1406" t="str">
        <f>IF(OR(F1406="",G1406=""),"Missing Date/Time",IFERROR(IF(G1406&lt;F1406,"Discharge Before Arrival","OK"),"Check Format"))</f>
        <v>OK</v>
      </c>
    </row>
    <row r="1407" spans="1:24" x14ac:dyDescent="0.25">
      <c r="A1407" s="2" t="s">
        <v>2115</v>
      </c>
      <c r="B1407" s="2" t="s">
        <v>896</v>
      </c>
      <c r="D1407" s="3" t="s">
        <v>174</v>
      </c>
      <c r="E1407" s="4" t="s">
        <v>2116</v>
      </c>
      <c r="F1407" s="4">
        <v>45829.427777777775</v>
      </c>
      <c r="I1407" s="3" t="s">
        <v>39</v>
      </c>
      <c r="K1407" s="5">
        <v>68</v>
      </c>
      <c r="L1407" s="5">
        <v>5</v>
      </c>
      <c r="N1407" t="s">
        <v>74</v>
      </c>
      <c r="O1407" s="5">
        <v>0</v>
      </c>
      <c r="P1407" s="3" t="s">
        <v>42</v>
      </c>
      <c r="Q1407" s="2">
        <v>0</v>
      </c>
      <c r="R1407" s="3" t="s">
        <v>26</v>
      </c>
      <c r="S1407">
        <f>COUNTIF(A:A,A1407)</f>
        <v>1</v>
      </c>
      <c r="T1407" t="str">
        <f>IF(OR(H1407="",LOWER(TRIM(H1407&amp;""))="missing",LOWER(TRIM(H1407&amp;""))=""),"Missing/",IFERROR(IF(OR(VALUE(H1407)&lt;0,VALUE(H1407)&gt;110),"Invalid","Valid"),"Check Format"))</f>
        <v>Missing/</v>
      </c>
      <c r="U1407" t="str">
        <f>IF(Raw_Data[[#This Row],[Age_Check]]="Valid",H1407,"")</f>
        <v/>
      </c>
      <c r="V1407" t="str">
        <f>IF(OR(K1407="",UPPER(TRIM(K1407&amp;""))="",LOWER(TRIM(K1407&amp;""))="",LOWER(TRIM(K1407&amp;""))="",LOWER(TRIM(K1407&amp;""))="missing"),"Missing/",IFERROR(IF(VALUE(K1407)&lt;0,"Invalid","Valid"),"Check Format"))</f>
        <v>Valid</v>
      </c>
      <c r="W1407" t="str">
        <f>IF(OR(E1407="",F1407=""),"Missing Date/Time",IFERROR(IF(F1407&gt;E1407,"Arrival After Appointment","OK"),"Check Format"))</f>
        <v>OK</v>
      </c>
      <c r="X1407" t="str">
        <f>IF(OR(F1407="",G1407=""),"Missing Date/Time",IFERROR(IF(G1407&lt;F1407,"Discharge Before Arrival","OK"),"Check Format"))</f>
        <v>Missing Date/Time</v>
      </c>
    </row>
    <row r="1408" spans="1:24" x14ac:dyDescent="0.25">
      <c r="A1408" s="2" t="s">
        <v>2117</v>
      </c>
      <c r="B1408" s="2" t="s">
        <v>318</v>
      </c>
      <c r="C1408" s="3" t="s">
        <v>94</v>
      </c>
      <c r="D1408" s="3" t="s">
        <v>66</v>
      </c>
      <c r="E1408" s="4">
        <v>45995.736111111109</v>
      </c>
      <c r="F1408" s="4">
        <v>45995.71875</v>
      </c>
      <c r="G1408" s="4">
        <v>45995.806250000001</v>
      </c>
      <c r="I1408" s="3" t="s">
        <v>90</v>
      </c>
      <c r="J1408" s="3" t="s">
        <v>171</v>
      </c>
      <c r="K1408" s="5">
        <v>71</v>
      </c>
      <c r="L1408" s="5">
        <v>30</v>
      </c>
      <c r="M1408" s="3" t="s">
        <v>50</v>
      </c>
      <c r="O1408" s="5">
        <v>2</v>
      </c>
      <c r="P1408" s="3" t="s">
        <v>25</v>
      </c>
      <c r="Q1408" s="2">
        <v>103.82</v>
      </c>
      <c r="R1408" s="3" t="s">
        <v>75</v>
      </c>
      <c r="S1408">
        <f>COUNTIF(A:A,A1408)</f>
        <v>1</v>
      </c>
      <c r="T1408" t="str">
        <f>IF(OR(H1408="",LOWER(TRIM(H1408&amp;""))="missing",LOWER(TRIM(H1408&amp;""))=""),"Missing/",IFERROR(IF(OR(VALUE(H1408)&lt;0,VALUE(H1408)&gt;110),"Invalid","Valid"),"Check Format"))</f>
        <v>Missing/</v>
      </c>
      <c r="U1408" t="str">
        <f>IF(Raw_Data[[#This Row],[Age_Check]]="Valid",H1408,"")</f>
        <v/>
      </c>
      <c r="V1408" t="str">
        <f>IF(OR(K1408="",UPPER(TRIM(K1408&amp;""))="",LOWER(TRIM(K1408&amp;""))="",LOWER(TRIM(K1408&amp;""))="",LOWER(TRIM(K1408&amp;""))="missing"),"Missing/",IFERROR(IF(VALUE(K1408)&lt;0,"Invalid","Valid"),"Check Format"))</f>
        <v>Valid</v>
      </c>
      <c r="W1408" t="str">
        <f>IF(OR(E1408="",F1408=""),"Missing Date/Time",IFERROR(IF(F1408&gt;E1408,"Arrival After Appointment","OK"),"Check Format"))</f>
        <v>OK</v>
      </c>
      <c r="X1408" t="str">
        <f>IF(OR(F1408="",G1408=""),"Missing Date/Time",IFERROR(IF(G1408&lt;F1408,"Discharge Before Arrival","OK"),"Check Format"))</f>
        <v>OK</v>
      </c>
    </row>
    <row r="1409" spans="1:24" x14ac:dyDescent="0.25">
      <c r="A1409" s="2" t="s">
        <v>2118</v>
      </c>
      <c r="B1409" s="2" t="s">
        <v>192</v>
      </c>
      <c r="C1409" s="3" t="s">
        <v>29</v>
      </c>
      <c r="D1409" s="3" t="s">
        <v>72</v>
      </c>
      <c r="E1409" s="4">
        <v>45462.708333333336</v>
      </c>
      <c r="F1409" s="4">
        <v>45462.706250000003</v>
      </c>
      <c r="G1409" s="4">
        <v>45462.775000000001</v>
      </c>
      <c r="I1409" s="3" t="s">
        <v>73</v>
      </c>
      <c r="J1409" s="3" t="s">
        <v>67</v>
      </c>
      <c r="K1409" s="5">
        <v>66</v>
      </c>
      <c r="L1409" s="5">
        <v>30</v>
      </c>
      <c r="M1409" s="3" t="s">
        <v>41</v>
      </c>
      <c r="O1409" s="5">
        <v>6</v>
      </c>
      <c r="P1409" s="3" t="s">
        <v>25</v>
      </c>
      <c r="Q1409" s="2">
        <v>235.22</v>
      </c>
      <c r="R1409" s="3" t="s">
        <v>26</v>
      </c>
      <c r="S1409">
        <f>COUNTIF(A:A,A1409)</f>
        <v>1</v>
      </c>
      <c r="T1409" t="str">
        <f>IF(OR(H1409="",LOWER(TRIM(H1409&amp;""))="missing",LOWER(TRIM(H1409&amp;""))=""),"Missing/",IFERROR(IF(OR(VALUE(H1409)&lt;0,VALUE(H1409)&gt;110),"Invalid","Valid"),"Check Format"))</f>
        <v>Missing/</v>
      </c>
      <c r="U1409" t="str">
        <f>IF(Raw_Data[[#This Row],[Age_Check]]="Valid",H1409,"")</f>
        <v/>
      </c>
      <c r="V1409" t="str">
        <f>IF(OR(K1409="",UPPER(TRIM(K1409&amp;""))="",LOWER(TRIM(K1409&amp;""))="",LOWER(TRIM(K1409&amp;""))="",LOWER(TRIM(K1409&amp;""))="missing"),"Missing/",IFERROR(IF(VALUE(K1409)&lt;0,"Invalid","Valid"),"Check Format"))</f>
        <v>Valid</v>
      </c>
      <c r="W1409" t="str">
        <f>IF(OR(E1409="",F1409=""),"Missing Date/Time",IFERROR(IF(F1409&gt;E1409,"Arrival After Appointment","OK"),"Check Format"))</f>
        <v>OK</v>
      </c>
      <c r="X1409" t="str">
        <f>IF(OR(F1409="",G1409=""),"Missing Date/Time",IFERROR(IF(G1409&lt;F1409,"Discharge Before Arrival","OK"),"Check Format"))</f>
        <v>OK</v>
      </c>
    </row>
    <row r="1410" spans="1:24" x14ac:dyDescent="0.25">
      <c r="A1410" s="2" t="s">
        <v>2119</v>
      </c>
      <c r="B1410" s="2" t="s">
        <v>1148</v>
      </c>
      <c r="C1410" s="3" t="s">
        <v>94</v>
      </c>
      <c r="D1410" s="3" t="s">
        <v>55</v>
      </c>
      <c r="E1410" s="4">
        <v>45651.340277777781</v>
      </c>
      <c r="F1410" s="4">
        <v>45651.330555555556</v>
      </c>
      <c r="G1410" s="4">
        <v>45651.395138888889</v>
      </c>
      <c r="I1410" s="3" t="s">
        <v>95</v>
      </c>
      <c r="J1410" s="3" t="s">
        <v>22</v>
      </c>
      <c r="K1410" s="5">
        <v>61</v>
      </c>
      <c r="L1410" s="5">
        <v>18</v>
      </c>
      <c r="M1410" s="3" t="s">
        <v>63</v>
      </c>
      <c r="P1410" s="3" t="s">
        <v>42</v>
      </c>
      <c r="Q1410" s="2">
        <v>224.21</v>
      </c>
      <c r="R1410" s="3" t="s">
        <v>58</v>
      </c>
      <c r="S1410">
        <f>COUNTIF(A:A,A1410)</f>
        <v>1</v>
      </c>
      <c r="T1410" t="str">
        <f>IF(OR(H1410="",LOWER(TRIM(H1410&amp;""))="missing",LOWER(TRIM(H1410&amp;""))=""),"Missing/",IFERROR(IF(OR(VALUE(H1410)&lt;0,VALUE(H1410)&gt;110),"Invalid","Valid"),"Check Format"))</f>
        <v>Missing/</v>
      </c>
      <c r="U1410" t="str">
        <f>IF(Raw_Data[[#This Row],[Age_Check]]="Valid",H1410,"")</f>
        <v/>
      </c>
      <c r="V1410" t="str">
        <f>IF(OR(K1410="",UPPER(TRIM(K1410&amp;""))="",LOWER(TRIM(K1410&amp;""))="",LOWER(TRIM(K1410&amp;""))="",LOWER(TRIM(K1410&amp;""))="missing"),"Missing/",IFERROR(IF(VALUE(K1410)&lt;0,"Invalid","Valid"),"Check Format"))</f>
        <v>Valid</v>
      </c>
      <c r="W1410" t="str">
        <f>IF(OR(E1410="",F1410=""),"Missing Date/Time",IFERROR(IF(F1410&gt;E1410,"Arrival After Appointment","OK"),"Check Format"))</f>
        <v>OK</v>
      </c>
      <c r="X1410" t="str">
        <f>IF(OR(F1410="",G1410=""),"Missing Date/Time",IFERROR(IF(G1410&lt;F1410,"Discharge Before Arrival","OK"),"Check Format"))</f>
        <v>OK</v>
      </c>
    </row>
    <row r="1411" spans="1:24" x14ac:dyDescent="0.25">
      <c r="A1411" s="2" t="s">
        <v>2120</v>
      </c>
      <c r="B1411" s="2" t="s">
        <v>921</v>
      </c>
      <c r="C1411" s="3" t="s">
        <v>94</v>
      </c>
      <c r="D1411" s="3" t="s">
        <v>38</v>
      </c>
      <c r="E1411" s="4" t="s">
        <v>2121</v>
      </c>
      <c r="F1411" s="4">
        <v>45650.533333333333</v>
      </c>
      <c r="G1411" s="4">
        <v>45650.601388888892</v>
      </c>
      <c r="H1411" s="5">
        <v>13</v>
      </c>
      <c r="I1411" s="3" t="s">
        <v>95</v>
      </c>
      <c r="K1411" s="5">
        <v>50</v>
      </c>
      <c r="L1411" s="5">
        <v>41</v>
      </c>
      <c r="M1411" s="3" t="s">
        <v>50</v>
      </c>
      <c r="N1411" t="s">
        <v>69</v>
      </c>
      <c r="O1411" s="5">
        <v>0</v>
      </c>
      <c r="P1411" s="3" t="s">
        <v>80</v>
      </c>
      <c r="Q1411" s="2">
        <v>106.81</v>
      </c>
      <c r="R1411" s="3" t="s">
        <v>58</v>
      </c>
      <c r="S1411">
        <f>COUNTIF(A:A,A1411)</f>
        <v>1</v>
      </c>
      <c r="T1411" t="str">
        <f>IF(OR(H1411="",LOWER(TRIM(H1411&amp;""))="missing",LOWER(TRIM(H1411&amp;""))=""),"Missing/",IFERROR(IF(OR(VALUE(H1411)&lt;0,VALUE(H1411)&gt;110),"Invalid","Valid"),"Check Format"))</f>
        <v>Valid</v>
      </c>
      <c r="U1411">
        <f>IF(Raw_Data[[#This Row],[Age_Check]]="Valid",H1411,"")</f>
        <v>13</v>
      </c>
      <c r="V1411" t="str">
        <f>IF(OR(K1411="",UPPER(TRIM(K1411&amp;""))="",LOWER(TRIM(K1411&amp;""))="",LOWER(TRIM(K1411&amp;""))="",LOWER(TRIM(K1411&amp;""))="missing"),"Missing/",IFERROR(IF(VALUE(K1411)&lt;0,"Invalid","Valid"),"Check Format"))</f>
        <v>Valid</v>
      </c>
      <c r="W1411" t="str">
        <f>IF(OR(E1411="",F1411=""),"Missing Date/Time",IFERROR(IF(F1411&gt;E1411,"Arrival After Appointment","OK"),"Check Format"))</f>
        <v>OK</v>
      </c>
      <c r="X1411" t="str">
        <f>IF(OR(F1411="",G1411=""),"Missing Date/Time",IFERROR(IF(G1411&lt;F1411,"Discharge Before Arrival","OK"),"Check Format"))</f>
        <v>OK</v>
      </c>
    </row>
    <row r="1412" spans="1:24" x14ac:dyDescent="0.25">
      <c r="A1412" s="2" t="s">
        <v>2122</v>
      </c>
      <c r="B1412" s="2" t="s">
        <v>832</v>
      </c>
      <c r="C1412" s="3" t="s">
        <v>46</v>
      </c>
      <c r="D1412" s="3" t="s">
        <v>72</v>
      </c>
      <c r="E1412" s="4">
        <v>45873.434027777781</v>
      </c>
      <c r="F1412" s="4">
        <v>45873.428472222222</v>
      </c>
      <c r="G1412" s="4">
        <v>45873.481249999997</v>
      </c>
      <c r="I1412" s="3" t="s">
        <v>73</v>
      </c>
      <c r="K1412" s="5">
        <v>35</v>
      </c>
      <c r="L1412" s="5">
        <v>33</v>
      </c>
      <c r="M1412" s="3" t="s">
        <v>87</v>
      </c>
      <c r="O1412" s="5">
        <v>3</v>
      </c>
      <c r="P1412" s="3" t="s">
        <v>80</v>
      </c>
      <c r="Q1412" s="2">
        <v>146.03</v>
      </c>
      <c r="R1412" s="3" t="s">
        <v>43</v>
      </c>
      <c r="S1412">
        <f>COUNTIF(A:A,A1412)</f>
        <v>1</v>
      </c>
      <c r="T1412" t="str">
        <f>IF(OR(H1412="",LOWER(TRIM(H1412&amp;""))="missing",LOWER(TRIM(H1412&amp;""))=""),"Missing/",IFERROR(IF(OR(VALUE(H1412)&lt;0,VALUE(H1412)&gt;110),"Invalid","Valid"),"Check Format"))</f>
        <v>Missing/</v>
      </c>
      <c r="U1412" t="str">
        <f>IF(Raw_Data[[#This Row],[Age_Check]]="Valid",H1412,"")</f>
        <v/>
      </c>
      <c r="V1412" t="str">
        <f>IF(OR(K1412="",UPPER(TRIM(K1412&amp;""))="",LOWER(TRIM(K1412&amp;""))="",LOWER(TRIM(K1412&amp;""))="",LOWER(TRIM(K1412&amp;""))="missing"),"Missing/",IFERROR(IF(VALUE(K1412)&lt;0,"Invalid","Valid"),"Check Format"))</f>
        <v>Valid</v>
      </c>
      <c r="W1412" t="str">
        <f>IF(OR(E1412="",F1412=""),"Missing Date/Time",IFERROR(IF(F1412&gt;E1412,"Arrival After Appointment","OK"),"Check Format"))</f>
        <v>OK</v>
      </c>
      <c r="X1412" t="str">
        <f>IF(OR(F1412="",G1412=""),"Missing Date/Time",IFERROR(IF(G1412&lt;F1412,"Discharge Before Arrival","OK"),"Check Format"))</f>
        <v>OK</v>
      </c>
    </row>
    <row r="1413" spans="1:24" x14ac:dyDescent="0.25">
      <c r="A1413" s="2" t="s">
        <v>2123</v>
      </c>
      <c r="B1413" s="2" t="s">
        <v>1660</v>
      </c>
      <c r="C1413" s="3" t="s">
        <v>19</v>
      </c>
      <c r="D1413" s="3" t="s">
        <v>106</v>
      </c>
      <c r="E1413" s="4">
        <v>45793.545138888891</v>
      </c>
      <c r="F1413" s="4">
        <v>45793.531944444447</v>
      </c>
      <c r="H1413" s="5">
        <v>39</v>
      </c>
      <c r="I1413" s="3" t="s">
        <v>90</v>
      </c>
      <c r="J1413" s="3" t="s">
        <v>150</v>
      </c>
      <c r="K1413" s="5">
        <v>74</v>
      </c>
      <c r="L1413" s="5">
        <v>27</v>
      </c>
      <c r="M1413" s="3" t="s">
        <v>63</v>
      </c>
      <c r="N1413" t="s">
        <v>69</v>
      </c>
      <c r="P1413" s="3" t="s">
        <v>80</v>
      </c>
      <c r="Q1413" s="2">
        <v>0</v>
      </c>
      <c r="R1413" s="3" t="s">
        <v>58</v>
      </c>
      <c r="S1413">
        <f>COUNTIF(A:A,A1413)</f>
        <v>1</v>
      </c>
      <c r="T1413" t="str">
        <f>IF(OR(H1413="",LOWER(TRIM(H1413&amp;""))="missing",LOWER(TRIM(H1413&amp;""))=""),"Missing/",IFERROR(IF(OR(VALUE(H1413)&lt;0,VALUE(H1413)&gt;110),"Invalid","Valid"),"Check Format"))</f>
        <v>Valid</v>
      </c>
      <c r="U1413">
        <f>IF(Raw_Data[[#This Row],[Age_Check]]="Valid",H1413,"")</f>
        <v>39</v>
      </c>
      <c r="V1413" t="str">
        <f>IF(OR(K1413="",UPPER(TRIM(K1413&amp;""))="",LOWER(TRIM(K1413&amp;""))="",LOWER(TRIM(K1413&amp;""))="",LOWER(TRIM(K1413&amp;""))="missing"),"Missing/",IFERROR(IF(VALUE(K1413)&lt;0,"Invalid","Valid"),"Check Format"))</f>
        <v>Valid</v>
      </c>
      <c r="W1413" t="str">
        <f>IF(OR(E1413="",F1413=""),"Missing Date/Time",IFERROR(IF(F1413&gt;E1413,"Arrival After Appointment","OK"),"Check Format"))</f>
        <v>OK</v>
      </c>
      <c r="X1413" t="str">
        <f>IF(OR(F1413="",G1413=""),"Missing Date/Time",IFERROR(IF(G1413&lt;F1413,"Discharge Before Arrival","OK"),"Check Format"))</f>
        <v>Missing Date/Time</v>
      </c>
    </row>
    <row r="1414" spans="1:24" x14ac:dyDescent="0.25">
      <c r="A1414" s="2" t="s">
        <v>2124</v>
      </c>
      <c r="B1414" s="2" t="s">
        <v>1724</v>
      </c>
      <c r="D1414" s="3" t="s">
        <v>66</v>
      </c>
      <c r="E1414" s="4">
        <v>45294.777777777781</v>
      </c>
      <c r="F1414" s="4">
        <v>45294.777777777781</v>
      </c>
      <c r="G1414" s="4">
        <v>45294.838888888888</v>
      </c>
      <c r="H1414" s="5">
        <v>145</v>
      </c>
      <c r="J1414" s="3" t="s">
        <v>67</v>
      </c>
      <c r="K1414" s="5">
        <v>42</v>
      </c>
      <c r="L1414" s="5">
        <v>46</v>
      </c>
      <c r="M1414" s="3" t="s">
        <v>23</v>
      </c>
      <c r="N1414" t="s">
        <v>91</v>
      </c>
      <c r="O1414" s="5">
        <v>6</v>
      </c>
      <c r="P1414" s="3" t="s">
        <v>42</v>
      </c>
      <c r="Q1414" s="2">
        <v>121.21</v>
      </c>
      <c r="R1414" s="3" t="s">
        <v>58</v>
      </c>
      <c r="S1414">
        <f>COUNTIF(A:A,A1414)</f>
        <v>1</v>
      </c>
      <c r="T1414" t="str">
        <f>IF(OR(H1414="",LOWER(TRIM(H1414&amp;""))="missing",LOWER(TRIM(H1414&amp;""))=""),"Missing/",IFERROR(IF(OR(VALUE(H1414)&lt;0,VALUE(H1414)&gt;110),"Invalid","Valid"),"Check Format"))</f>
        <v>Invalid</v>
      </c>
      <c r="U1414" t="str">
        <f>IF(Raw_Data[[#This Row],[Age_Check]]="Valid",H1414,"")</f>
        <v/>
      </c>
      <c r="V1414" t="str">
        <f>IF(OR(K1414="",UPPER(TRIM(K1414&amp;""))="",LOWER(TRIM(K1414&amp;""))="",LOWER(TRIM(K1414&amp;""))="",LOWER(TRIM(K1414&amp;""))="missing"),"Missing/",IFERROR(IF(VALUE(K1414)&lt;0,"Invalid","Valid"),"Check Format"))</f>
        <v>Valid</v>
      </c>
      <c r="W1414" t="str">
        <f>IF(OR(E1414="",F1414=""),"Missing Date/Time",IFERROR(IF(F1414&gt;E1414,"Arrival After Appointment","OK"),"Check Format"))</f>
        <v>OK</v>
      </c>
      <c r="X1414" t="str">
        <f>IF(OR(F1414="",G1414=""),"Missing Date/Time",IFERROR(IF(G1414&lt;F1414,"Discharge Before Arrival","OK"),"Check Format"))</f>
        <v>OK</v>
      </c>
    </row>
    <row r="1415" spans="1:24" x14ac:dyDescent="0.25">
      <c r="A1415" s="2" t="s">
        <v>2125</v>
      </c>
      <c r="B1415" s="2" t="s">
        <v>633</v>
      </c>
      <c r="C1415" s="3" t="s">
        <v>94</v>
      </c>
      <c r="D1415" s="3" t="s">
        <v>55</v>
      </c>
      <c r="E1415" s="4">
        <v>45974.4375</v>
      </c>
      <c r="F1415" s="4">
        <v>45974.420138888891</v>
      </c>
      <c r="G1415" s="4">
        <v>45974.505555555559</v>
      </c>
      <c r="H1415" s="5">
        <v>58</v>
      </c>
      <c r="I1415" s="3" t="s">
        <v>95</v>
      </c>
      <c r="J1415" s="3" t="s">
        <v>62</v>
      </c>
      <c r="K1415" s="5">
        <v>49</v>
      </c>
      <c r="L1415" s="5">
        <v>49</v>
      </c>
      <c r="M1415" s="3" t="s">
        <v>63</v>
      </c>
      <c r="N1415" t="s">
        <v>24</v>
      </c>
      <c r="P1415" s="3" t="s">
        <v>25</v>
      </c>
      <c r="Q1415" s="2">
        <v>88.04</v>
      </c>
      <c r="R1415" s="3" t="s">
        <v>26</v>
      </c>
      <c r="S1415">
        <f>COUNTIF(A:A,A1415)</f>
        <v>1</v>
      </c>
      <c r="T1415" t="str">
        <f>IF(OR(H1415="",LOWER(TRIM(H1415&amp;""))="missing",LOWER(TRIM(H1415&amp;""))=""),"Missing/",IFERROR(IF(OR(VALUE(H1415)&lt;0,VALUE(H1415)&gt;110),"Invalid","Valid"),"Check Format"))</f>
        <v>Valid</v>
      </c>
      <c r="U1415">
        <f>IF(Raw_Data[[#This Row],[Age_Check]]="Valid",H1415,"")</f>
        <v>58</v>
      </c>
      <c r="V1415" t="str">
        <f>IF(OR(K1415="",UPPER(TRIM(K1415&amp;""))="",LOWER(TRIM(K1415&amp;""))="",LOWER(TRIM(K1415&amp;""))="",LOWER(TRIM(K1415&amp;""))="missing"),"Missing/",IFERROR(IF(VALUE(K1415)&lt;0,"Invalid","Valid"),"Check Format"))</f>
        <v>Valid</v>
      </c>
      <c r="W1415" t="str">
        <f>IF(OR(E1415="",F1415=""),"Missing Date/Time",IFERROR(IF(F1415&gt;E1415,"Arrival After Appointment","OK"),"Check Format"))</f>
        <v>OK</v>
      </c>
      <c r="X1415" t="str">
        <f>IF(OR(F1415="",G1415=""),"Missing Date/Time",IFERROR(IF(G1415&lt;F1415,"Discharge Before Arrival","OK"),"Check Format"))</f>
        <v>OK</v>
      </c>
    </row>
    <row r="1416" spans="1:24" x14ac:dyDescent="0.25">
      <c r="A1416" s="2" t="s">
        <v>2126</v>
      </c>
      <c r="B1416" s="2" t="s">
        <v>1311</v>
      </c>
      <c r="D1416" s="3" t="s">
        <v>47</v>
      </c>
      <c r="E1416" s="4">
        <v>45809.690972222219</v>
      </c>
      <c r="F1416" s="4">
        <v>45663.6875</v>
      </c>
      <c r="G1416" s="4">
        <v>45663.713888888888</v>
      </c>
      <c r="H1416" s="5">
        <v>62</v>
      </c>
      <c r="I1416" s="3" t="s">
        <v>73</v>
      </c>
      <c r="J1416" s="3" t="s">
        <v>62</v>
      </c>
      <c r="K1416" s="5">
        <v>4</v>
      </c>
      <c r="L1416" s="5">
        <v>29</v>
      </c>
      <c r="M1416" s="3" t="s">
        <v>23</v>
      </c>
      <c r="N1416" t="s">
        <v>91</v>
      </c>
      <c r="O1416" s="5">
        <v>3</v>
      </c>
      <c r="Q1416" s="2">
        <v>106.27</v>
      </c>
      <c r="R1416" s="3" t="s">
        <v>58</v>
      </c>
      <c r="S1416">
        <f>COUNTIF(A:A,A1416)</f>
        <v>1</v>
      </c>
      <c r="T1416" t="str">
        <f>IF(OR(H1416="",LOWER(TRIM(H1416&amp;""))="missing",LOWER(TRIM(H1416&amp;""))=""),"Missing/",IFERROR(IF(OR(VALUE(H1416)&lt;0,VALUE(H1416)&gt;110),"Invalid","Valid"),"Check Format"))</f>
        <v>Valid</v>
      </c>
      <c r="U1416">
        <f>IF(Raw_Data[[#This Row],[Age_Check]]="Valid",H1416,"")</f>
        <v>62</v>
      </c>
      <c r="V1416" t="str">
        <f>IF(OR(K1416="",UPPER(TRIM(K1416&amp;""))="",LOWER(TRIM(K1416&amp;""))="",LOWER(TRIM(K1416&amp;""))="",LOWER(TRIM(K1416&amp;""))="missing"),"Missing/",IFERROR(IF(VALUE(K1416)&lt;0,"Invalid","Valid"),"Check Format"))</f>
        <v>Valid</v>
      </c>
      <c r="W1416" t="str">
        <f>IF(OR(E1416="",F1416=""),"Missing Date/Time",IFERROR(IF(F1416&gt;E1416,"Arrival After Appointment","OK"),"Check Format"))</f>
        <v>OK</v>
      </c>
      <c r="X1416" t="str">
        <f>IF(OR(F1416="",G1416=""),"Missing Date/Time",IFERROR(IF(G1416&lt;F1416,"Discharge Before Arrival","OK"),"Check Format"))</f>
        <v>OK</v>
      </c>
    </row>
    <row r="1417" spans="1:24" x14ac:dyDescent="0.25">
      <c r="A1417" s="2" t="s">
        <v>2127</v>
      </c>
      <c r="B1417" s="2" t="s">
        <v>1002</v>
      </c>
      <c r="C1417" s="3" t="s">
        <v>94</v>
      </c>
      <c r="D1417" s="3" t="s">
        <v>115</v>
      </c>
      <c r="E1417" s="4" t="s">
        <v>2128</v>
      </c>
      <c r="F1417" s="4">
        <v>45715.322222222225</v>
      </c>
      <c r="G1417" s="4">
        <v>45715.359027777777</v>
      </c>
      <c r="J1417" s="3" t="s">
        <v>67</v>
      </c>
      <c r="K1417" s="5">
        <v>24</v>
      </c>
      <c r="L1417" s="5">
        <v>28</v>
      </c>
      <c r="M1417" s="3" t="s">
        <v>32</v>
      </c>
      <c r="N1417" t="s">
        <v>24</v>
      </c>
      <c r="O1417" s="5">
        <v>0</v>
      </c>
      <c r="P1417" s="3" t="s">
        <v>80</v>
      </c>
      <c r="Q1417" s="2">
        <v>184.32</v>
      </c>
      <c r="R1417" s="3" t="s">
        <v>26</v>
      </c>
      <c r="S1417">
        <f>COUNTIF(A:A,A1417)</f>
        <v>1</v>
      </c>
      <c r="T1417" t="str">
        <f>IF(OR(H1417="",LOWER(TRIM(H1417&amp;""))="missing",LOWER(TRIM(H1417&amp;""))=""),"Missing/",IFERROR(IF(OR(VALUE(H1417)&lt;0,VALUE(H1417)&gt;110),"Invalid","Valid"),"Check Format"))</f>
        <v>Missing/</v>
      </c>
      <c r="U1417" t="str">
        <f>IF(Raw_Data[[#This Row],[Age_Check]]="Valid",H1417,"")</f>
        <v/>
      </c>
      <c r="V1417" t="str">
        <f>IF(OR(K1417="",UPPER(TRIM(K1417&amp;""))="",LOWER(TRIM(K1417&amp;""))="",LOWER(TRIM(K1417&amp;""))="",LOWER(TRIM(K1417&amp;""))="missing"),"Missing/",IFERROR(IF(VALUE(K1417)&lt;0,"Invalid","Valid"),"Check Format"))</f>
        <v>Valid</v>
      </c>
      <c r="W1417" t="str">
        <f>IF(OR(E1417="",F1417=""),"Missing Date/Time",IFERROR(IF(F1417&gt;E1417,"Arrival After Appointment","OK"),"Check Format"))</f>
        <v>OK</v>
      </c>
      <c r="X1417" t="str">
        <f>IF(OR(F1417="",G1417=""),"Missing Date/Time",IFERROR(IF(G1417&lt;F1417,"Discharge Before Arrival","OK"),"Check Format"))</f>
        <v>OK</v>
      </c>
    </row>
    <row r="1418" spans="1:24" x14ac:dyDescent="0.25">
      <c r="A1418" s="2" t="s">
        <v>1664</v>
      </c>
      <c r="B1418" s="2" t="s">
        <v>1039</v>
      </c>
      <c r="C1418" s="3" t="s">
        <v>19</v>
      </c>
      <c r="D1418" s="3" t="s">
        <v>23</v>
      </c>
      <c r="E1418" s="4">
        <v>45670.451388888891</v>
      </c>
      <c r="F1418" s="4">
        <v>45670.434027777781</v>
      </c>
      <c r="G1418" s="4">
        <v>45670.51458333333</v>
      </c>
      <c r="K1418" s="5">
        <v>82</v>
      </c>
      <c r="L1418" s="5">
        <v>9</v>
      </c>
      <c r="M1418" s="3" t="s">
        <v>41</v>
      </c>
      <c r="N1418" t="s">
        <v>69</v>
      </c>
      <c r="Q1418" s="2">
        <v>281.2</v>
      </c>
      <c r="R1418" s="3" t="s">
        <v>75</v>
      </c>
      <c r="S1418">
        <f>COUNTIF(A:A,A1418)</f>
        <v>1</v>
      </c>
      <c r="T1418" t="str">
        <f>IF(OR(H1418="",LOWER(TRIM(H1418&amp;""))="missing",LOWER(TRIM(H1418&amp;""))=""),"Missing/",IFERROR(IF(OR(VALUE(H1418)&lt;0,VALUE(H1418)&gt;110),"Invalid","Valid"),"Check Format"))</f>
        <v>Missing/</v>
      </c>
      <c r="U1418" t="str">
        <f>IF(Raw_Data[[#This Row],[Age_Check]]="Valid",H1418,"")</f>
        <v/>
      </c>
      <c r="V1418" t="str">
        <f>IF(OR(K1418="",UPPER(TRIM(K1418&amp;""))="",LOWER(TRIM(K1418&amp;""))="",LOWER(TRIM(K1418&amp;""))="",LOWER(TRIM(K1418&amp;""))="missing"),"Missing/",IFERROR(IF(VALUE(K1418)&lt;0,"Invalid","Valid"),"Check Format"))</f>
        <v>Valid</v>
      </c>
      <c r="W1418" t="str">
        <f>IF(OR(E1418="",F1418=""),"Missing Date/Time",IFERROR(IF(F1418&gt;E1418,"Arrival After Appointment","OK"),"Check Format"))</f>
        <v>OK</v>
      </c>
      <c r="X1418" t="str">
        <f>IF(OR(F1418="",G1418=""),"Missing Date/Time",IFERROR(IF(G1418&lt;F1418,"Discharge Before Arrival","OK"),"Check Format"))</f>
        <v>OK</v>
      </c>
    </row>
    <row r="1419" spans="1:24" x14ac:dyDescent="0.25">
      <c r="A1419" s="2" t="s">
        <v>2130</v>
      </c>
      <c r="B1419" s="2" t="s">
        <v>36</v>
      </c>
      <c r="D1419" s="3" t="s">
        <v>30</v>
      </c>
      <c r="E1419" s="4">
        <v>45745.753472222219</v>
      </c>
      <c r="F1419" s="4">
        <v>45745.734722222223</v>
      </c>
      <c r="G1419" s="4">
        <v>45745.810416666667</v>
      </c>
      <c r="I1419" s="3" t="s">
        <v>95</v>
      </c>
      <c r="J1419" s="3" t="s">
        <v>150</v>
      </c>
      <c r="K1419" s="5">
        <v>45</v>
      </c>
      <c r="L1419" s="5">
        <v>37</v>
      </c>
      <c r="M1419" s="3" t="s">
        <v>63</v>
      </c>
      <c r="N1419" t="s">
        <v>74</v>
      </c>
      <c r="O1419" s="5">
        <v>0</v>
      </c>
      <c r="P1419" s="3" t="s">
        <v>80</v>
      </c>
      <c r="Q1419" s="2">
        <v>104.26</v>
      </c>
      <c r="R1419" s="3" t="s">
        <v>58</v>
      </c>
      <c r="S1419">
        <f>COUNTIF(A:A,A1419)</f>
        <v>1</v>
      </c>
      <c r="T1419" t="str">
        <f>IF(OR(H1419="",LOWER(TRIM(H1419&amp;""))="missing",LOWER(TRIM(H1419&amp;""))=""),"Missing/",IFERROR(IF(OR(VALUE(H1419)&lt;0,VALUE(H1419)&gt;110),"Invalid","Valid"),"Check Format"))</f>
        <v>Missing/</v>
      </c>
      <c r="U1419" t="str">
        <f>IF(Raw_Data[[#This Row],[Age_Check]]="Valid",H1419,"")</f>
        <v/>
      </c>
      <c r="V1419" t="str">
        <f>IF(OR(K1419="",UPPER(TRIM(K1419&amp;""))="",LOWER(TRIM(K1419&amp;""))="",LOWER(TRIM(K1419&amp;""))="",LOWER(TRIM(K1419&amp;""))="missing"),"Missing/",IFERROR(IF(VALUE(K1419)&lt;0,"Invalid","Valid"),"Check Format"))</f>
        <v>Valid</v>
      </c>
      <c r="W1419" t="str">
        <f>IF(OR(E1419="",F1419=""),"Missing Date/Time",IFERROR(IF(F1419&gt;E1419,"Arrival After Appointment","OK"),"Check Format"))</f>
        <v>OK</v>
      </c>
      <c r="X1419" t="str">
        <f>IF(OR(F1419="",G1419=""),"Missing Date/Time",IFERROR(IF(G1419&lt;F1419,"Discharge Before Arrival","OK"),"Check Format"))</f>
        <v>OK</v>
      </c>
    </row>
    <row r="1420" spans="1:24" x14ac:dyDescent="0.25">
      <c r="A1420" s="2" t="s">
        <v>2131</v>
      </c>
      <c r="B1420" s="2" t="s">
        <v>561</v>
      </c>
      <c r="C1420" s="3" t="s">
        <v>46</v>
      </c>
      <c r="D1420" s="3" t="s">
        <v>209</v>
      </c>
      <c r="E1420" s="4">
        <v>45828.6875</v>
      </c>
      <c r="F1420" s="4">
        <v>45828.6875</v>
      </c>
      <c r="G1420" s="4">
        <v>45828.72152777778</v>
      </c>
      <c r="H1420" s="5">
        <v>145</v>
      </c>
      <c r="I1420" s="3" t="s">
        <v>95</v>
      </c>
      <c r="J1420" s="3" t="s">
        <v>150</v>
      </c>
      <c r="K1420" s="5">
        <v>28</v>
      </c>
      <c r="L1420" s="5">
        <v>21</v>
      </c>
      <c r="M1420" s="3" t="s">
        <v>32</v>
      </c>
      <c r="O1420" s="5">
        <v>3</v>
      </c>
      <c r="P1420" s="3" t="s">
        <v>25</v>
      </c>
      <c r="Q1420" s="2">
        <v>106.7</v>
      </c>
      <c r="R1420" s="3" t="s">
        <v>26</v>
      </c>
      <c r="S1420">
        <f>COUNTIF(A:A,A1420)</f>
        <v>1</v>
      </c>
      <c r="T1420" t="str">
        <f>IF(OR(H1420="",LOWER(TRIM(H1420&amp;""))="missing",LOWER(TRIM(H1420&amp;""))=""),"Missing/",IFERROR(IF(OR(VALUE(H1420)&lt;0,VALUE(H1420)&gt;110),"Invalid","Valid"),"Check Format"))</f>
        <v>Invalid</v>
      </c>
      <c r="U1420" t="str">
        <f>IF(Raw_Data[[#This Row],[Age_Check]]="Valid",H1420,"")</f>
        <v/>
      </c>
      <c r="V1420" t="str">
        <f>IF(OR(K1420="",UPPER(TRIM(K1420&amp;""))="",LOWER(TRIM(K1420&amp;""))="",LOWER(TRIM(K1420&amp;""))="",LOWER(TRIM(K1420&amp;""))="missing"),"Missing/",IFERROR(IF(VALUE(K1420)&lt;0,"Invalid","Valid"),"Check Format"))</f>
        <v>Valid</v>
      </c>
      <c r="W1420" t="str">
        <f>IF(OR(E1420="",F1420=""),"Missing Date/Time",IFERROR(IF(F1420&gt;E1420,"Arrival After Appointment","OK"),"Check Format"))</f>
        <v>OK</v>
      </c>
      <c r="X1420" t="str">
        <f>IF(OR(F1420="",G1420=""),"Missing Date/Time",IFERROR(IF(G1420&lt;F1420,"Discharge Before Arrival","OK"),"Check Format"))</f>
        <v>OK</v>
      </c>
    </row>
    <row r="1421" spans="1:24" x14ac:dyDescent="0.25">
      <c r="A1421" s="2" t="s">
        <v>2132</v>
      </c>
      <c r="B1421" s="2" t="s">
        <v>667</v>
      </c>
      <c r="C1421" s="3" t="s">
        <v>46</v>
      </c>
      <c r="D1421" s="3" t="s">
        <v>149</v>
      </c>
      <c r="E1421" s="4">
        <v>45913.34375</v>
      </c>
      <c r="F1421" s="4">
        <v>45913.338194444441</v>
      </c>
      <c r="G1421" s="4">
        <v>45913.443749999999</v>
      </c>
      <c r="H1421" s="5">
        <v>60</v>
      </c>
      <c r="I1421" s="3" t="s">
        <v>73</v>
      </c>
      <c r="J1421" s="3" t="s">
        <v>67</v>
      </c>
      <c r="K1421" s="5">
        <v>70</v>
      </c>
      <c r="L1421" s="5">
        <v>74</v>
      </c>
      <c r="M1421" s="3" t="s">
        <v>50</v>
      </c>
      <c r="N1421" t="s">
        <v>74</v>
      </c>
      <c r="P1421" s="3" t="s">
        <v>25</v>
      </c>
      <c r="Q1421" s="2">
        <v>87.72</v>
      </c>
      <c r="R1421" s="3" t="s">
        <v>58</v>
      </c>
      <c r="S1421">
        <f>COUNTIF(A:A,A1421)</f>
        <v>1</v>
      </c>
      <c r="T1421" t="str">
        <f>IF(OR(H1421="",LOWER(TRIM(H1421&amp;""))="missing",LOWER(TRIM(H1421&amp;""))=""),"Missing/",IFERROR(IF(OR(VALUE(H1421)&lt;0,VALUE(H1421)&gt;110),"Invalid","Valid"),"Check Format"))</f>
        <v>Valid</v>
      </c>
      <c r="U1421">
        <f>IF(Raw_Data[[#This Row],[Age_Check]]="Valid",H1421,"")</f>
        <v>60</v>
      </c>
      <c r="V1421" t="str">
        <f>IF(OR(K1421="",UPPER(TRIM(K1421&amp;""))="",LOWER(TRIM(K1421&amp;""))="",LOWER(TRIM(K1421&amp;""))="",LOWER(TRIM(K1421&amp;""))="missing"),"Missing/",IFERROR(IF(VALUE(K1421)&lt;0,"Invalid","Valid"),"Check Format"))</f>
        <v>Valid</v>
      </c>
      <c r="W1421" t="str">
        <f>IF(OR(E1421="",F1421=""),"Missing Date/Time",IFERROR(IF(F1421&gt;E1421,"Arrival After Appointment","OK"),"Check Format"))</f>
        <v>OK</v>
      </c>
      <c r="X1421" t="str">
        <f>IF(OR(F1421="",G1421=""),"Missing Date/Time",IFERROR(IF(G1421&lt;F1421,"Discharge Before Arrival","OK"),"Check Format"))</f>
        <v>OK</v>
      </c>
    </row>
    <row r="1422" spans="1:24" x14ac:dyDescent="0.25">
      <c r="A1422" s="2" t="s">
        <v>2133</v>
      </c>
      <c r="B1422" s="2" t="s">
        <v>611</v>
      </c>
      <c r="C1422" s="3" t="s">
        <v>37</v>
      </c>
      <c r="D1422" s="3" t="s">
        <v>38</v>
      </c>
      <c r="E1422" s="4">
        <v>45322.503472222219</v>
      </c>
      <c r="F1422" s="4">
        <v>45322.493750000001</v>
      </c>
      <c r="G1422" s="4">
        <v>45322.554166666669</v>
      </c>
      <c r="H1422" s="5">
        <v>26</v>
      </c>
      <c r="I1422" s="3" t="s">
        <v>90</v>
      </c>
      <c r="J1422" s="3" t="s">
        <v>67</v>
      </c>
      <c r="K1422" s="5">
        <v>43</v>
      </c>
      <c r="L1422" s="5">
        <v>30</v>
      </c>
      <c r="N1422" t="s">
        <v>24</v>
      </c>
      <c r="P1422" s="3" t="s">
        <v>42</v>
      </c>
      <c r="Q1422" s="2">
        <v>176.66</v>
      </c>
      <c r="R1422" s="3" t="s">
        <v>58</v>
      </c>
      <c r="S1422">
        <f>COUNTIF(A:A,A1422)</f>
        <v>1</v>
      </c>
      <c r="T1422" t="str">
        <f>IF(OR(H1422="",LOWER(TRIM(H1422&amp;""))="missing",LOWER(TRIM(H1422&amp;""))=""),"Missing/",IFERROR(IF(OR(VALUE(H1422)&lt;0,VALUE(H1422)&gt;110),"Invalid","Valid"),"Check Format"))</f>
        <v>Valid</v>
      </c>
      <c r="U1422">
        <f>IF(Raw_Data[[#This Row],[Age_Check]]="Valid",H1422,"")</f>
        <v>26</v>
      </c>
      <c r="V1422" t="str">
        <f>IF(OR(K1422="",UPPER(TRIM(K1422&amp;""))="",LOWER(TRIM(K1422&amp;""))="",LOWER(TRIM(K1422&amp;""))="",LOWER(TRIM(K1422&amp;""))="missing"),"Missing/",IFERROR(IF(VALUE(K1422)&lt;0,"Invalid","Valid"),"Check Format"))</f>
        <v>Valid</v>
      </c>
      <c r="W1422" t="str">
        <f>IF(OR(E1422="",F1422=""),"Missing Date/Time",IFERROR(IF(F1422&gt;E1422,"Arrival After Appointment","OK"),"Check Format"))</f>
        <v>OK</v>
      </c>
      <c r="X1422" t="str">
        <f>IF(OR(F1422="",G1422=""),"Missing Date/Time",IFERROR(IF(G1422&lt;F1422,"Discharge Before Arrival","OK"),"Check Format"))</f>
        <v>OK</v>
      </c>
    </row>
    <row r="1423" spans="1:24" x14ac:dyDescent="0.25">
      <c r="A1423" s="2" t="s">
        <v>2134</v>
      </c>
      <c r="B1423" s="2" t="s">
        <v>1439</v>
      </c>
      <c r="C1423" s="3" t="s">
        <v>94</v>
      </c>
      <c r="D1423" s="3" t="s">
        <v>61</v>
      </c>
      <c r="E1423" s="4">
        <v>45431.59375</v>
      </c>
      <c r="F1423" s="4">
        <v>45431.578472222223</v>
      </c>
      <c r="G1423" s="4">
        <v>45431.678472222222</v>
      </c>
      <c r="H1423" s="5">
        <v>73</v>
      </c>
      <c r="I1423" s="3" t="s">
        <v>95</v>
      </c>
      <c r="J1423" s="3" t="s">
        <v>62</v>
      </c>
      <c r="K1423" s="5">
        <v>67</v>
      </c>
      <c r="L1423" s="5">
        <v>55</v>
      </c>
      <c r="M1423" s="3" t="s">
        <v>23</v>
      </c>
      <c r="N1423" t="s">
        <v>74</v>
      </c>
      <c r="O1423" s="5">
        <v>0</v>
      </c>
      <c r="P1423" s="3" t="s">
        <v>25</v>
      </c>
      <c r="Q1423" s="2">
        <v>0</v>
      </c>
      <c r="R1423" s="3" t="s">
        <v>26</v>
      </c>
      <c r="S1423">
        <f>COUNTIF(A:A,A1423)</f>
        <v>1</v>
      </c>
      <c r="T1423" t="str">
        <f>IF(OR(H1423="",LOWER(TRIM(H1423&amp;""))="missing",LOWER(TRIM(H1423&amp;""))=""),"Missing/",IFERROR(IF(OR(VALUE(H1423)&lt;0,VALUE(H1423)&gt;110),"Invalid","Valid"),"Check Format"))</f>
        <v>Valid</v>
      </c>
      <c r="U1423">
        <f>IF(Raw_Data[[#This Row],[Age_Check]]="Valid",H1423,"")</f>
        <v>73</v>
      </c>
      <c r="V1423" t="str">
        <f>IF(OR(K1423="",UPPER(TRIM(K1423&amp;""))="",LOWER(TRIM(K1423&amp;""))="",LOWER(TRIM(K1423&amp;""))="",LOWER(TRIM(K1423&amp;""))="missing"),"Missing/",IFERROR(IF(VALUE(K1423)&lt;0,"Invalid","Valid"),"Check Format"))</f>
        <v>Valid</v>
      </c>
      <c r="W1423" t="str">
        <f>IF(OR(E1423="",F1423=""),"Missing Date/Time",IFERROR(IF(F1423&gt;E1423,"Arrival After Appointment","OK"),"Check Format"))</f>
        <v>OK</v>
      </c>
      <c r="X1423" t="str">
        <f>IF(OR(F1423="",G1423=""),"Missing Date/Time",IFERROR(IF(G1423&lt;F1423,"Discharge Before Arrival","OK"),"Check Format"))</f>
        <v>OK</v>
      </c>
    </row>
    <row r="1424" spans="1:24" x14ac:dyDescent="0.25">
      <c r="A1424" s="2" t="s">
        <v>2135</v>
      </c>
      <c r="B1424" s="2" t="s">
        <v>1026</v>
      </c>
      <c r="D1424" s="3" t="s">
        <v>149</v>
      </c>
      <c r="E1424" s="4">
        <v>45693.486111111109</v>
      </c>
      <c r="F1424" s="4">
        <v>45693.481944444444</v>
      </c>
      <c r="G1424" s="4">
        <v>45693.502083333333</v>
      </c>
      <c r="H1424" s="5">
        <v>2</v>
      </c>
      <c r="I1424" s="3" t="s">
        <v>90</v>
      </c>
      <c r="J1424" s="3" t="s">
        <v>22</v>
      </c>
      <c r="K1424" s="5">
        <v>0</v>
      </c>
      <c r="L1424" s="5">
        <v>23</v>
      </c>
      <c r="M1424" s="3" t="s">
        <v>63</v>
      </c>
      <c r="N1424" t="s">
        <v>24</v>
      </c>
      <c r="P1424" s="3" t="s">
        <v>25</v>
      </c>
      <c r="Q1424" s="2">
        <v>232.78</v>
      </c>
      <c r="R1424" s="3" t="s">
        <v>58</v>
      </c>
      <c r="S1424">
        <f>COUNTIF(A:A,A1424)</f>
        <v>1</v>
      </c>
      <c r="T1424" t="str">
        <f>IF(OR(H1424="",LOWER(TRIM(H1424&amp;""))="missing",LOWER(TRIM(H1424&amp;""))=""),"Missing/",IFERROR(IF(OR(VALUE(H1424)&lt;0,VALUE(H1424)&gt;110),"Invalid","Valid"),"Check Format"))</f>
        <v>Valid</v>
      </c>
      <c r="U1424">
        <f>IF(Raw_Data[[#This Row],[Age_Check]]="Valid",H1424,"")</f>
        <v>2</v>
      </c>
      <c r="V1424" t="str">
        <f>IF(OR(K1424="",UPPER(TRIM(K1424&amp;""))="",LOWER(TRIM(K1424&amp;""))="",LOWER(TRIM(K1424&amp;""))="",LOWER(TRIM(K1424&amp;""))="missing"),"Missing/",IFERROR(IF(VALUE(K1424)&lt;0,"Invalid","Valid"),"Check Format"))</f>
        <v>Valid</v>
      </c>
      <c r="W1424" t="str">
        <f>IF(OR(E1424="",F1424=""),"Missing Date/Time",IFERROR(IF(F1424&gt;E1424,"Arrival After Appointment","OK"),"Check Format"))</f>
        <v>OK</v>
      </c>
      <c r="X1424" t="str">
        <f>IF(OR(F1424="",G1424=""),"Missing Date/Time",IFERROR(IF(G1424&lt;F1424,"Discharge Before Arrival","OK"),"Check Format"))</f>
        <v>OK</v>
      </c>
    </row>
    <row r="1425" spans="1:24" x14ac:dyDescent="0.25">
      <c r="A1425" s="2" t="s">
        <v>2136</v>
      </c>
      <c r="B1425" s="2" t="s">
        <v>898</v>
      </c>
      <c r="D1425" s="3" t="s">
        <v>72</v>
      </c>
      <c r="E1425" s="4">
        <v>45644.743055555555</v>
      </c>
      <c r="G1425" s="4">
        <v>45644.748611111114</v>
      </c>
      <c r="I1425" s="3" t="s">
        <v>95</v>
      </c>
      <c r="J1425" s="3" t="s">
        <v>171</v>
      </c>
      <c r="K1425" s="5">
        <v>3</v>
      </c>
      <c r="L1425" s="5">
        <v>5</v>
      </c>
      <c r="M1425" s="3" t="s">
        <v>32</v>
      </c>
      <c r="N1425" t="s">
        <v>74</v>
      </c>
      <c r="Q1425" s="2">
        <v>190.69</v>
      </c>
      <c r="R1425" s="3" t="s">
        <v>26</v>
      </c>
      <c r="S1425">
        <f>COUNTIF(A:A,A1425)</f>
        <v>1</v>
      </c>
      <c r="T1425" t="str">
        <f>IF(OR(H1425="",LOWER(TRIM(H1425&amp;""))="missing",LOWER(TRIM(H1425&amp;""))=""),"Missing/",IFERROR(IF(OR(VALUE(H1425)&lt;0,VALUE(H1425)&gt;110),"Invalid","Valid"),"Check Format"))</f>
        <v>Missing/</v>
      </c>
      <c r="U1425" t="str">
        <f>IF(Raw_Data[[#This Row],[Age_Check]]="Valid",H1425,"")</f>
        <v/>
      </c>
      <c r="V1425" t="str">
        <f>IF(OR(K1425="",UPPER(TRIM(K1425&amp;""))="",LOWER(TRIM(K1425&amp;""))="",LOWER(TRIM(K1425&amp;""))="",LOWER(TRIM(K1425&amp;""))="missing"),"Missing/",IFERROR(IF(VALUE(K1425)&lt;0,"Invalid","Valid"),"Check Format"))</f>
        <v>Valid</v>
      </c>
      <c r="W1425" t="str">
        <f>IF(OR(E1425="",F1425=""),"Missing Date/Time",IFERROR(IF(F1425&gt;E1425,"Arrival After Appointment","OK"),"Check Format"))</f>
        <v>Missing Date/Time</v>
      </c>
      <c r="X1425" t="str">
        <f>IF(OR(F1425="",G1425=""),"Missing Date/Time",IFERROR(IF(G1425&lt;F1425,"Discharge Before Arrival","OK"),"Check Format"))</f>
        <v>Missing Date/Time</v>
      </c>
    </row>
    <row r="1426" spans="1:24" x14ac:dyDescent="0.25">
      <c r="A1426" s="2" t="s">
        <v>2137</v>
      </c>
      <c r="B1426" s="2" t="s">
        <v>530</v>
      </c>
      <c r="C1426" s="3" t="s">
        <v>19</v>
      </c>
      <c r="D1426" s="3" t="s">
        <v>209</v>
      </c>
      <c r="E1426" s="4">
        <v>45478.454861111109</v>
      </c>
      <c r="F1426" s="4">
        <v>45478.444444444445</v>
      </c>
      <c r="G1426" s="4">
        <v>45478.509027777778</v>
      </c>
      <c r="J1426" s="3" t="s">
        <v>67</v>
      </c>
      <c r="L1426" s="5">
        <v>12</v>
      </c>
      <c r="M1426" s="3" t="s">
        <v>63</v>
      </c>
      <c r="N1426" t="s">
        <v>100</v>
      </c>
      <c r="O1426" s="5">
        <v>0</v>
      </c>
      <c r="P1426" s="3" t="s">
        <v>80</v>
      </c>
      <c r="Q1426" s="2">
        <v>66.16</v>
      </c>
      <c r="R1426" s="3" t="s">
        <v>58</v>
      </c>
      <c r="S1426">
        <f>COUNTIF(A:A,A1426)</f>
        <v>1</v>
      </c>
      <c r="T1426" t="str">
        <f>IF(OR(H1426="",LOWER(TRIM(H1426&amp;""))="missing",LOWER(TRIM(H1426&amp;""))=""),"Missing/",IFERROR(IF(OR(VALUE(H1426)&lt;0,VALUE(H1426)&gt;110),"Invalid","Valid"),"Check Format"))</f>
        <v>Missing/</v>
      </c>
      <c r="U1426" t="str">
        <f>IF(Raw_Data[[#This Row],[Age_Check]]="Valid",H1426,"")</f>
        <v/>
      </c>
      <c r="V1426" t="str">
        <f>IF(OR(K1426="",UPPER(TRIM(K1426&amp;""))="",LOWER(TRIM(K1426&amp;""))="",LOWER(TRIM(K1426&amp;""))="",LOWER(TRIM(K1426&amp;""))="missing"),"Missing/",IFERROR(IF(VALUE(K1426)&lt;0,"Invalid","Valid"),"Check Format"))</f>
        <v>Missing/</v>
      </c>
      <c r="W1426" t="str">
        <f>IF(OR(E1426="",F1426=""),"Missing Date/Time",IFERROR(IF(F1426&gt;E1426,"Arrival After Appointment","OK"),"Check Format"))</f>
        <v>OK</v>
      </c>
      <c r="X1426" t="str">
        <f>IF(OR(F1426="",G1426=""),"Missing Date/Time",IFERROR(IF(G1426&lt;F1426,"Discharge Before Arrival","OK"),"Check Format"))</f>
        <v>OK</v>
      </c>
    </row>
    <row r="1427" spans="1:24" x14ac:dyDescent="0.25">
      <c r="A1427" s="2" t="s">
        <v>2138</v>
      </c>
      <c r="B1427" s="2" t="s">
        <v>1137</v>
      </c>
      <c r="C1427" s="3" t="s">
        <v>46</v>
      </c>
      <c r="D1427" s="3" t="s">
        <v>66</v>
      </c>
      <c r="E1427" s="4">
        <v>45337.729166666664</v>
      </c>
      <c r="F1427" s="4">
        <v>45337.708333333336</v>
      </c>
      <c r="G1427" s="4">
        <v>45337.768750000003</v>
      </c>
      <c r="I1427" s="3" t="s">
        <v>90</v>
      </c>
      <c r="J1427" s="3" t="s">
        <v>150</v>
      </c>
      <c r="K1427" s="5">
        <v>24</v>
      </c>
      <c r="L1427" s="5">
        <v>33</v>
      </c>
      <c r="M1427" s="3" t="s">
        <v>32</v>
      </c>
      <c r="O1427" s="5">
        <v>5</v>
      </c>
      <c r="R1427" s="3" t="s">
        <v>75</v>
      </c>
      <c r="S1427">
        <f>COUNTIF(A:A,A1427)</f>
        <v>1</v>
      </c>
      <c r="T1427" t="str">
        <f>IF(OR(H1427="",LOWER(TRIM(H1427&amp;""))="missing",LOWER(TRIM(H1427&amp;""))=""),"Missing/",IFERROR(IF(OR(VALUE(H1427)&lt;0,VALUE(H1427)&gt;110),"Invalid","Valid"),"Check Format"))</f>
        <v>Missing/</v>
      </c>
      <c r="U1427" t="str">
        <f>IF(Raw_Data[[#This Row],[Age_Check]]="Valid",H1427,"")</f>
        <v/>
      </c>
      <c r="V1427" t="str">
        <f>IF(OR(K1427="",UPPER(TRIM(K1427&amp;""))="",LOWER(TRIM(K1427&amp;""))="",LOWER(TRIM(K1427&amp;""))="",LOWER(TRIM(K1427&amp;""))="missing"),"Missing/",IFERROR(IF(VALUE(K1427)&lt;0,"Invalid","Valid"),"Check Format"))</f>
        <v>Valid</v>
      </c>
      <c r="W1427" t="str">
        <f>IF(OR(E1427="",F1427=""),"Missing Date/Time",IFERROR(IF(F1427&gt;E1427,"Arrival After Appointment","OK"),"Check Format"))</f>
        <v>OK</v>
      </c>
      <c r="X1427" t="str">
        <f>IF(OR(F1427="",G1427=""),"Missing Date/Time",IFERROR(IF(G1427&lt;F1427,"Discharge Before Arrival","OK"),"Check Format"))</f>
        <v>OK</v>
      </c>
    </row>
    <row r="1428" spans="1:24" x14ac:dyDescent="0.25">
      <c r="A1428" s="2" t="s">
        <v>2139</v>
      </c>
      <c r="B1428" s="2" t="s">
        <v>533</v>
      </c>
      <c r="C1428" s="3" t="s">
        <v>46</v>
      </c>
      <c r="D1428" s="3" t="s">
        <v>99</v>
      </c>
      <c r="E1428" s="4">
        <v>45735.534722222219</v>
      </c>
      <c r="F1428" s="4">
        <v>45735.524305555555</v>
      </c>
      <c r="G1428" s="4">
        <v>45735.587500000001</v>
      </c>
      <c r="H1428" s="5">
        <v>7</v>
      </c>
      <c r="I1428" s="3" t="s">
        <v>73</v>
      </c>
      <c r="J1428" s="3" t="s">
        <v>22</v>
      </c>
      <c r="K1428" s="5">
        <v>36</v>
      </c>
      <c r="L1428" s="5">
        <v>40</v>
      </c>
      <c r="M1428" s="3" t="s">
        <v>23</v>
      </c>
      <c r="N1428" t="s">
        <v>24</v>
      </c>
      <c r="O1428" s="5">
        <v>5</v>
      </c>
      <c r="Q1428" s="2">
        <v>0</v>
      </c>
      <c r="R1428" s="3" t="s">
        <v>58</v>
      </c>
      <c r="S1428">
        <f>COUNTIF(A:A,A1428)</f>
        <v>1</v>
      </c>
      <c r="T1428" t="str">
        <f>IF(OR(H1428="",LOWER(TRIM(H1428&amp;""))="missing",LOWER(TRIM(H1428&amp;""))=""),"Missing/",IFERROR(IF(OR(VALUE(H1428)&lt;0,VALUE(H1428)&gt;110),"Invalid","Valid"),"Check Format"))</f>
        <v>Valid</v>
      </c>
      <c r="U1428">
        <f>IF(Raw_Data[[#This Row],[Age_Check]]="Valid",H1428,"")</f>
        <v>7</v>
      </c>
      <c r="V1428" t="str">
        <f>IF(OR(K1428="",UPPER(TRIM(K1428&amp;""))="",LOWER(TRIM(K1428&amp;""))="",LOWER(TRIM(K1428&amp;""))="",LOWER(TRIM(K1428&amp;""))="missing"),"Missing/",IFERROR(IF(VALUE(K1428)&lt;0,"Invalid","Valid"),"Check Format"))</f>
        <v>Valid</v>
      </c>
      <c r="W1428" t="str">
        <f>IF(OR(E1428="",F1428=""),"Missing Date/Time",IFERROR(IF(F1428&gt;E1428,"Arrival After Appointment","OK"),"Check Format"))</f>
        <v>OK</v>
      </c>
      <c r="X1428" t="str">
        <f>IF(OR(F1428="",G1428=""),"Missing Date/Time",IFERROR(IF(G1428&lt;F1428,"Discharge Before Arrival","OK"),"Check Format"))</f>
        <v>OK</v>
      </c>
    </row>
    <row r="1429" spans="1:24" x14ac:dyDescent="0.25">
      <c r="A1429" s="2" t="s">
        <v>2140</v>
      </c>
      <c r="B1429" s="2" t="s">
        <v>1137</v>
      </c>
      <c r="C1429" s="3" t="s">
        <v>46</v>
      </c>
      <c r="D1429" s="3" t="s">
        <v>30</v>
      </c>
      <c r="E1429" s="4" t="s">
        <v>2141</v>
      </c>
      <c r="F1429" s="4">
        <v>45376.551388888889</v>
      </c>
      <c r="G1429" s="4">
        <v>45376.593055555553</v>
      </c>
      <c r="H1429" s="5">
        <v>145</v>
      </c>
      <c r="I1429" s="3" t="s">
        <v>73</v>
      </c>
      <c r="K1429" s="5">
        <v>1440</v>
      </c>
      <c r="L1429" s="5">
        <v>11</v>
      </c>
      <c r="M1429" s="3" t="s">
        <v>87</v>
      </c>
      <c r="N1429" t="s">
        <v>24</v>
      </c>
      <c r="O1429" s="5">
        <v>0</v>
      </c>
      <c r="P1429" s="3" t="s">
        <v>42</v>
      </c>
      <c r="Q1429" s="2">
        <v>124.49</v>
      </c>
      <c r="R1429" s="3" t="s">
        <v>58</v>
      </c>
      <c r="S1429">
        <f>COUNTIF(A:A,A1429)</f>
        <v>1</v>
      </c>
      <c r="T1429" t="str">
        <f>IF(OR(H1429="",LOWER(TRIM(H1429&amp;""))="missing",LOWER(TRIM(H1429&amp;""))=""),"Missing/",IFERROR(IF(OR(VALUE(H1429)&lt;0,VALUE(H1429)&gt;110),"Invalid","Valid"),"Check Format"))</f>
        <v>Invalid</v>
      </c>
      <c r="U1429" t="str">
        <f>IF(Raw_Data[[#This Row],[Age_Check]]="Valid",H1429,"")</f>
        <v/>
      </c>
      <c r="V1429" t="str">
        <f>IF(OR(K1429="",UPPER(TRIM(K1429&amp;""))="",LOWER(TRIM(K1429&amp;""))="",LOWER(TRIM(K1429&amp;""))="",LOWER(TRIM(K1429&amp;""))="missing"),"Missing/",IFERROR(IF(VALUE(K1429)&lt;0,"Invalid","Valid"),"Check Format"))</f>
        <v>Valid</v>
      </c>
      <c r="W1429" t="str">
        <f>IF(OR(E1429="",F1429=""),"Missing Date/Time",IFERROR(IF(F1429&gt;E1429,"Arrival After Appointment","OK"),"Check Format"))</f>
        <v>OK</v>
      </c>
      <c r="X1429" t="str">
        <f>IF(OR(F1429="",G1429=""),"Missing Date/Time",IFERROR(IF(G1429&lt;F1429,"Discharge Before Arrival","OK"),"Check Format"))</f>
        <v>OK</v>
      </c>
    </row>
    <row r="1430" spans="1:24" x14ac:dyDescent="0.25">
      <c r="A1430" s="2" t="s">
        <v>2142</v>
      </c>
      <c r="B1430" s="2" t="s">
        <v>556</v>
      </c>
      <c r="C1430" s="3" t="s">
        <v>94</v>
      </c>
      <c r="D1430" s="3" t="s">
        <v>55</v>
      </c>
      <c r="E1430" s="4">
        <v>45347.371527777781</v>
      </c>
      <c r="F1430" s="4">
        <v>45347.35833333333</v>
      </c>
      <c r="G1430" s="4">
        <v>45347.430555555555</v>
      </c>
      <c r="H1430" s="5">
        <v>48</v>
      </c>
      <c r="I1430" s="3" t="s">
        <v>73</v>
      </c>
      <c r="J1430" s="3" t="s">
        <v>150</v>
      </c>
      <c r="K1430" s="5">
        <v>39</v>
      </c>
      <c r="L1430" s="5">
        <v>-10</v>
      </c>
      <c r="M1430" s="3" t="s">
        <v>87</v>
      </c>
      <c r="Q1430" s="2">
        <v>0</v>
      </c>
      <c r="R1430" s="3" t="s">
        <v>75</v>
      </c>
      <c r="S1430">
        <f>COUNTIF(A:A,A1430)</f>
        <v>1</v>
      </c>
      <c r="T1430" t="str">
        <f>IF(OR(H1430="",LOWER(TRIM(H1430&amp;""))="missing",LOWER(TRIM(H1430&amp;""))=""),"Missing/",IFERROR(IF(OR(VALUE(H1430)&lt;0,VALUE(H1430)&gt;110),"Invalid","Valid"),"Check Format"))</f>
        <v>Valid</v>
      </c>
      <c r="U1430">
        <f>IF(Raw_Data[[#This Row],[Age_Check]]="Valid",H1430,"")</f>
        <v>48</v>
      </c>
      <c r="V1430" t="str">
        <f>IF(OR(K1430="",UPPER(TRIM(K1430&amp;""))="",LOWER(TRIM(K1430&amp;""))="",LOWER(TRIM(K1430&amp;""))="",LOWER(TRIM(K1430&amp;""))="missing"),"Missing/",IFERROR(IF(VALUE(K1430)&lt;0,"Invalid","Valid"),"Check Format"))</f>
        <v>Valid</v>
      </c>
      <c r="W1430" t="str">
        <f>IF(OR(E1430="",F1430=""),"Missing Date/Time",IFERROR(IF(F1430&gt;E1430,"Arrival After Appointment","OK"),"Check Format"))</f>
        <v>OK</v>
      </c>
      <c r="X1430" t="str">
        <f>IF(OR(F1430="",G1430=""),"Missing Date/Time",IFERROR(IF(G1430&lt;F1430,"Discharge Before Arrival","OK"),"Check Format"))</f>
        <v>OK</v>
      </c>
    </row>
    <row r="1431" spans="1:24" x14ac:dyDescent="0.25">
      <c r="A1431" s="2" t="s">
        <v>2143</v>
      </c>
      <c r="B1431" s="2" t="s">
        <v>554</v>
      </c>
      <c r="C1431" s="3" t="s">
        <v>46</v>
      </c>
      <c r="D1431" s="3" t="s">
        <v>38</v>
      </c>
      <c r="E1431" s="4">
        <v>45725.739583333336</v>
      </c>
      <c r="F1431" s="4">
        <v>45903.724999999999</v>
      </c>
      <c r="G1431" s="4">
        <v>45903.80972222222</v>
      </c>
      <c r="H1431" s="5">
        <v>20</v>
      </c>
      <c r="I1431" s="3" t="s">
        <v>95</v>
      </c>
      <c r="J1431" s="3" t="s">
        <v>62</v>
      </c>
      <c r="K1431" s="5">
        <v>59</v>
      </c>
      <c r="L1431" s="5">
        <v>42</v>
      </c>
      <c r="M1431" s="3" t="s">
        <v>41</v>
      </c>
      <c r="N1431" t="s">
        <v>24</v>
      </c>
      <c r="P1431" s="3" t="s">
        <v>25</v>
      </c>
      <c r="R1431" s="3" t="s">
        <v>43</v>
      </c>
      <c r="S1431">
        <f>COUNTIF(A:A,A1431)</f>
        <v>1</v>
      </c>
      <c r="T1431" t="str">
        <f>IF(OR(H1431="",LOWER(TRIM(H1431&amp;""))="missing",LOWER(TRIM(H1431&amp;""))=""),"Missing/",IFERROR(IF(OR(VALUE(H1431)&lt;0,VALUE(H1431)&gt;110),"Invalid","Valid"),"Check Format"))</f>
        <v>Valid</v>
      </c>
      <c r="U1431">
        <f>IF(Raw_Data[[#This Row],[Age_Check]]="Valid",H1431,"")</f>
        <v>20</v>
      </c>
      <c r="V1431" t="str">
        <f>IF(OR(K1431="",UPPER(TRIM(K1431&amp;""))="",LOWER(TRIM(K1431&amp;""))="",LOWER(TRIM(K1431&amp;""))="",LOWER(TRIM(K1431&amp;""))="missing"),"Missing/",IFERROR(IF(VALUE(K1431)&lt;0,"Invalid","Valid"),"Check Format"))</f>
        <v>Valid</v>
      </c>
      <c r="W1431" t="str">
        <f>IF(OR(E1431="",F1431=""),"Missing Date/Time",IFERROR(IF(F1431&gt;E1431,"Arrival After Appointment","OK"),"Check Format"))</f>
        <v>Arrival After Appointment</v>
      </c>
      <c r="X1431" t="str">
        <f>IF(OR(F1431="",G1431=""),"Missing Date/Time",IFERROR(IF(G1431&lt;F1431,"Discharge Before Arrival","OK"),"Check Format"))</f>
        <v>OK</v>
      </c>
    </row>
    <row r="1432" spans="1:24" x14ac:dyDescent="0.25">
      <c r="A1432" s="2" t="s">
        <v>2144</v>
      </c>
      <c r="B1432" s="2" t="s">
        <v>1869</v>
      </c>
      <c r="C1432" s="3" t="s">
        <v>19</v>
      </c>
      <c r="D1432" s="3" t="s">
        <v>209</v>
      </c>
      <c r="E1432" s="4">
        <v>46008.329861111109</v>
      </c>
      <c r="F1432" s="4">
        <v>46008.32916666667</v>
      </c>
      <c r="G1432" s="4">
        <v>46008.430555555555</v>
      </c>
      <c r="J1432" s="3" t="s">
        <v>67</v>
      </c>
      <c r="K1432" s="5">
        <v>122</v>
      </c>
      <c r="L1432" s="5">
        <v>23</v>
      </c>
      <c r="M1432" s="3" t="s">
        <v>63</v>
      </c>
      <c r="N1432" t="s">
        <v>24</v>
      </c>
      <c r="P1432" s="3" t="s">
        <v>80</v>
      </c>
      <c r="Q1432" s="2">
        <v>170.96</v>
      </c>
      <c r="R1432" s="3" t="s">
        <v>58</v>
      </c>
      <c r="S1432">
        <f>COUNTIF(A:A,A1432)</f>
        <v>1</v>
      </c>
      <c r="T1432" t="str">
        <f>IF(OR(H1432="",LOWER(TRIM(H1432&amp;""))="missing",LOWER(TRIM(H1432&amp;""))=""),"Missing/",IFERROR(IF(OR(VALUE(H1432)&lt;0,VALUE(H1432)&gt;110),"Invalid","Valid"),"Check Format"))</f>
        <v>Missing/</v>
      </c>
      <c r="U1432" t="str">
        <f>IF(Raw_Data[[#This Row],[Age_Check]]="Valid",H1432,"")</f>
        <v/>
      </c>
      <c r="V1432" t="str">
        <f>IF(OR(K1432="",UPPER(TRIM(K1432&amp;""))="",LOWER(TRIM(K1432&amp;""))="",LOWER(TRIM(K1432&amp;""))="",LOWER(TRIM(K1432&amp;""))="missing"),"Missing/",IFERROR(IF(VALUE(K1432)&lt;0,"Invalid","Valid"),"Check Format"))</f>
        <v>Valid</v>
      </c>
      <c r="W1432" t="str">
        <f>IF(OR(E1432="",F1432=""),"Missing Date/Time",IFERROR(IF(F1432&gt;E1432,"Arrival After Appointment","OK"),"Check Format"))</f>
        <v>OK</v>
      </c>
      <c r="X1432" t="str">
        <f>IF(OR(F1432="",G1432=""),"Missing Date/Time",IFERROR(IF(G1432&lt;F1432,"Discharge Before Arrival","OK"),"Check Format"))</f>
        <v>OK</v>
      </c>
    </row>
    <row r="1433" spans="1:24" x14ac:dyDescent="0.25">
      <c r="A1433" s="2" t="s">
        <v>2145</v>
      </c>
      <c r="B1433" s="2" t="s">
        <v>880</v>
      </c>
      <c r="C1433" s="3" t="s">
        <v>29</v>
      </c>
      <c r="D1433" s="3" t="s">
        <v>106</v>
      </c>
      <c r="E1433" s="4" t="s">
        <v>2146</v>
      </c>
      <c r="F1433" s="4">
        <v>45830.738888888889</v>
      </c>
      <c r="H1433" s="5">
        <v>68</v>
      </c>
      <c r="I1433" s="3" t="s">
        <v>73</v>
      </c>
      <c r="J1433" s="3" t="s">
        <v>22</v>
      </c>
      <c r="K1433" s="5">
        <v>0</v>
      </c>
      <c r="L1433" s="5">
        <v>5</v>
      </c>
      <c r="M1433" s="3" t="s">
        <v>68</v>
      </c>
      <c r="N1433" t="s">
        <v>24</v>
      </c>
      <c r="O1433" s="5">
        <v>0</v>
      </c>
      <c r="P1433" s="3" t="s">
        <v>25</v>
      </c>
      <c r="Q1433" s="2">
        <v>212.58</v>
      </c>
      <c r="R1433" s="3" t="s">
        <v>26</v>
      </c>
      <c r="S1433">
        <f>COUNTIF(A:A,A1433)</f>
        <v>1</v>
      </c>
      <c r="T1433" t="str">
        <f>IF(OR(H1433="",LOWER(TRIM(H1433&amp;""))="missing",LOWER(TRIM(H1433&amp;""))=""),"Missing/",IFERROR(IF(OR(VALUE(H1433)&lt;0,VALUE(H1433)&gt;110),"Invalid","Valid"),"Check Format"))</f>
        <v>Valid</v>
      </c>
      <c r="U1433">
        <f>IF(Raw_Data[[#This Row],[Age_Check]]="Valid",H1433,"")</f>
        <v>68</v>
      </c>
      <c r="V1433" t="str">
        <f>IF(OR(K1433="",UPPER(TRIM(K1433&amp;""))="",LOWER(TRIM(K1433&amp;""))="",LOWER(TRIM(K1433&amp;""))="",LOWER(TRIM(K1433&amp;""))="missing"),"Missing/",IFERROR(IF(VALUE(K1433)&lt;0,"Invalid","Valid"),"Check Format"))</f>
        <v>Valid</v>
      </c>
      <c r="W1433" t="str">
        <f>IF(OR(E1433="",F1433=""),"Missing Date/Time",IFERROR(IF(F1433&gt;E1433,"Arrival After Appointment","OK"),"Check Format"))</f>
        <v>OK</v>
      </c>
      <c r="X1433" t="str">
        <f>IF(OR(F1433="",G1433=""),"Missing Date/Time",IFERROR(IF(G1433&lt;F1433,"Discharge Before Arrival","OK"),"Check Format"))</f>
        <v>Missing Date/Time</v>
      </c>
    </row>
    <row r="1434" spans="1:24" x14ac:dyDescent="0.25">
      <c r="A1434" s="2" t="s">
        <v>2147</v>
      </c>
      <c r="B1434" s="2" t="s">
        <v>182</v>
      </c>
      <c r="C1434" s="3" t="s">
        <v>19</v>
      </c>
      <c r="D1434" s="3" t="s">
        <v>47</v>
      </c>
      <c r="E1434" s="4">
        <v>45481.517361111109</v>
      </c>
      <c r="F1434" s="4">
        <v>45481.510416666664</v>
      </c>
      <c r="G1434" s="4">
        <v>45481.59375</v>
      </c>
      <c r="H1434" s="5">
        <v>145</v>
      </c>
      <c r="I1434" s="3" t="s">
        <v>73</v>
      </c>
      <c r="J1434" s="3" t="s">
        <v>62</v>
      </c>
      <c r="K1434" s="5">
        <v>57</v>
      </c>
      <c r="L1434" s="5">
        <v>53</v>
      </c>
      <c r="P1434" s="3" t="s">
        <v>42</v>
      </c>
      <c r="Q1434" s="2">
        <v>35.130000000000003</v>
      </c>
      <c r="R1434" s="3" t="s">
        <v>58</v>
      </c>
      <c r="S1434">
        <f>COUNTIF(A:A,A1434)</f>
        <v>1</v>
      </c>
      <c r="T1434" t="str">
        <f>IF(OR(H1434="",LOWER(TRIM(H1434&amp;""))="missing",LOWER(TRIM(H1434&amp;""))=""),"Missing/",IFERROR(IF(OR(VALUE(H1434)&lt;0,VALUE(H1434)&gt;110),"Invalid","Valid"),"Check Format"))</f>
        <v>Invalid</v>
      </c>
      <c r="U1434" t="str">
        <f>IF(Raw_Data[[#This Row],[Age_Check]]="Valid",H1434,"")</f>
        <v/>
      </c>
      <c r="V1434" t="str">
        <f>IF(OR(K1434="",UPPER(TRIM(K1434&amp;""))="",LOWER(TRIM(K1434&amp;""))="",LOWER(TRIM(K1434&amp;""))="",LOWER(TRIM(K1434&amp;""))="missing"),"Missing/",IFERROR(IF(VALUE(K1434)&lt;0,"Invalid","Valid"),"Check Format"))</f>
        <v>Valid</v>
      </c>
      <c r="W1434" t="str">
        <f>IF(OR(E1434="",F1434=""),"Missing Date/Time",IFERROR(IF(F1434&gt;E1434,"Arrival After Appointment","OK"),"Check Format"))</f>
        <v>OK</v>
      </c>
      <c r="X1434" t="str">
        <f>IF(OR(F1434="",G1434=""),"Missing Date/Time",IFERROR(IF(G1434&lt;F1434,"Discharge Before Arrival","OK"),"Check Format"))</f>
        <v>OK</v>
      </c>
    </row>
    <row r="1435" spans="1:24" x14ac:dyDescent="0.25">
      <c r="A1435" s="2" t="s">
        <v>2148</v>
      </c>
      <c r="B1435" s="2" t="s">
        <v>795</v>
      </c>
      <c r="C1435" s="3" t="s">
        <v>29</v>
      </c>
      <c r="D1435" s="3" t="s">
        <v>61</v>
      </c>
      <c r="E1435" s="4">
        <v>46017.486111111109</v>
      </c>
      <c r="F1435" s="4">
        <v>46017.474999999999</v>
      </c>
      <c r="G1435" s="4">
        <v>46017.584027777775</v>
      </c>
      <c r="I1435" s="3" t="s">
        <v>95</v>
      </c>
      <c r="K1435" s="5">
        <v>76</v>
      </c>
      <c r="L1435" s="5">
        <v>65</v>
      </c>
      <c r="M1435" s="3" t="s">
        <v>63</v>
      </c>
      <c r="N1435" t="s">
        <v>74</v>
      </c>
      <c r="O1435" s="5">
        <v>2</v>
      </c>
      <c r="P1435" s="3" t="s">
        <v>80</v>
      </c>
      <c r="Q1435" s="2">
        <v>178.58</v>
      </c>
      <c r="R1435" s="3" t="s">
        <v>58</v>
      </c>
      <c r="S1435">
        <f>COUNTIF(A:A,A1435)</f>
        <v>1</v>
      </c>
      <c r="T1435" t="str">
        <f>IF(OR(H1435="",LOWER(TRIM(H1435&amp;""))="missing",LOWER(TRIM(H1435&amp;""))=""),"Missing/",IFERROR(IF(OR(VALUE(H1435)&lt;0,VALUE(H1435)&gt;110),"Invalid","Valid"),"Check Format"))</f>
        <v>Missing/</v>
      </c>
      <c r="U1435" t="str">
        <f>IF(Raw_Data[[#This Row],[Age_Check]]="Valid",H1435,"")</f>
        <v/>
      </c>
      <c r="V1435" t="str">
        <f>IF(OR(K1435="",UPPER(TRIM(K1435&amp;""))="",LOWER(TRIM(K1435&amp;""))="",LOWER(TRIM(K1435&amp;""))="",LOWER(TRIM(K1435&amp;""))="missing"),"Missing/",IFERROR(IF(VALUE(K1435)&lt;0,"Invalid","Valid"),"Check Format"))</f>
        <v>Valid</v>
      </c>
      <c r="W1435" t="str">
        <f>IF(OR(E1435="",F1435=""),"Missing Date/Time",IFERROR(IF(F1435&gt;E1435,"Arrival After Appointment","OK"),"Check Format"))</f>
        <v>OK</v>
      </c>
      <c r="X1435" t="str">
        <f>IF(OR(F1435="",G1435=""),"Missing Date/Time",IFERROR(IF(G1435&lt;F1435,"Discharge Before Arrival","OK"),"Check Format"))</f>
        <v>OK</v>
      </c>
    </row>
    <row r="1436" spans="1:24" x14ac:dyDescent="0.25">
      <c r="A1436" s="2" t="s">
        <v>2149</v>
      </c>
      <c r="B1436" s="2" t="s">
        <v>1331</v>
      </c>
      <c r="C1436" s="3" t="s">
        <v>19</v>
      </c>
      <c r="D1436" s="3" t="s">
        <v>106</v>
      </c>
      <c r="E1436" s="4">
        <v>45847.760416666664</v>
      </c>
      <c r="F1436" s="4">
        <v>45907.749305555553</v>
      </c>
      <c r="G1436" s="4">
        <v>45907.82916666667</v>
      </c>
      <c r="H1436" s="5">
        <v>84</v>
      </c>
      <c r="I1436" s="3" t="s">
        <v>73</v>
      </c>
      <c r="J1436" s="3" t="s">
        <v>150</v>
      </c>
      <c r="K1436" s="5">
        <v>67</v>
      </c>
      <c r="L1436" s="5">
        <v>32</v>
      </c>
      <c r="M1436" s="3" t="s">
        <v>32</v>
      </c>
      <c r="N1436" t="s">
        <v>91</v>
      </c>
      <c r="O1436" s="5">
        <v>0</v>
      </c>
      <c r="P1436" s="3" t="s">
        <v>42</v>
      </c>
      <c r="Q1436" s="2">
        <v>19.329999999999998</v>
      </c>
      <c r="R1436" s="3" t="s">
        <v>58</v>
      </c>
      <c r="S1436">
        <f>COUNTIF(A:A,A1436)</f>
        <v>1</v>
      </c>
      <c r="T1436" t="str">
        <f>IF(OR(H1436="",LOWER(TRIM(H1436&amp;""))="missing",LOWER(TRIM(H1436&amp;""))=""),"Missing/",IFERROR(IF(OR(VALUE(H1436)&lt;0,VALUE(H1436)&gt;110),"Invalid","Valid"),"Check Format"))</f>
        <v>Valid</v>
      </c>
      <c r="U1436">
        <f>IF(Raw_Data[[#This Row],[Age_Check]]="Valid",H1436,"")</f>
        <v>84</v>
      </c>
      <c r="V1436" t="str">
        <f>IF(OR(K1436="",UPPER(TRIM(K1436&amp;""))="",LOWER(TRIM(K1436&amp;""))="",LOWER(TRIM(K1436&amp;""))="",LOWER(TRIM(K1436&amp;""))="missing"),"Missing/",IFERROR(IF(VALUE(K1436)&lt;0,"Invalid","Valid"),"Check Format"))</f>
        <v>Valid</v>
      </c>
      <c r="W1436" t="str">
        <f>IF(OR(E1436="",F1436=""),"Missing Date/Time",IFERROR(IF(F1436&gt;E1436,"Arrival After Appointment","OK"),"Check Format"))</f>
        <v>Arrival After Appointment</v>
      </c>
      <c r="X1436" t="str">
        <f>IF(OR(F1436="",G1436=""),"Missing Date/Time",IFERROR(IF(G1436&lt;F1436,"Discharge Before Arrival","OK"),"Check Format"))</f>
        <v>OK</v>
      </c>
    </row>
    <row r="1437" spans="1:24" x14ac:dyDescent="0.25">
      <c r="A1437" s="2" t="s">
        <v>2150</v>
      </c>
      <c r="B1437" s="2" t="s">
        <v>387</v>
      </c>
      <c r="C1437" s="3" t="s">
        <v>46</v>
      </c>
      <c r="D1437" s="3" t="s">
        <v>20</v>
      </c>
      <c r="E1437" s="4">
        <v>45582.753472222219</v>
      </c>
      <c r="F1437" s="4">
        <v>45582.736111111109</v>
      </c>
      <c r="G1437" s="4">
        <v>45582.84097222222</v>
      </c>
      <c r="J1437" s="3" t="s">
        <v>171</v>
      </c>
      <c r="K1437" s="5">
        <v>105</v>
      </c>
      <c r="L1437" s="5">
        <v>21</v>
      </c>
      <c r="M1437" s="3" t="s">
        <v>87</v>
      </c>
      <c r="N1437" t="s">
        <v>74</v>
      </c>
      <c r="P1437" s="3" t="s">
        <v>25</v>
      </c>
      <c r="Q1437" s="2">
        <v>185.36</v>
      </c>
      <c r="R1437" s="3" t="s">
        <v>75</v>
      </c>
      <c r="S1437">
        <f>COUNTIF(A:A,A1437)</f>
        <v>1</v>
      </c>
      <c r="T1437" t="str">
        <f>IF(OR(H1437="",LOWER(TRIM(H1437&amp;""))="missing",LOWER(TRIM(H1437&amp;""))=""),"Missing/",IFERROR(IF(OR(VALUE(H1437)&lt;0,VALUE(H1437)&gt;110),"Invalid","Valid"),"Check Format"))</f>
        <v>Missing/</v>
      </c>
      <c r="U1437" t="str">
        <f>IF(Raw_Data[[#This Row],[Age_Check]]="Valid",H1437,"")</f>
        <v/>
      </c>
      <c r="V1437" t="str">
        <f>IF(OR(K1437="",UPPER(TRIM(K1437&amp;""))="",LOWER(TRIM(K1437&amp;""))="",LOWER(TRIM(K1437&amp;""))="",LOWER(TRIM(K1437&amp;""))="missing"),"Missing/",IFERROR(IF(VALUE(K1437)&lt;0,"Invalid","Valid"),"Check Format"))</f>
        <v>Valid</v>
      </c>
      <c r="W1437" t="str">
        <f>IF(OR(E1437="",F1437=""),"Missing Date/Time",IFERROR(IF(F1437&gt;E1437,"Arrival After Appointment","OK"),"Check Format"))</f>
        <v>OK</v>
      </c>
      <c r="X1437" t="str">
        <f>IF(OR(F1437="",G1437=""),"Missing Date/Time",IFERROR(IF(G1437&lt;F1437,"Discharge Before Arrival","OK"),"Check Format"))</f>
        <v>OK</v>
      </c>
    </row>
    <row r="1438" spans="1:24" x14ac:dyDescent="0.25">
      <c r="A1438" s="2" t="s">
        <v>2151</v>
      </c>
      <c r="B1438" s="2" t="s">
        <v>795</v>
      </c>
      <c r="C1438" s="3" t="s">
        <v>19</v>
      </c>
      <c r="D1438" s="3" t="s">
        <v>174</v>
      </c>
      <c r="E1438" s="4">
        <v>45785.788194444445</v>
      </c>
      <c r="F1438" s="4">
        <v>45874.785416666666</v>
      </c>
      <c r="G1438" s="4">
        <v>45874.797222222223</v>
      </c>
      <c r="I1438" s="3" t="s">
        <v>73</v>
      </c>
      <c r="J1438" s="3" t="s">
        <v>67</v>
      </c>
      <c r="K1438" s="5">
        <v>3</v>
      </c>
      <c r="L1438" s="5">
        <v>10</v>
      </c>
      <c r="M1438" s="3" t="s">
        <v>23</v>
      </c>
      <c r="N1438" t="s">
        <v>69</v>
      </c>
      <c r="O1438" s="5">
        <v>6</v>
      </c>
      <c r="P1438" s="3" t="s">
        <v>80</v>
      </c>
      <c r="Q1438" s="2">
        <v>259.81</v>
      </c>
      <c r="R1438" s="3" t="s">
        <v>58</v>
      </c>
      <c r="S1438">
        <f>COUNTIF(A:A,A1438)</f>
        <v>1</v>
      </c>
      <c r="T1438" t="str">
        <f>IF(OR(H1438="",LOWER(TRIM(H1438&amp;""))="missing",LOWER(TRIM(H1438&amp;""))=""),"Missing/",IFERROR(IF(OR(VALUE(H1438)&lt;0,VALUE(H1438)&gt;110),"Invalid","Valid"),"Check Format"))</f>
        <v>Missing/</v>
      </c>
      <c r="U1438" t="str">
        <f>IF(Raw_Data[[#This Row],[Age_Check]]="Valid",H1438,"")</f>
        <v/>
      </c>
      <c r="V1438" t="str">
        <f>IF(OR(K1438="",UPPER(TRIM(K1438&amp;""))="",LOWER(TRIM(K1438&amp;""))="",LOWER(TRIM(K1438&amp;""))="",LOWER(TRIM(K1438&amp;""))="missing"),"Missing/",IFERROR(IF(VALUE(K1438)&lt;0,"Invalid","Valid"),"Check Format"))</f>
        <v>Valid</v>
      </c>
      <c r="W1438" t="str">
        <f>IF(OR(E1438="",F1438=""),"Missing Date/Time",IFERROR(IF(F1438&gt;E1438,"Arrival After Appointment","OK"),"Check Format"))</f>
        <v>Arrival After Appointment</v>
      </c>
      <c r="X1438" t="str">
        <f>IF(OR(F1438="",G1438=""),"Missing Date/Time",IFERROR(IF(G1438&lt;F1438,"Discharge Before Arrival","OK"),"Check Format"))</f>
        <v>OK</v>
      </c>
    </row>
    <row r="1439" spans="1:24" x14ac:dyDescent="0.25">
      <c r="A1439" s="2" t="s">
        <v>2152</v>
      </c>
      <c r="B1439" s="2" t="s">
        <v>1654</v>
      </c>
      <c r="C1439" s="3" t="s">
        <v>94</v>
      </c>
      <c r="D1439" s="3" t="s">
        <v>72</v>
      </c>
      <c r="E1439" s="4" t="s">
        <v>2153</v>
      </c>
      <c r="F1439" s="4">
        <v>45561.70208333333</v>
      </c>
      <c r="G1439" s="4">
        <v>45561.776388888888</v>
      </c>
      <c r="I1439" s="3" t="s">
        <v>39</v>
      </c>
      <c r="J1439" s="3" t="s">
        <v>67</v>
      </c>
      <c r="K1439" s="5">
        <v>45</v>
      </c>
      <c r="L1439" s="5">
        <v>58</v>
      </c>
      <c r="M1439" s="3" t="s">
        <v>50</v>
      </c>
      <c r="N1439" t="s">
        <v>100</v>
      </c>
      <c r="O1439" s="5">
        <v>3</v>
      </c>
      <c r="P1439" s="3" t="s">
        <v>42</v>
      </c>
      <c r="Q1439" s="2">
        <v>138.74</v>
      </c>
      <c r="R1439" s="3" t="s">
        <v>75</v>
      </c>
      <c r="S1439">
        <f>COUNTIF(A:A,A1439)</f>
        <v>1</v>
      </c>
      <c r="T1439" t="str">
        <f>IF(OR(H1439="",LOWER(TRIM(H1439&amp;""))="missing",LOWER(TRIM(H1439&amp;""))=""),"Missing/",IFERROR(IF(OR(VALUE(H1439)&lt;0,VALUE(H1439)&gt;110),"Invalid","Valid"),"Check Format"))</f>
        <v>Missing/</v>
      </c>
      <c r="U1439" t="str">
        <f>IF(Raw_Data[[#This Row],[Age_Check]]="Valid",H1439,"")</f>
        <v/>
      </c>
      <c r="V1439" t="str">
        <f>IF(OR(K1439="",UPPER(TRIM(K1439&amp;""))="",LOWER(TRIM(K1439&amp;""))="",LOWER(TRIM(K1439&amp;""))="",LOWER(TRIM(K1439&amp;""))="missing"),"Missing/",IFERROR(IF(VALUE(K1439)&lt;0,"Invalid","Valid"),"Check Format"))</f>
        <v>Valid</v>
      </c>
      <c r="W1439" t="str">
        <f>IF(OR(E1439="",F1439=""),"Missing Date/Time",IFERROR(IF(F1439&gt;E1439,"Arrival After Appointment","OK"),"Check Format"))</f>
        <v>OK</v>
      </c>
      <c r="X1439" t="str">
        <f>IF(OR(F1439="",G1439=""),"Missing Date/Time",IFERROR(IF(G1439&lt;F1439,"Discharge Before Arrival","OK"),"Check Format"))</f>
        <v>OK</v>
      </c>
    </row>
    <row r="1440" spans="1:24" x14ac:dyDescent="0.25">
      <c r="A1440" s="2" t="s">
        <v>2154</v>
      </c>
      <c r="B1440" s="2" t="s">
        <v>220</v>
      </c>
      <c r="C1440" s="3" t="s">
        <v>46</v>
      </c>
      <c r="D1440" s="3" t="s">
        <v>30</v>
      </c>
      <c r="E1440" s="4" t="s">
        <v>2155</v>
      </c>
      <c r="F1440" s="4">
        <v>45342.29583333333</v>
      </c>
      <c r="G1440" s="4">
        <v>45342.342361111114</v>
      </c>
      <c r="H1440" s="5">
        <v>55</v>
      </c>
      <c r="I1440" s="3" t="s">
        <v>73</v>
      </c>
      <c r="J1440" s="3" t="s">
        <v>22</v>
      </c>
      <c r="K1440" s="5">
        <v>0</v>
      </c>
      <c r="L1440" s="5">
        <v>48</v>
      </c>
      <c r="Q1440" s="2">
        <v>97.81</v>
      </c>
      <c r="R1440" s="3" t="s">
        <v>58</v>
      </c>
      <c r="S1440">
        <f>COUNTIF(A:A,A1440)</f>
        <v>1</v>
      </c>
      <c r="T1440" t="str">
        <f>IF(OR(H1440="",LOWER(TRIM(H1440&amp;""))="missing",LOWER(TRIM(H1440&amp;""))=""),"Missing/",IFERROR(IF(OR(VALUE(H1440)&lt;0,VALUE(H1440)&gt;110),"Invalid","Valid"),"Check Format"))</f>
        <v>Valid</v>
      </c>
      <c r="U1440">
        <f>IF(Raw_Data[[#This Row],[Age_Check]]="Valid",H1440,"")</f>
        <v>55</v>
      </c>
      <c r="V1440" t="str">
        <f>IF(OR(K1440="",UPPER(TRIM(K1440&amp;""))="",LOWER(TRIM(K1440&amp;""))="",LOWER(TRIM(K1440&amp;""))="",LOWER(TRIM(K1440&amp;""))="missing"),"Missing/",IFERROR(IF(VALUE(K1440)&lt;0,"Invalid","Valid"),"Check Format"))</f>
        <v>Valid</v>
      </c>
      <c r="W1440" t="str">
        <f>IF(OR(E1440="",F1440=""),"Missing Date/Time",IFERROR(IF(F1440&gt;E1440,"Arrival After Appointment","OK"),"Check Format"))</f>
        <v>OK</v>
      </c>
      <c r="X1440" t="str">
        <f>IF(OR(F1440="",G1440=""),"Missing Date/Time",IFERROR(IF(G1440&lt;F1440,"Discharge Before Arrival","OK"),"Check Format"))</f>
        <v>OK</v>
      </c>
    </row>
    <row r="1441" spans="1:24" x14ac:dyDescent="0.25">
      <c r="A1441" s="2" t="s">
        <v>2156</v>
      </c>
      <c r="B1441" s="2" t="s">
        <v>421</v>
      </c>
      <c r="C1441" s="3" t="s">
        <v>19</v>
      </c>
      <c r="D1441" s="3" t="s">
        <v>38</v>
      </c>
      <c r="E1441" s="4">
        <v>45813.319444444445</v>
      </c>
      <c r="G1441" s="4">
        <v>45813.398611111108</v>
      </c>
      <c r="I1441" s="3" t="s">
        <v>73</v>
      </c>
      <c r="J1441" s="3" t="s">
        <v>150</v>
      </c>
      <c r="K1441" s="5">
        <v>82</v>
      </c>
      <c r="L1441" s="5">
        <v>32</v>
      </c>
      <c r="M1441" s="3" t="s">
        <v>23</v>
      </c>
      <c r="N1441" t="s">
        <v>24</v>
      </c>
      <c r="P1441" s="3" t="s">
        <v>42</v>
      </c>
      <c r="Q1441" s="2">
        <v>21.55</v>
      </c>
      <c r="R1441" s="3" t="s">
        <v>75</v>
      </c>
      <c r="S1441">
        <f>COUNTIF(A:A,A1441)</f>
        <v>1</v>
      </c>
      <c r="T1441" t="str">
        <f>IF(OR(H1441="",LOWER(TRIM(H1441&amp;""))="missing",LOWER(TRIM(H1441&amp;""))=""),"Missing/",IFERROR(IF(OR(VALUE(H1441)&lt;0,VALUE(H1441)&gt;110),"Invalid","Valid"),"Check Format"))</f>
        <v>Missing/</v>
      </c>
      <c r="U1441" t="str">
        <f>IF(Raw_Data[[#This Row],[Age_Check]]="Valid",H1441,"")</f>
        <v/>
      </c>
      <c r="V1441" t="str">
        <f>IF(OR(K1441="",UPPER(TRIM(K1441&amp;""))="",LOWER(TRIM(K1441&amp;""))="",LOWER(TRIM(K1441&amp;""))="",LOWER(TRIM(K1441&amp;""))="missing"),"Missing/",IFERROR(IF(VALUE(K1441)&lt;0,"Invalid","Valid"),"Check Format"))</f>
        <v>Valid</v>
      </c>
      <c r="W1441" t="str">
        <f>IF(OR(E1441="",F1441=""),"Missing Date/Time",IFERROR(IF(F1441&gt;E1441,"Arrival After Appointment","OK"),"Check Format"))</f>
        <v>Missing Date/Time</v>
      </c>
      <c r="X1441" t="str">
        <f>IF(OR(F1441="",G1441=""),"Missing Date/Time",IFERROR(IF(G1441&lt;F1441,"Discharge Before Arrival","OK"),"Check Format"))</f>
        <v>Missing Date/Time</v>
      </c>
    </row>
    <row r="1442" spans="1:24" x14ac:dyDescent="0.25">
      <c r="A1442" s="2" t="s">
        <v>2157</v>
      </c>
      <c r="B1442" s="2" t="s">
        <v>512</v>
      </c>
      <c r="C1442" s="3" t="s">
        <v>37</v>
      </c>
      <c r="D1442" s="3" t="s">
        <v>72</v>
      </c>
      <c r="E1442" s="4">
        <v>45759.677083333336</v>
      </c>
      <c r="F1442" s="4">
        <v>45759.662499999999</v>
      </c>
      <c r="G1442" s="4">
        <v>45759.770138888889</v>
      </c>
      <c r="H1442" s="5">
        <v>145</v>
      </c>
      <c r="J1442" s="3" t="s">
        <v>2639</v>
      </c>
      <c r="K1442" s="5">
        <v>63</v>
      </c>
      <c r="L1442" s="5">
        <v>71</v>
      </c>
      <c r="M1442" s="3" t="s">
        <v>41</v>
      </c>
      <c r="N1442" t="s">
        <v>74</v>
      </c>
      <c r="P1442" s="3" t="s">
        <v>25</v>
      </c>
      <c r="Q1442" s="2">
        <v>184.44</v>
      </c>
      <c r="R1442" s="3" t="s">
        <v>26</v>
      </c>
      <c r="S1442">
        <f>COUNTIF(A:A,A1442)</f>
        <v>1</v>
      </c>
      <c r="T1442" t="str">
        <f>IF(OR(H1442="",LOWER(TRIM(H1442&amp;""))="missing",LOWER(TRIM(H1442&amp;""))=""),"Missing/",IFERROR(IF(OR(VALUE(H1442)&lt;0,VALUE(H1442)&gt;110),"Invalid","Valid"),"Check Format"))</f>
        <v>Invalid</v>
      </c>
      <c r="U1442" t="str">
        <f>IF(Raw_Data[[#This Row],[Age_Check]]="Valid",H1442,"")</f>
        <v/>
      </c>
      <c r="V1442" t="str">
        <f>IF(OR(K1442="",UPPER(TRIM(K1442&amp;""))="",LOWER(TRIM(K1442&amp;""))="",LOWER(TRIM(K1442&amp;""))="",LOWER(TRIM(K1442&amp;""))="missing"),"Missing/",IFERROR(IF(VALUE(K1442)&lt;0,"Invalid","Valid"),"Check Format"))</f>
        <v>Valid</v>
      </c>
      <c r="W1442" t="str">
        <f>IF(OR(E1442="",F1442=""),"Missing Date/Time",IFERROR(IF(F1442&gt;E1442,"Arrival After Appointment","OK"),"Check Format"))</f>
        <v>OK</v>
      </c>
      <c r="X1442" t="str">
        <f>IF(OR(F1442="",G1442=""),"Missing Date/Time",IFERROR(IF(G1442&lt;F1442,"Discharge Before Arrival","OK"),"Check Format"))</f>
        <v>OK</v>
      </c>
    </row>
    <row r="1443" spans="1:24" x14ac:dyDescent="0.25">
      <c r="A1443" s="2" t="s">
        <v>2158</v>
      </c>
      <c r="B1443" s="2" t="s">
        <v>1485</v>
      </c>
      <c r="C1443" s="3" t="s">
        <v>37</v>
      </c>
      <c r="D1443" s="3" t="s">
        <v>72</v>
      </c>
      <c r="E1443" s="4" t="s">
        <v>2159</v>
      </c>
      <c r="F1443" s="4">
        <v>45501.359027777777</v>
      </c>
      <c r="G1443" s="4">
        <v>45501.448611111111</v>
      </c>
      <c r="I1443" s="3" t="s">
        <v>73</v>
      </c>
      <c r="J1443" s="3" t="s">
        <v>171</v>
      </c>
      <c r="K1443" s="5">
        <v>55</v>
      </c>
      <c r="L1443" s="5">
        <v>51</v>
      </c>
      <c r="M1443" s="3" t="s">
        <v>32</v>
      </c>
      <c r="O1443" s="5">
        <v>1</v>
      </c>
      <c r="P1443" s="3" t="s">
        <v>42</v>
      </c>
      <c r="Q1443" s="2">
        <v>161.85</v>
      </c>
      <c r="R1443" s="3" t="s">
        <v>43</v>
      </c>
      <c r="S1443">
        <f>COUNTIF(A:A,A1443)</f>
        <v>1</v>
      </c>
      <c r="T1443" t="str">
        <f>IF(OR(H1443="",LOWER(TRIM(H1443&amp;""))="missing",LOWER(TRIM(H1443&amp;""))=""),"Missing/",IFERROR(IF(OR(VALUE(H1443)&lt;0,VALUE(H1443)&gt;110),"Invalid","Valid"),"Check Format"))</f>
        <v>Missing/</v>
      </c>
      <c r="U1443" t="str">
        <f>IF(Raw_Data[[#This Row],[Age_Check]]="Valid",H1443,"")</f>
        <v/>
      </c>
      <c r="V1443" t="str">
        <f>IF(OR(K1443="",UPPER(TRIM(K1443&amp;""))="",LOWER(TRIM(K1443&amp;""))="",LOWER(TRIM(K1443&amp;""))="",LOWER(TRIM(K1443&amp;""))="missing"),"Missing/",IFERROR(IF(VALUE(K1443)&lt;0,"Invalid","Valid"),"Check Format"))</f>
        <v>Valid</v>
      </c>
      <c r="W1443" t="str">
        <f>IF(OR(E1443="",F1443=""),"Missing Date/Time",IFERROR(IF(F1443&gt;E1443,"Arrival After Appointment","OK"),"Check Format"))</f>
        <v>OK</v>
      </c>
      <c r="X1443" t="str">
        <f>IF(OR(F1443="",G1443=""),"Missing Date/Time",IFERROR(IF(G1443&lt;F1443,"Discharge Before Arrival","OK"),"Check Format"))</f>
        <v>OK</v>
      </c>
    </row>
    <row r="1444" spans="1:24" x14ac:dyDescent="0.25">
      <c r="A1444" s="2" t="s">
        <v>2160</v>
      </c>
      <c r="B1444" s="2" t="s">
        <v>1219</v>
      </c>
      <c r="C1444" s="3" t="s">
        <v>46</v>
      </c>
      <c r="D1444" s="3" t="s">
        <v>149</v>
      </c>
      <c r="E1444" s="4">
        <v>45962.361111111109</v>
      </c>
      <c r="F1444" s="4">
        <v>45962.351388888892</v>
      </c>
      <c r="G1444" s="4">
        <v>45962.414583333331</v>
      </c>
      <c r="I1444" s="3" t="s">
        <v>95</v>
      </c>
      <c r="K1444" s="5">
        <v>65</v>
      </c>
      <c r="L1444" s="5">
        <v>12</v>
      </c>
      <c r="M1444" s="3" t="s">
        <v>50</v>
      </c>
      <c r="N1444" t="s">
        <v>103</v>
      </c>
      <c r="O1444" s="5">
        <v>6</v>
      </c>
      <c r="P1444" s="3" t="s">
        <v>80</v>
      </c>
      <c r="Q1444" s="2">
        <v>163.71</v>
      </c>
      <c r="R1444" s="3" t="s">
        <v>58</v>
      </c>
      <c r="S1444">
        <f>COUNTIF(A:A,A1444)</f>
        <v>1</v>
      </c>
      <c r="T1444" t="str">
        <f>IF(OR(H1444="",LOWER(TRIM(H1444&amp;""))="missing",LOWER(TRIM(H1444&amp;""))=""),"Missing/",IFERROR(IF(OR(VALUE(H1444)&lt;0,VALUE(H1444)&gt;110),"Invalid","Valid"),"Check Format"))</f>
        <v>Missing/</v>
      </c>
      <c r="U1444" t="str">
        <f>IF(Raw_Data[[#This Row],[Age_Check]]="Valid",H1444,"")</f>
        <v/>
      </c>
      <c r="V1444" t="str">
        <f>IF(OR(K1444="",UPPER(TRIM(K1444&amp;""))="",LOWER(TRIM(K1444&amp;""))="",LOWER(TRIM(K1444&amp;""))="",LOWER(TRIM(K1444&amp;""))="missing"),"Missing/",IFERROR(IF(VALUE(K1444)&lt;0,"Invalid","Valid"),"Check Format"))</f>
        <v>Valid</v>
      </c>
      <c r="W1444" t="str">
        <f>IF(OR(E1444="",F1444=""),"Missing Date/Time",IFERROR(IF(F1444&gt;E1444,"Arrival After Appointment","OK"),"Check Format"))</f>
        <v>OK</v>
      </c>
      <c r="X1444" t="str">
        <f>IF(OR(F1444="",G1444=""),"Missing Date/Time",IFERROR(IF(G1444&lt;F1444,"Discharge Before Arrival","OK"),"Check Format"))</f>
        <v>OK</v>
      </c>
    </row>
    <row r="1445" spans="1:24" x14ac:dyDescent="0.25">
      <c r="A1445" s="2" t="s">
        <v>2161</v>
      </c>
      <c r="B1445" s="2" t="s">
        <v>946</v>
      </c>
      <c r="C1445" s="3" t="s">
        <v>46</v>
      </c>
      <c r="D1445" s="3" t="s">
        <v>55</v>
      </c>
      <c r="E1445" s="4">
        <v>45737.482638888891</v>
      </c>
      <c r="F1445" s="4">
        <v>45737.46875</v>
      </c>
      <c r="G1445" s="4">
        <v>45737.559027777781</v>
      </c>
      <c r="J1445" s="3" t="s">
        <v>22</v>
      </c>
      <c r="K1445" s="5">
        <v>94</v>
      </c>
      <c r="L1445" s="5">
        <v>16</v>
      </c>
      <c r="N1445" t="s">
        <v>69</v>
      </c>
      <c r="O1445" s="5">
        <v>6</v>
      </c>
      <c r="Q1445" s="2">
        <v>258.95999999999998</v>
      </c>
      <c r="R1445" s="3" t="s">
        <v>26</v>
      </c>
      <c r="S1445">
        <f>COUNTIF(A:A,A1445)</f>
        <v>1</v>
      </c>
      <c r="T1445" t="str">
        <f>IF(OR(H1445="",LOWER(TRIM(H1445&amp;""))="missing",LOWER(TRIM(H1445&amp;""))=""),"Missing/",IFERROR(IF(OR(VALUE(H1445)&lt;0,VALUE(H1445)&gt;110),"Invalid","Valid"),"Check Format"))</f>
        <v>Missing/</v>
      </c>
      <c r="U1445" t="str">
        <f>IF(Raw_Data[[#This Row],[Age_Check]]="Valid",H1445,"")</f>
        <v/>
      </c>
      <c r="V1445" t="str">
        <f>IF(OR(K1445="",UPPER(TRIM(K1445&amp;""))="",LOWER(TRIM(K1445&amp;""))="",LOWER(TRIM(K1445&amp;""))="",LOWER(TRIM(K1445&amp;""))="missing"),"Missing/",IFERROR(IF(VALUE(K1445)&lt;0,"Invalid","Valid"),"Check Format"))</f>
        <v>Valid</v>
      </c>
      <c r="W1445" t="str">
        <f>IF(OR(E1445="",F1445=""),"Missing Date/Time",IFERROR(IF(F1445&gt;E1445,"Arrival After Appointment","OK"),"Check Format"))</f>
        <v>OK</v>
      </c>
      <c r="X1445" t="str">
        <f>IF(OR(F1445="",G1445=""),"Missing Date/Time",IFERROR(IF(G1445&lt;F1445,"Discharge Before Arrival","OK"),"Check Format"))</f>
        <v>OK</v>
      </c>
    </row>
    <row r="1446" spans="1:24" x14ac:dyDescent="0.25">
      <c r="A1446" s="2" t="s">
        <v>2162</v>
      </c>
      <c r="B1446" s="2" t="s">
        <v>431</v>
      </c>
      <c r="C1446" s="3" t="s">
        <v>19</v>
      </c>
      <c r="D1446" s="3" t="s">
        <v>61</v>
      </c>
      <c r="E1446" s="4">
        <v>45601.489583333336</v>
      </c>
      <c r="F1446" s="4">
        <v>45601.46875</v>
      </c>
      <c r="G1446" s="4">
        <v>45601.538194444445</v>
      </c>
      <c r="H1446" s="5">
        <v>145</v>
      </c>
      <c r="J1446" s="3" t="s">
        <v>171</v>
      </c>
      <c r="K1446" s="5">
        <v>54</v>
      </c>
      <c r="L1446" s="5">
        <v>16</v>
      </c>
      <c r="M1446" s="3" t="s">
        <v>41</v>
      </c>
      <c r="N1446" t="s">
        <v>24</v>
      </c>
      <c r="Q1446" s="2">
        <v>224.81</v>
      </c>
      <c r="R1446" s="3" t="s">
        <v>75</v>
      </c>
      <c r="S1446">
        <f>COUNTIF(A:A,A1446)</f>
        <v>1</v>
      </c>
      <c r="T1446" t="str">
        <f>IF(OR(H1446="",LOWER(TRIM(H1446&amp;""))="missing",LOWER(TRIM(H1446&amp;""))=""),"Missing/",IFERROR(IF(OR(VALUE(H1446)&lt;0,VALUE(H1446)&gt;110),"Invalid","Valid"),"Check Format"))</f>
        <v>Invalid</v>
      </c>
      <c r="U1446" t="str">
        <f>IF(Raw_Data[[#This Row],[Age_Check]]="Valid",H1446,"")</f>
        <v/>
      </c>
      <c r="V1446" t="str">
        <f>IF(OR(K1446="",UPPER(TRIM(K1446&amp;""))="",LOWER(TRIM(K1446&amp;""))="",LOWER(TRIM(K1446&amp;""))="",LOWER(TRIM(K1446&amp;""))="missing"),"Missing/",IFERROR(IF(VALUE(K1446)&lt;0,"Invalid","Valid"),"Check Format"))</f>
        <v>Valid</v>
      </c>
      <c r="W1446" t="str">
        <f>IF(OR(E1446="",F1446=""),"Missing Date/Time",IFERROR(IF(F1446&gt;E1446,"Arrival After Appointment","OK"),"Check Format"))</f>
        <v>OK</v>
      </c>
      <c r="X1446" t="str">
        <f>IF(OR(F1446="",G1446=""),"Missing Date/Time",IFERROR(IF(G1446&lt;F1446,"Discharge Before Arrival","OK"),"Check Format"))</f>
        <v>OK</v>
      </c>
    </row>
    <row r="1447" spans="1:24" x14ac:dyDescent="0.25">
      <c r="A1447" s="2" t="s">
        <v>2163</v>
      </c>
      <c r="B1447" s="2" t="s">
        <v>444</v>
      </c>
      <c r="C1447" s="3" t="s">
        <v>94</v>
      </c>
      <c r="D1447" s="3" t="s">
        <v>106</v>
      </c>
      <c r="E1447" s="4">
        <v>45448.729166666664</v>
      </c>
      <c r="F1447" s="4">
        <v>45448.714583333334</v>
      </c>
      <c r="G1447" s="4">
        <v>45448.793055555558</v>
      </c>
      <c r="H1447" s="5">
        <v>66</v>
      </c>
      <c r="J1447" s="3" t="s">
        <v>67</v>
      </c>
      <c r="K1447" s="5">
        <v>47</v>
      </c>
      <c r="L1447" s="5">
        <v>45</v>
      </c>
      <c r="M1447" s="3" t="s">
        <v>68</v>
      </c>
      <c r="N1447" t="s">
        <v>69</v>
      </c>
      <c r="O1447" s="5">
        <v>2</v>
      </c>
      <c r="P1447" s="3" t="s">
        <v>42</v>
      </c>
      <c r="Q1447" s="2">
        <v>121.66</v>
      </c>
      <c r="R1447" s="3" t="s">
        <v>43</v>
      </c>
      <c r="S1447">
        <f>COUNTIF(A:A,A1447)</f>
        <v>1</v>
      </c>
      <c r="T1447" t="str">
        <f>IF(OR(H1447="",LOWER(TRIM(H1447&amp;""))="missing",LOWER(TRIM(H1447&amp;""))=""),"Missing/",IFERROR(IF(OR(VALUE(H1447)&lt;0,VALUE(H1447)&gt;110),"Invalid","Valid"),"Check Format"))</f>
        <v>Valid</v>
      </c>
      <c r="U1447">
        <f>IF(Raw_Data[[#This Row],[Age_Check]]="Valid",H1447,"")</f>
        <v>66</v>
      </c>
      <c r="V1447" t="str">
        <f>IF(OR(K1447="",UPPER(TRIM(K1447&amp;""))="",LOWER(TRIM(K1447&amp;""))="",LOWER(TRIM(K1447&amp;""))="",LOWER(TRIM(K1447&amp;""))="missing"),"Missing/",IFERROR(IF(VALUE(K1447)&lt;0,"Invalid","Valid"),"Check Format"))</f>
        <v>Valid</v>
      </c>
      <c r="W1447" t="str">
        <f>IF(OR(E1447="",F1447=""),"Missing Date/Time",IFERROR(IF(F1447&gt;E1447,"Arrival After Appointment","OK"),"Check Format"))</f>
        <v>OK</v>
      </c>
      <c r="X1447" t="str">
        <f>IF(OR(F1447="",G1447=""),"Missing Date/Time",IFERROR(IF(G1447&lt;F1447,"Discharge Before Arrival","OK"),"Check Format"))</f>
        <v>OK</v>
      </c>
    </row>
    <row r="1448" spans="1:24" x14ac:dyDescent="0.25">
      <c r="A1448" s="2" t="s">
        <v>2164</v>
      </c>
      <c r="B1448" s="2" t="s">
        <v>120</v>
      </c>
      <c r="C1448" s="3" t="s">
        <v>46</v>
      </c>
      <c r="D1448" s="3" t="s">
        <v>20</v>
      </c>
      <c r="E1448" s="4">
        <v>45345.440972222219</v>
      </c>
      <c r="G1448" s="4">
        <v>45345.506944444445</v>
      </c>
      <c r="H1448" s="5">
        <v>8</v>
      </c>
      <c r="J1448" s="3" t="s">
        <v>2639</v>
      </c>
      <c r="K1448" s="5">
        <v>55</v>
      </c>
      <c r="L1448" s="5">
        <v>40</v>
      </c>
      <c r="N1448" t="s">
        <v>24</v>
      </c>
      <c r="P1448" s="3" t="s">
        <v>80</v>
      </c>
      <c r="Q1448" s="2">
        <v>168.27</v>
      </c>
      <c r="R1448" s="3" t="s">
        <v>58</v>
      </c>
      <c r="S1448">
        <f>COUNTIF(A:A,A1448)</f>
        <v>1</v>
      </c>
      <c r="T1448" t="str">
        <f>IF(OR(H1448="",LOWER(TRIM(H1448&amp;""))="missing",LOWER(TRIM(H1448&amp;""))=""),"Missing/",IFERROR(IF(OR(VALUE(H1448)&lt;0,VALUE(H1448)&gt;110),"Invalid","Valid"),"Check Format"))</f>
        <v>Valid</v>
      </c>
      <c r="U1448">
        <f>IF(Raw_Data[[#This Row],[Age_Check]]="Valid",H1448,"")</f>
        <v>8</v>
      </c>
      <c r="V1448" t="str">
        <f>IF(OR(K1448="",UPPER(TRIM(K1448&amp;""))="",LOWER(TRIM(K1448&amp;""))="",LOWER(TRIM(K1448&amp;""))="",LOWER(TRIM(K1448&amp;""))="missing"),"Missing/",IFERROR(IF(VALUE(K1448)&lt;0,"Invalid","Valid"),"Check Format"))</f>
        <v>Valid</v>
      </c>
      <c r="W1448" t="str">
        <f>IF(OR(E1448="",F1448=""),"Missing Date/Time",IFERROR(IF(F1448&gt;E1448,"Arrival After Appointment","OK"),"Check Format"))</f>
        <v>Missing Date/Time</v>
      </c>
      <c r="X1448" t="str">
        <f>IF(OR(F1448="",G1448=""),"Missing Date/Time",IFERROR(IF(G1448&lt;F1448,"Discharge Before Arrival","OK"),"Check Format"))</f>
        <v>Missing Date/Time</v>
      </c>
    </row>
    <row r="1449" spans="1:24" x14ac:dyDescent="0.25">
      <c r="A1449" s="2" t="s">
        <v>2165</v>
      </c>
      <c r="B1449" s="2" t="s">
        <v>117</v>
      </c>
      <c r="C1449" s="3" t="s">
        <v>29</v>
      </c>
      <c r="D1449" s="3" t="s">
        <v>47</v>
      </c>
      <c r="E1449" s="4">
        <v>45686.725694444445</v>
      </c>
      <c r="F1449" s="4">
        <v>45686.71597222222</v>
      </c>
      <c r="G1449" s="4">
        <v>45686.73333333333</v>
      </c>
      <c r="H1449" s="5">
        <v>71</v>
      </c>
      <c r="I1449" s="3" t="s">
        <v>95</v>
      </c>
      <c r="J1449" s="3" t="s">
        <v>62</v>
      </c>
      <c r="K1449" s="5">
        <v>0</v>
      </c>
      <c r="L1449" s="5">
        <v>11</v>
      </c>
      <c r="M1449" s="3" t="s">
        <v>41</v>
      </c>
      <c r="N1449" t="s">
        <v>91</v>
      </c>
      <c r="O1449" s="5">
        <v>0</v>
      </c>
      <c r="P1449" s="3" t="s">
        <v>42</v>
      </c>
      <c r="Q1449" s="2">
        <v>219.35</v>
      </c>
      <c r="R1449" s="3" t="s">
        <v>58</v>
      </c>
      <c r="S1449">
        <f>COUNTIF(A:A,A1449)</f>
        <v>1</v>
      </c>
      <c r="T1449" t="str">
        <f>IF(OR(H1449="",LOWER(TRIM(H1449&amp;""))="missing",LOWER(TRIM(H1449&amp;""))=""),"Missing/",IFERROR(IF(OR(VALUE(H1449)&lt;0,VALUE(H1449)&gt;110),"Invalid","Valid"),"Check Format"))</f>
        <v>Valid</v>
      </c>
      <c r="U1449">
        <f>IF(Raw_Data[[#This Row],[Age_Check]]="Valid",H1449,"")</f>
        <v>71</v>
      </c>
      <c r="V1449" t="str">
        <f>IF(OR(K1449="",UPPER(TRIM(K1449&amp;""))="",LOWER(TRIM(K1449&amp;""))="",LOWER(TRIM(K1449&amp;""))="",LOWER(TRIM(K1449&amp;""))="missing"),"Missing/",IFERROR(IF(VALUE(K1449)&lt;0,"Invalid","Valid"),"Check Format"))</f>
        <v>Valid</v>
      </c>
      <c r="W1449" t="str">
        <f>IF(OR(E1449="",F1449=""),"Missing Date/Time",IFERROR(IF(F1449&gt;E1449,"Arrival After Appointment","OK"),"Check Format"))</f>
        <v>OK</v>
      </c>
      <c r="X1449" t="str">
        <f>IF(OR(F1449="",G1449=""),"Missing Date/Time",IFERROR(IF(G1449&lt;F1449,"Discharge Before Arrival","OK"),"Check Format"))</f>
        <v>OK</v>
      </c>
    </row>
    <row r="1450" spans="1:24" x14ac:dyDescent="0.25">
      <c r="A1450" s="2" t="s">
        <v>2166</v>
      </c>
      <c r="B1450" s="2" t="s">
        <v>949</v>
      </c>
      <c r="C1450" s="3" t="s">
        <v>19</v>
      </c>
      <c r="D1450" s="3" t="s">
        <v>174</v>
      </c>
      <c r="E1450" s="4">
        <v>45511.552083333336</v>
      </c>
      <c r="F1450" s="4">
        <v>45511.543055555558</v>
      </c>
      <c r="G1450" s="4">
        <v>45511.604166666664</v>
      </c>
      <c r="H1450" s="5">
        <v>32</v>
      </c>
      <c r="I1450" s="3" t="s">
        <v>95</v>
      </c>
      <c r="J1450" s="3" t="s">
        <v>171</v>
      </c>
      <c r="K1450" s="5">
        <v>53</v>
      </c>
      <c r="L1450" s="5">
        <v>22</v>
      </c>
      <c r="M1450" s="3" t="s">
        <v>87</v>
      </c>
      <c r="N1450" t="s">
        <v>103</v>
      </c>
      <c r="P1450" s="3" t="s">
        <v>25</v>
      </c>
      <c r="Q1450" s="2">
        <v>36.31</v>
      </c>
      <c r="R1450" s="3" t="s">
        <v>75</v>
      </c>
      <c r="S1450">
        <f>COUNTIF(A:A,A1450)</f>
        <v>1</v>
      </c>
      <c r="T1450" t="str">
        <f>IF(OR(H1450="",LOWER(TRIM(H1450&amp;""))="missing",LOWER(TRIM(H1450&amp;""))=""),"Missing/",IFERROR(IF(OR(VALUE(H1450)&lt;0,VALUE(H1450)&gt;110),"Invalid","Valid"),"Check Format"))</f>
        <v>Valid</v>
      </c>
      <c r="U1450">
        <f>IF(Raw_Data[[#This Row],[Age_Check]]="Valid",H1450,"")</f>
        <v>32</v>
      </c>
      <c r="V1450" t="str">
        <f>IF(OR(K1450="",UPPER(TRIM(K1450&amp;""))="",LOWER(TRIM(K1450&amp;""))="",LOWER(TRIM(K1450&amp;""))="",LOWER(TRIM(K1450&amp;""))="missing"),"Missing/",IFERROR(IF(VALUE(K1450)&lt;0,"Invalid","Valid"),"Check Format"))</f>
        <v>Valid</v>
      </c>
      <c r="W1450" t="str">
        <f>IF(OR(E1450="",F1450=""),"Missing Date/Time",IFERROR(IF(F1450&gt;E1450,"Arrival After Appointment","OK"),"Check Format"))</f>
        <v>OK</v>
      </c>
      <c r="X1450" t="str">
        <f>IF(OR(F1450="",G1450=""),"Missing Date/Time",IFERROR(IF(G1450&lt;F1450,"Discharge Before Arrival","OK"),"Check Format"))</f>
        <v>OK</v>
      </c>
    </row>
    <row r="1451" spans="1:24" x14ac:dyDescent="0.25">
      <c r="A1451" s="2" t="s">
        <v>2167</v>
      </c>
      <c r="B1451" s="2" t="s">
        <v>791</v>
      </c>
      <c r="C1451" s="3" t="s">
        <v>29</v>
      </c>
      <c r="D1451" s="3" t="s">
        <v>47</v>
      </c>
      <c r="E1451" s="4">
        <v>45343.434027777781</v>
      </c>
      <c r="F1451" s="4">
        <v>45343.419444444444</v>
      </c>
      <c r="I1451" s="3" t="s">
        <v>73</v>
      </c>
      <c r="J1451" s="3" t="s">
        <v>62</v>
      </c>
      <c r="K1451" s="5">
        <v>20</v>
      </c>
      <c r="L1451" s="5">
        <v>5</v>
      </c>
      <c r="M1451" s="3" t="s">
        <v>50</v>
      </c>
      <c r="N1451" t="s">
        <v>24</v>
      </c>
      <c r="P1451" s="3" t="s">
        <v>25</v>
      </c>
      <c r="Q1451" s="2">
        <v>136.9</v>
      </c>
      <c r="R1451" s="3" t="s">
        <v>75</v>
      </c>
      <c r="S1451">
        <f>COUNTIF(A:A,A1451)</f>
        <v>1</v>
      </c>
      <c r="T1451" t="str">
        <f>IF(OR(H1451="",LOWER(TRIM(H1451&amp;""))="missing",LOWER(TRIM(H1451&amp;""))=""),"Missing/",IFERROR(IF(OR(VALUE(H1451)&lt;0,VALUE(H1451)&gt;110),"Invalid","Valid"),"Check Format"))</f>
        <v>Missing/</v>
      </c>
      <c r="U1451" t="str">
        <f>IF(Raw_Data[[#This Row],[Age_Check]]="Valid",H1451,"")</f>
        <v/>
      </c>
      <c r="V1451" t="str">
        <f>IF(OR(K1451="",UPPER(TRIM(K1451&amp;""))="",LOWER(TRIM(K1451&amp;""))="",LOWER(TRIM(K1451&amp;""))="",LOWER(TRIM(K1451&amp;""))="missing"),"Missing/",IFERROR(IF(VALUE(K1451)&lt;0,"Invalid","Valid"),"Check Format"))</f>
        <v>Valid</v>
      </c>
      <c r="W1451" t="str">
        <f>IF(OR(E1451="",F1451=""),"Missing Date/Time",IFERROR(IF(F1451&gt;E1451,"Arrival After Appointment","OK"),"Check Format"))</f>
        <v>OK</v>
      </c>
      <c r="X1451" t="str">
        <f>IF(OR(F1451="",G1451=""),"Missing Date/Time",IFERROR(IF(G1451&lt;F1451,"Discharge Before Arrival","OK"),"Check Format"))</f>
        <v>Missing Date/Time</v>
      </c>
    </row>
    <row r="1452" spans="1:24" x14ac:dyDescent="0.25">
      <c r="A1452" s="2" t="s">
        <v>2168</v>
      </c>
      <c r="B1452" s="2" t="s">
        <v>1151</v>
      </c>
      <c r="C1452" s="3" t="s">
        <v>37</v>
      </c>
      <c r="D1452" s="3" t="s">
        <v>209</v>
      </c>
      <c r="E1452" s="4">
        <v>46018.694444444445</v>
      </c>
      <c r="F1452" s="4">
        <v>46018.684027777781</v>
      </c>
      <c r="G1452" s="4">
        <v>46018.729861111111</v>
      </c>
      <c r="H1452" s="5">
        <v>88</v>
      </c>
      <c r="I1452" s="3" t="s">
        <v>90</v>
      </c>
      <c r="J1452" s="3" t="s">
        <v>62</v>
      </c>
      <c r="K1452" s="5">
        <v>37</v>
      </c>
      <c r="L1452" s="5">
        <v>14</v>
      </c>
      <c r="M1452" s="3" t="s">
        <v>68</v>
      </c>
      <c r="N1452" t="s">
        <v>24</v>
      </c>
      <c r="O1452" s="5">
        <v>2</v>
      </c>
      <c r="P1452" s="3" t="s">
        <v>25</v>
      </c>
      <c r="Q1452" s="2">
        <v>139.55000000000001</v>
      </c>
      <c r="R1452" s="3" t="s">
        <v>26</v>
      </c>
      <c r="S1452">
        <f>COUNTIF(A:A,A1452)</f>
        <v>1</v>
      </c>
      <c r="T1452" t="str">
        <f>IF(OR(H1452="",LOWER(TRIM(H1452&amp;""))="missing",LOWER(TRIM(H1452&amp;""))=""),"Missing/",IFERROR(IF(OR(VALUE(H1452)&lt;0,VALUE(H1452)&gt;110),"Invalid","Valid"),"Check Format"))</f>
        <v>Valid</v>
      </c>
      <c r="U1452">
        <f>IF(Raw_Data[[#This Row],[Age_Check]]="Valid",H1452,"")</f>
        <v>88</v>
      </c>
      <c r="V1452" t="str">
        <f>IF(OR(K1452="",UPPER(TRIM(K1452&amp;""))="",LOWER(TRIM(K1452&amp;""))="",LOWER(TRIM(K1452&amp;""))="",LOWER(TRIM(K1452&amp;""))="missing"),"Missing/",IFERROR(IF(VALUE(K1452)&lt;0,"Invalid","Valid"),"Check Format"))</f>
        <v>Valid</v>
      </c>
      <c r="W1452" t="str">
        <f>IF(OR(E1452="",F1452=""),"Missing Date/Time",IFERROR(IF(F1452&gt;E1452,"Arrival After Appointment","OK"),"Check Format"))</f>
        <v>OK</v>
      </c>
      <c r="X1452" t="str">
        <f>IF(OR(F1452="",G1452=""),"Missing Date/Time",IFERROR(IF(G1452&lt;F1452,"Discharge Before Arrival","OK"),"Check Format"))</f>
        <v>OK</v>
      </c>
    </row>
    <row r="1453" spans="1:24" x14ac:dyDescent="0.25">
      <c r="A1453" s="2" t="s">
        <v>2170</v>
      </c>
      <c r="B1453" s="2" t="s">
        <v>1228</v>
      </c>
      <c r="C1453" s="3" t="s">
        <v>46</v>
      </c>
      <c r="D1453" s="3" t="s">
        <v>106</v>
      </c>
      <c r="E1453" s="4">
        <v>45588.434027777781</v>
      </c>
      <c r="F1453" s="4">
        <v>45588.423611111109</v>
      </c>
      <c r="G1453" s="4">
        <v>45588.536111111112</v>
      </c>
      <c r="I1453" s="3" t="s">
        <v>73</v>
      </c>
      <c r="K1453" s="5">
        <v>98</v>
      </c>
      <c r="L1453" s="5">
        <v>49</v>
      </c>
      <c r="M1453" s="3" t="s">
        <v>50</v>
      </c>
      <c r="N1453" t="s">
        <v>74</v>
      </c>
      <c r="O1453" s="5">
        <v>4</v>
      </c>
      <c r="P1453" s="3" t="s">
        <v>25</v>
      </c>
      <c r="Q1453" s="2">
        <v>82.67</v>
      </c>
      <c r="R1453" s="3" t="s">
        <v>43</v>
      </c>
      <c r="S1453">
        <f>COUNTIF(A:A,A1453)</f>
        <v>1</v>
      </c>
      <c r="T1453" t="str">
        <f>IF(OR(H1453="",LOWER(TRIM(H1453&amp;""))="missing",LOWER(TRIM(H1453&amp;""))=""),"Missing/",IFERROR(IF(OR(VALUE(H1453)&lt;0,VALUE(H1453)&gt;110),"Invalid","Valid"),"Check Format"))</f>
        <v>Missing/</v>
      </c>
      <c r="U1453" t="str">
        <f>IF(Raw_Data[[#This Row],[Age_Check]]="Valid",H1453,"")</f>
        <v/>
      </c>
      <c r="V1453" t="str">
        <f>IF(OR(K1453="",UPPER(TRIM(K1453&amp;""))="",LOWER(TRIM(K1453&amp;""))="",LOWER(TRIM(K1453&amp;""))="",LOWER(TRIM(K1453&amp;""))="missing"),"Missing/",IFERROR(IF(VALUE(K1453)&lt;0,"Invalid","Valid"),"Check Format"))</f>
        <v>Valid</v>
      </c>
      <c r="W1453" t="str">
        <f>IF(OR(E1453="",F1453=""),"Missing Date/Time",IFERROR(IF(F1453&gt;E1453,"Arrival After Appointment","OK"),"Check Format"))</f>
        <v>OK</v>
      </c>
      <c r="X1453" t="str">
        <f>IF(OR(F1453="",G1453=""),"Missing Date/Time",IFERROR(IF(G1453&lt;F1453,"Discharge Before Arrival","OK"),"Check Format"))</f>
        <v>OK</v>
      </c>
    </row>
    <row r="1454" spans="1:24" x14ac:dyDescent="0.25">
      <c r="A1454" s="2" t="s">
        <v>2171</v>
      </c>
      <c r="B1454" s="2" t="s">
        <v>1746</v>
      </c>
      <c r="C1454" s="3" t="s">
        <v>94</v>
      </c>
      <c r="D1454" s="3" t="s">
        <v>61</v>
      </c>
      <c r="E1454" s="4">
        <v>45639.440972222219</v>
      </c>
      <c r="G1454" s="4">
        <v>45639.502083333333</v>
      </c>
      <c r="I1454" s="3" t="s">
        <v>90</v>
      </c>
      <c r="J1454" s="3" t="s">
        <v>62</v>
      </c>
      <c r="K1454" s="5">
        <v>65</v>
      </c>
      <c r="L1454" s="5">
        <v>23</v>
      </c>
      <c r="M1454" s="3" t="s">
        <v>50</v>
      </c>
      <c r="N1454" t="s">
        <v>100</v>
      </c>
      <c r="O1454" s="5">
        <v>0</v>
      </c>
      <c r="P1454" s="3" t="s">
        <v>80</v>
      </c>
      <c r="Q1454" s="2">
        <v>159.86000000000001</v>
      </c>
      <c r="R1454" s="3" t="s">
        <v>58</v>
      </c>
      <c r="S1454">
        <f>COUNTIF(A:A,A1454)</f>
        <v>1</v>
      </c>
      <c r="T1454" t="str">
        <f>IF(OR(H1454="",LOWER(TRIM(H1454&amp;""))="missing",LOWER(TRIM(H1454&amp;""))=""),"Missing/",IFERROR(IF(OR(VALUE(H1454)&lt;0,VALUE(H1454)&gt;110),"Invalid","Valid"),"Check Format"))</f>
        <v>Missing/</v>
      </c>
      <c r="U1454" t="str">
        <f>IF(Raw_Data[[#This Row],[Age_Check]]="Valid",H1454,"")</f>
        <v/>
      </c>
      <c r="V1454" t="str">
        <f>IF(OR(K1454="",UPPER(TRIM(K1454&amp;""))="",LOWER(TRIM(K1454&amp;""))="",LOWER(TRIM(K1454&amp;""))="",LOWER(TRIM(K1454&amp;""))="missing"),"Missing/",IFERROR(IF(VALUE(K1454)&lt;0,"Invalid","Valid"),"Check Format"))</f>
        <v>Valid</v>
      </c>
      <c r="W1454" t="str">
        <f>IF(OR(E1454="",F1454=""),"Missing Date/Time",IFERROR(IF(F1454&gt;E1454,"Arrival After Appointment","OK"),"Check Format"))</f>
        <v>Missing Date/Time</v>
      </c>
      <c r="X1454" t="str">
        <f>IF(OR(F1454="",G1454=""),"Missing Date/Time",IFERROR(IF(G1454&lt;F1454,"Discharge Before Arrival","OK"),"Check Format"))</f>
        <v>Missing Date/Time</v>
      </c>
    </row>
    <row r="1455" spans="1:24" x14ac:dyDescent="0.25">
      <c r="A1455" s="2" t="s">
        <v>2172</v>
      </c>
      <c r="B1455" s="2" t="s">
        <v>167</v>
      </c>
      <c r="D1455" s="3" t="s">
        <v>23</v>
      </c>
      <c r="E1455" s="4">
        <v>45715.517361111109</v>
      </c>
      <c r="F1455" s="4">
        <v>45715.510416666664</v>
      </c>
      <c r="G1455" s="4">
        <v>45715.622916666667</v>
      </c>
      <c r="H1455" s="5">
        <v>58</v>
      </c>
      <c r="I1455" s="3" t="s">
        <v>73</v>
      </c>
      <c r="K1455" s="5">
        <v>1440</v>
      </c>
      <c r="L1455" s="5">
        <v>42</v>
      </c>
      <c r="N1455" t="s">
        <v>24</v>
      </c>
      <c r="O1455" s="5">
        <v>0</v>
      </c>
      <c r="P1455" s="3" t="s">
        <v>42</v>
      </c>
      <c r="Q1455" s="2">
        <v>185.69</v>
      </c>
      <c r="R1455" s="3" t="s">
        <v>58</v>
      </c>
      <c r="S1455">
        <f>COUNTIF(A:A,A1455)</f>
        <v>1</v>
      </c>
      <c r="T1455" t="str">
        <f>IF(OR(H1455="",LOWER(TRIM(H1455&amp;""))="missing",LOWER(TRIM(H1455&amp;""))=""),"Missing/",IFERROR(IF(OR(VALUE(H1455)&lt;0,VALUE(H1455)&gt;110),"Invalid","Valid"),"Check Format"))</f>
        <v>Valid</v>
      </c>
      <c r="U1455">
        <f>IF(Raw_Data[[#This Row],[Age_Check]]="Valid",H1455,"")</f>
        <v>58</v>
      </c>
      <c r="V1455" t="str">
        <f>IF(OR(K1455="",UPPER(TRIM(K1455&amp;""))="",LOWER(TRIM(K1455&amp;""))="",LOWER(TRIM(K1455&amp;""))="",LOWER(TRIM(K1455&amp;""))="missing"),"Missing/",IFERROR(IF(VALUE(K1455)&lt;0,"Invalid","Valid"),"Check Format"))</f>
        <v>Valid</v>
      </c>
      <c r="W1455" t="str">
        <f>IF(OR(E1455="",F1455=""),"Missing Date/Time",IFERROR(IF(F1455&gt;E1455,"Arrival After Appointment","OK"),"Check Format"))</f>
        <v>OK</v>
      </c>
      <c r="X1455" t="str">
        <f>IF(OR(F1455="",G1455=""),"Missing Date/Time",IFERROR(IF(G1455&lt;F1455,"Discharge Before Arrival","OK"),"Check Format"))</f>
        <v>OK</v>
      </c>
    </row>
    <row r="1456" spans="1:24" x14ac:dyDescent="0.25">
      <c r="A1456" s="2" t="s">
        <v>2173</v>
      </c>
      <c r="B1456" s="2" t="s">
        <v>769</v>
      </c>
      <c r="C1456" s="3" t="s">
        <v>29</v>
      </c>
      <c r="D1456" s="3" t="s">
        <v>23</v>
      </c>
      <c r="E1456" s="4">
        <v>45993.569444444445</v>
      </c>
      <c r="F1456" s="4">
        <v>45993.568055555559</v>
      </c>
      <c r="G1456" s="4">
        <v>45993.602083333331</v>
      </c>
      <c r="J1456" s="3" t="s">
        <v>62</v>
      </c>
      <c r="K1456" s="5">
        <v>42</v>
      </c>
      <c r="L1456" s="5">
        <v>5</v>
      </c>
      <c r="M1456" s="3" t="s">
        <v>23</v>
      </c>
      <c r="N1456" t="s">
        <v>69</v>
      </c>
      <c r="O1456" s="5">
        <v>5</v>
      </c>
      <c r="Q1456" s="2">
        <v>128.32</v>
      </c>
      <c r="R1456" s="3" t="s">
        <v>43</v>
      </c>
      <c r="S1456">
        <f>COUNTIF(A:A,A1456)</f>
        <v>1</v>
      </c>
      <c r="T1456" t="str">
        <f>IF(OR(H1456="",LOWER(TRIM(H1456&amp;""))="missing",LOWER(TRIM(H1456&amp;""))=""),"Missing/",IFERROR(IF(OR(VALUE(H1456)&lt;0,VALUE(H1456)&gt;110),"Invalid","Valid"),"Check Format"))</f>
        <v>Missing/</v>
      </c>
      <c r="U1456" t="str">
        <f>IF(Raw_Data[[#This Row],[Age_Check]]="Valid",H1456,"")</f>
        <v/>
      </c>
      <c r="V1456" t="str">
        <f>IF(OR(K1456="",UPPER(TRIM(K1456&amp;""))="",LOWER(TRIM(K1456&amp;""))="",LOWER(TRIM(K1456&amp;""))="",LOWER(TRIM(K1456&amp;""))="missing"),"Missing/",IFERROR(IF(VALUE(K1456)&lt;0,"Invalid","Valid"),"Check Format"))</f>
        <v>Valid</v>
      </c>
      <c r="W1456" t="str">
        <f>IF(OR(E1456="",F1456=""),"Missing Date/Time",IFERROR(IF(F1456&gt;E1456,"Arrival After Appointment","OK"),"Check Format"))</f>
        <v>OK</v>
      </c>
      <c r="X1456" t="str">
        <f>IF(OR(F1456="",G1456=""),"Missing Date/Time",IFERROR(IF(G1456&lt;F1456,"Discharge Before Arrival","OK"),"Check Format"))</f>
        <v>OK</v>
      </c>
    </row>
    <row r="1457" spans="1:24" x14ac:dyDescent="0.25">
      <c r="A1457" s="2" t="s">
        <v>2174</v>
      </c>
      <c r="B1457" s="2" t="s">
        <v>256</v>
      </c>
      <c r="C1457" s="3" t="s">
        <v>46</v>
      </c>
      <c r="D1457" s="3" t="s">
        <v>47</v>
      </c>
      <c r="E1457" s="4" t="s">
        <v>2175</v>
      </c>
      <c r="F1457" s="4">
        <v>45527.745138888888</v>
      </c>
      <c r="G1457" s="4">
        <v>45527.833333333336</v>
      </c>
      <c r="I1457" s="3" t="s">
        <v>73</v>
      </c>
      <c r="J1457" s="3" t="s">
        <v>67</v>
      </c>
      <c r="K1457" s="5">
        <v>100</v>
      </c>
      <c r="L1457" s="5">
        <v>5</v>
      </c>
      <c r="M1457" s="3" t="s">
        <v>87</v>
      </c>
      <c r="N1457" t="s">
        <v>24</v>
      </c>
      <c r="O1457" s="5">
        <v>3</v>
      </c>
      <c r="P1457" s="3" t="s">
        <v>80</v>
      </c>
      <c r="Q1457" s="2">
        <v>60.59</v>
      </c>
      <c r="R1457" s="3" t="s">
        <v>26</v>
      </c>
      <c r="S1457">
        <f>COUNTIF(A:A,A1457)</f>
        <v>1</v>
      </c>
      <c r="T1457" t="str">
        <f>IF(OR(H1457="",LOWER(TRIM(H1457&amp;""))="missing",LOWER(TRIM(H1457&amp;""))=""),"Missing/",IFERROR(IF(OR(VALUE(H1457)&lt;0,VALUE(H1457)&gt;110),"Invalid","Valid"),"Check Format"))</f>
        <v>Missing/</v>
      </c>
      <c r="U1457" t="str">
        <f>IF(Raw_Data[[#This Row],[Age_Check]]="Valid",H1457,"")</f>
        <v/>
      </c>
      <c r="V1457" t="str">
        <f>IF(OR(K1457="",UPPER(TRIM(K1457&amp;""))="",LOWER(TRIM(K1457&amp;""))="",LOWER(TRIM(K1457&amp;""))="",LOWER(TRIM(K1457&amp;""))="missing"),"Missing/",IFERROR(IF(VALUE(K1457)&lt;0,"Invalid","Valid"),"Check Format"))</f>
        <v>Valid</v>
      </c>
      <c r="W1457" t="str">
        <f>IF(OR(E1457="",F1457=""),"Missing Date/Time",IFERROR(IF(F1457&gt;E1457,"Arrival After Appointment","OK"),"Check Format"))</f>
        <v>OK</v>
      </c>
      <c r="X1457" t="str">
        <f>IF(OR(F1457="",G1457=""),"Missing Date/Time",IFERROR(IF(G1457&lt;F1457,"Discharge Before Arrival","OK"),"Check Format"))</f>
        <v>OK</v>
      </c>
    </row>
    <row r="1458" spans="1:24" x14ac:dyDescent="0.25">
      <c r="A1458" s="2" t="s">
        <v>2176</v>
      </c>
      <c r="B1458" s="2" t="s">
        <v>1010</v>
      </c>
      <c r="C1458" s="3" t="s">
        <v>29</v>
      </c>
      <c r="D1458" s="3" t="s">
        <v>38</v>
      </c>
      <c r="E1458" s="4" t="s">
        <v>2177</v>
      </c>
      <c r="F1458" s="4">
        <v>45991.466666666667</v>
      </c>
      <c r="I1458" s="3" t="s">
        <v>73</v>
      </c>
      <c r="K1458" s="5">
        <v>62</v>
      </c>
      <c r="L1458" s="5">
        <v>14</v>
      </c>
      <c r="M1458" s="3" t="s">
        <v>23</v>
      </c>
      <c r="N1458" t="s">
        <v>91</v>
      </c>
      <c r="O1458" s="5">
        <v>6</v>
      </c>
      <c r="P1458" s="3" t="s">
        <v>25</v>
      </c>
      <c r="Q1458" s="2">
        <v>81.599999999999994</v>
      </c>
      <c r="R1458" s="3" t="s">
        <v>58</v>
      </c>
      <c r="S1458">
        <f>COUNTIF(A:A,A1458)</f>
        <v>1</v>
      </c>
      <c r="T1458" t="str">
        <f>IF(OR(H1458="",LOWER(TRIM(H1458&amp;""))="missing",LOWER(TRIM(H1458&amp;""))=""),"Missing/",IFERROR(IF(OR(VALUE(H1458)&lt;0,VALUE(H1458)&gt;110),"Invalid","Valid"),"Check Format"))</f>
        <v>Missing/</v>
      </c>
      <c r="U1458" t="str">
        <f>IF(Raw_Data[[#This Row],[Age_Check]]="Valid",H1458,"")</f>
        <v/>
      </c>
      <c r="V1458" t="str">
        <f>IF(OR(K1458="",UPPER(TRIM(K1458&amp;""))="",LOWER(TRIM(K1458&amp;""))="",LOWER(TRIM(K1458&amp;""))="",LOWER(TRIM(K1458&amp;""))="missing"),"Missing/",IFERROR(IF(VALUE(K1458)&lt;0,"Invalid","Valid"),"Check Format"))</f>
        <v>Valid</v>
      </c>
      <c r="W1458" t="str">
        <f>IF(OR(E1458="",F1458=""),"Missing Date/Time",IFERROR(IF(F1458&gt;E1458,"Arrival After Appointment","OK"),"Check Format"))</f>
        <v>OK</v>
      </c>
      <c r="X1458" t="str">
        <f>IF(OR(F1458="",G1458=""),"Missing Date/Time",IFERROR(IF(G1458&lt;F1458,"Discharge Before Arrival","OK"),"Check Format"))</f>
        <v>Missing Date/Time</v>
      </c>
    </row>
    <row r="1459" spans="1:24" x14ac:dyDescent="0.25">
      <c r="A1459" s="2" t="s">
        <v>2178</v>
      </c>
      <c r="B1459" s="2" t="s">
        <v>283</v>
      </c>
      <c r="C1459" s="3" t="s">
        <v>29</v>
      </c>
      <c r="D1459" s="3" t="s">
        <v>72</v>
      </c>
      <c r="E1459" s="4">
        <v>45665.760416666664</v>
      </c>
      <c r="F1459" s="4">
        <v>45665.743750000001</v>
      </c>
      <c r="G1459" s="4">
        <v>45665.795138888891</v>
      </c>
      <c r="I1459" s="3" t="s">
        <v>95</v>
      </c>
      <c r="J1459" s="3" t="s">
        <v>2639</v>
      </c>
      <c r="K1459" s="5">
        <v>43</v>
      </c>
      <c r="L1459" s="5">
        <v>7</v>
      </c>
      <c r="M1459" s="3" t="s">
        <v>87</v>
      </c>
      <c r="O1459" s="5">
        <v>5</v>
      </c>
      <c r="P1459" s="3" t="s">
        <v>80</v>
      </c>
      <c r="Q1459" s="2">
        <v>67.069999999999993</v>
      </c>
      <c r="R1459" s="3" t="s">
        <v>75</v>
      </c>
      <c r="S1459">
        <f>COUNTIF(A:A,A1459)</f>
        <v>1</v>
      </c>
      <c r="T1459" t="str">
        <f>IF(OR(H1459="",LOWER(TRIM(H1459&amp;""))="missing",LOWER(TRIM(H1459&amp;""))=""),"Missing/",IFERROR(IF(OR(VALUE(H1459)&lt;0,VALUE(H1459)&gt;110),"Invalid","Valid"),"Check Format"))</f>
        <v>Missing/</v>
      </c>
      <c r="U1459" t="str">
        <f>IF(Raw_Data[[#This Row],[Age_Check]]="Valid",H1459,"")</f>
        <v/>
      </c>
      <c r="V1459" t="str">
        <f>IF(OR(K1459="",UPPER(TRIM(K1459&amp;""))="",LOWER(TRIM(K1459&amp;""))="",LOWER(TRIM(K1459&amp;""))="",LOWER(TRIM(K1459&amp;""))="missing"),"Missing/",IFERROR(IF(VALUE(K1459)&lt;0,"Invalid","Valid"),"Check Format"))</f>
        <v>Valid</v>
      </c>
      <c r="W1459" t="str">
        <f>IF(OR(E1459="",F1459=""),"Missing Date/Time",IFERROR(IF(F1459&gt;E1459,"Arrival After Appointment","OK"),"Check Format"))</f>
        <v>OK</v>
      </c>
      <c r="X1459" t="str">
        <f>IF(OR(F1459="",G1459=""),"Missing Date/Time",IFERROR(IF(G1459&lt;F1459,"Discharge Before Arrival","OK"),"Check Format"))</f>
        <v>OK</v>
      </c>
    </row>
    <row r="1460" spans="1:24" x14ac:dyDescent="0.25">
      <c r="A1460" s="2" t="s">
        <v>2179</v>
      </c>
      <c r="B1460" s="2" t="s">
        <v>1488</v>
      </c>
      <c r="C1460" s="3" t="s">
        <v>19</v>
      </c>
      <c r="D1460" s="3" t="s">
        <v>23</v>
      </c>
      <c r="E1460" s="4" t="s">
        <v>2180</v>
      </c>
      <c r="F1460" s="4">
        <v>45954.371527777781</v>
      </c>
      <c r="G1460" s="4">
        <v>45954.440972222219</v>
      </c>
      <c r="H1460" s="5">
        <v>145</v>
      </c>
      <c r="I1460" s="3" t="s">
        <v>73</v>
      </c>
      <c r="J1460" s="3" t="s">
        <v>62</v>
      </c>
      <c r="K1460" s="5">
        <v>82</v>
      </c>
      <c r="L1460" s="5">
        <v>8</v>
      </c>
      <c r="M1460" s="3" t="s">
        <v>50</v>
      </c>
      <c r="O1460" s="5">
        <v>0</v>
      </c>
      <c r="P1460" s="3" t="s">
        <v>42</v>
      </c>
      <c r="Q1460" s="2">
        <v>17.170000000000002</v>
      </c>
      <c r="R1460" s="3" t="s">
        <v>26</v>
      </c>
      <c r="S1460">
        <f>COUNTIF(A:A,A1460)</f>
        <v>1</v>
      </c>
      <c r="T1460" t="str">
        <f>IF(OR(H1460="",LOWER(TRIM(H1460&amp;""))="missing",LOWER(TRIM(H1460&amp;""))=""),"Missing/",IFERROR(IF(OR(VALUE(H1460)&lt;0,VALUE(H1460)&gt;110),"Invalid","Valid"),"Check Format"))</f>
        <v>Invalid</v>
      </c>
      <c r="U1460" t="str">
        <f>IF(Raw_Data[[#This Row],[Age_Check]]="Valid",H1460,"")</f>
        <v/>
      </c>
      <c r="V1460" t="str">
        <f>IF(OR(K1460="",UPPER(TRIM(K1460&amp;""))="",LOWER(TRIM(K1460&amp;""))="",LOWER(TRIM(K1460&amp;""))="",LOWER(TRIM(K1460&amp;""))="missing"),"Missing/",IFERROR(IF(VALUE(K1460)&lt;0,"Invalid","Valid"),"Check Format"))</f>
        <v>Valid</v>
      </c>
      <c r="W1460" t="str">
        <f>IF(OR(E1460="",F1460=""),"Missing Date/Time",IFERROR(IF(F1460&gt;E1460,"Arrival After Appointment","OK"),"Check Format"))</f>
        <v>OK</v>
      </c>
      <c r="X1460" t="str">
        <f>IF(OR(F1460="",G1460=""),"Missing Date/Time",IFERROR(IF(G1460&lt;F1460,"Discharge Before Arrival","OK"),"Check Format"))</f>
        <v>OK</v>
      </c>
    </row>
    <row r="1461" spans="1:24" x14ac:dyDescent="0.25">
      <c r="A1461" s="2" t="s">
        <v>2181</v>
      </c>
      <c r="B1461" s="2" t="s">
        <v>1072</v>
      </c>
      <c r="C1461" s="3" t="s">
        <v>37</v>
      </c>
      <c r="D1461" s="3" t="s">
        <v>30</v>
      </c>
      <c r="E1461" s="4">
        <v>45911.600694444445</v>
      </c>
      <c r="F1461" s="4">
        <v>45911.584027777775</v>
      </c>
      <c r="G1461" s="4">
        <v>45911.65625</v>
      </c>
      <c r="H1461" s="5">
        <v>3</v>
      </c>
      <c r="I1461" s="3" t="s">
        <v>95</v>
      </c>
      <c r="J1461" s="3" t="s">
        <v>67</v>
      </c>
      <c r="K1461" s="5">
        <v>35</v>
      </c>
      <c r="L1461" s="5">
        <v>45</v>
      </c>
      <c r="M1461" s="3" t="s">
        <v>41</v>
      </c>
      <c r="N1461" t="s">
        <v>91</v>
      </c>
      <c r="O1461" s="5">
        <v>0</v>
      </c>
      <c r="P1461" s="3" t="s">
        <v>25</v>
      </c>
      <c r="Q1461" s="2">
        <v>129.25</v>
      </c>
      <c r="R1461" s="3" t="s">
        <v>43</v>
      </c>
      <c r="S1461">
        <f>COUNTIF(A:A,A1461)</f>
        <v>1</v>
      </c>
      <c r="T1461" t="str">
        <f>IF(OR(H1461="",LOWER(TRIM(H1461&amp;""))="missing",LOWER(TRIM(H1461&amp;""))=""),"Missing/",IFERROR(IF(OR(VALUE(H1461)&lt;0,VALUE(H1461)&gt;110),"Invalid","Valid"),"Check Format"))</f>
        <v>Valid</v>
      </c>
      <c r="U1461">
        <f>IF(Raw_Data[[#This Row],[Age_Check]]="Valid",H1461,"")</f>
        <v>3</v>
      </c>
      <c r="V1461" t="str">
        <f>IF(OR(K1461="",UPPER(TRIM(K1461&amp;""))="",LOWER(TRIM(K1461&amp;""))="",LOWER(TRIM(K1461&amp;""))="",LOWER(TRIM(K1461&amp;""))="missing"),"Missing/",IFERROR(IF(VALUE(K1461)&lt;0,"Invalid","Valid"),"Check Format"))</f>
        <v>Valid</v>
      </c>
      <c r="W1461" t="str">
        <f>IF(OR(E1461="",F1461=""),"Missing Date/Time",IFERROR(IF(F1461&gt;E1461,"Arrival After Appointment","OK"),"Check Format"))</f>
        <v>OK</v>
      </c>
      <c r="X1461" t="str">
        <f>IF(OR(F1461="",G1461=""),"Missing Date/Time",IFERROR(IF(G1461&lt;F1461,"Discharge Before Arrival","OK"),"Check Format"))</f>
        <v>OK</v>
      </c>
    </row>
    <row r="1462" spans="1:24" x14ac:dyDescent="0.25">
      <c r="A1462" s="2" t="s">
        <v>2182</v>
      </c>
      <c r="B1462" s="2" t="s">
        <v>1039</v>
      </c>
      <c r="C1462" s="3" t="s">
        <v>46</v>
      </c>
      <c r="D1462" s="3" t="s">
        <v>23</v>
      </c>
      <c r="E1462" s="4">
        <v>45390.555555555555</v>
      </c>
      <c r="F1462" s="4">
        <v>45508.540277777778</v>
      </c>
      <c r="G1462" s="4">
        <v>45508.606249999997</v>
      </c>
      <c r="I1462" s="3" t="s">
        <v>95</v>
      </c>
      <c r="J1462" s="3" t="s">
        <v>62</v>
      </c>
      <c r="K1462" s="5">
        <v>41</v>
      </c>
      <c r="L1462" s="5">
        <v>600</v>
      </c>
      <c r="M1462" s="3" t="s">
        <v>41</v>
      </c>
      <c r="O1462" s="5">
        <v>0</v>
      </c>
      <c r="P1462" s="3" t="s">
        <v>25</v>
      </c>
      <c r="Q1462" s="2">
        <v>5.34</v>
      </c>
      <c r="R1462" s="3" t="s">
        <v>58</v>
      </c>
      <c r="S1462">
        <f>COUNTIF(A:A,A1462)</f>
        <v>1</v>
      </c>
      <c r="T1462" t="str">
        <f>IF(OR(H1462="",LOWER(TRIM(H1462&amp;""))="missing",LOWER(TRIM(H1462&amp;""))=""),"Missing/",IFERROR(IF(OR(VALUE(H1462)&lt;0,VALUE(H1462)&gt;110),"Invalid","Valid"),"Check Format"))</f>
        <v>Missing/</v>
      </c>
      <c r="U1462" t="str">
        <f>IF(Raw_Data[[#This Row],[Age_Check]]="Valid",H1462,"")</f>
        <v/>
      </c>
      <c r="V1462" t="str">
        <f>IF(OR(K1462="",UPPER(TRIM(K1462&amp;""))="",LOWER(TRIM(K1462&amp;""))="",LOWER(TRIM(K1462&amp;""))="",LOWER(TRIM(K1462&amp;""))="missing"),"Missing/",IFERROR(IF(VALUE(K1462)&lt;0,"Invalid","Valid"),"Check Format"))</f>
        <v>Valid</v>
      </c>
      <c r="W1462" t="str">
        <f>IF(OR(E1462="",F1462=""),"Missing Date/Time",IFERROR(IF(F1462&gt;E1462,"Arrival After Appointment","OK"),"Check Format"))</f>
        <v>Arrival After Appointment</v>
      </c>
      <c r="X1462" t="str">
        <f>IF(OR(F1462="",G1462=""),"Missing Date/Time",IFERROR(IF(G1462&lt;F1462,"Discharge Before Arrival","OK"),"Check Format"))</f>
        <v>OK</v>
      </c>
    </row>
    <row r="1463" spans="1:24" x14ac:dyDescent="0.25">
      <c r="A1463" s="2" t="s">
        <v>2183</v>
      </c>
      <c r="B1463" s="2" t="s">
        <v>241</v>
      </c>
      <c r="C1463" s="3" t="s">
        <v>94</v>
      </c>
      <c r="D1463" s="3" t="s">
        <v>72</v>
      </c>
      <c r="E1463" s="4">
        <v>45304.611111111109</v>
      </c>
      <c r="F1463" s="4">
        <v>45304.598611111112</v>
      </c>
      <c r="G1463" s="4">
        <v>45304.689583333333</v>
      </c>
      <c r="H1463" s="5">
        <v>20</v>
      </c>
      <c r="I1463" s="3" t="s">
        <v>95</v>
      </c>
      <c r="J1463" s="3" t="s">
        <v>150</v>
      </c>
      <c r="K1463" s="5">
        <v>75</v>
      </c>
      <c r="L1463" s="5">
        <v>38</v>
      </c>
      <c r="N1463" t="s">
        <v>100</v>
      </c>
      <c r="O1463" s="5">
        <v>0</v>
      </c>
      <c r="P1463" s="3" t="s">
        <v>25</v>
      </c>
      <c r="Q1463" s="2">
        <v>112.26</v>
      </c>
      <c r="R1463" s="3" t="s">
        <v>58</v>
      </c>
      <c r="S1463">
        <f>COUNTIF(A:A,A1463)</f>
        <v>1</v>
      </c>
      <c r="T1463" t="str">
        <f>IF(OR(H1463="",LOWER(TRIM(H1463&amp;""))="missing",LOWER(TRIM(H1463&amp;""))=""),"Missing/",IFERROR(IF(OR(VALUE(H1463)&lt;0,VALUE(H1463)&gt;110),"Invalid","Valid"),"Check Format"))</f>
        <v>Valid</v>
      </c>
      <c r="U1463">
        <f>IF(Raw_Data[[#This Row],[Age_Check]]="Valid",H1463,"")</f>
        <v>20</v>
      </c>
      <c r="V1463" t="str">
        <f>IF(OR(K1463="",UPPER(TRIM(K1463&amp;""))="",LOWER(TRIM(K1463&amp;""))="",LOWER(TRIM(K1463&amp;""))="",LOWER(TRIM(K1463&amp;""))="missing"),"Missing/",IFERROR(IF(VALUE(K1463)&lt;0,"Invalid","Valid"),"Check Format"))</f>
        <v>Valid</v>
      </c>
      <c r="W1463" t="str">
        <f>IF(OR(E1463="",F1463=""),"Missing Date/Time",IFERROR(IF(F1463&gt;E1463,"Arrival After Appointment","OK"),"Check Format"))</f>
        <v>OK</v>
      </c>
      <c r="X1463" t="str">
        <f>IF(OR(F1463="",G1463=""),"Missing Date/Time",IFERROR(IF(G1463&lt;F1463,"Discharge Before Arrival","OK"),"Check Format"))</f>
        <v>OK</v>
      </c>
    </row>
    <row r="1464" spans="1:24" x14ac:dyDescent="0.25">
      <c r="A1464" s="2" t="s">
        <v>2184</v>
      </c>
      <c r="B1464" s="2" t="s">
        <v>769</v>
      </c>
      <c r="C1464" s="3" t="s">
        <v>19</v>
      </c>
      <c r="D1464" s="3" t="s">
        <v>149</v>
      </c>
      <c r="E1464" s="4" t="s">
        <v>2185</v>
      </c>
      <c r="F1464" s="4">
        <v>45517.540972222225</v>
      </c>
      <c r="I1464" s="3" t="s">
        <v>95</v>
      </c>
      <c r="J1464" s="3" t="s">
        <v>62</v>
      </c>
      <c r="K1464" s="5">
        <v>93</v>
      </c>
      <c r="L1464" s="5">
        <v>11</v>
      </c>
      <c r="M1464" s="3" t="s">
        <v>68</v>
      </c>
      <c r="P1464" s="3" t="s">
        <v>42</v>
      </c>
      <c r="Q1464" s="2">
        <v>235.23</v>
      </c>
      <c r="R1464" s="3" t="s">
        <v>58</v>
      </c>
      <c r="S1464">
        <f>COUNTIF(A:A,A1464)</f>
        <v>1</v>
      </c>
      <c r="T1464" t="str">
        <f>IF(OR(H1464="",LOWER(TRIM(H1464&amp;""))="missing",LOWER(TRIM(H1464&amp;""))=""),"Missing/",IFERROR(IF(OR(VALUE(H1464)&lt;0,VALUE(H1464)&gt;110),"Invalid","Valid"),"Check Format"))</f>
        <v>Missing/</v>
      </c>
      <c r="U1464" t="str">
        <f>IF(Raw_Data[[#This Row],[Age_Check]]="Valid",H1464,"")</f>
        <v/>
      </c>
      <c r="V1464" t="str">
        <f>IF(OR(K1464="",UPPER(TRIM(K1464&amp;""))="",LOWER(TRIM(K1464&amp;""))="",LOWER(TRIM(K1464&amp;""))="",LOWER(TRIM(K1464&amp;""))="missing"),"Missing/",IFERROR(IF(VALUE(K1464)&lt;0,"Invalid","Valid"),"Check Format"))</f>
        <v>Valid</v>
      </c>
      <c r="W1464" t="str">
        <f>IF(OR(E1464="",F1464=""),"Missing Date/Time",IFERROR(IF(F1464&gt;E1464,"Arrival After Appointment","OK"),"Check Format"))</f>
        <v>OK</v>
      </c>
      <c r="X1464" t="str">
        <f>IF(OR(F1464="",G1464=""),"Missing Date/Time",IFERROR(IF(G1464&lt;F1464,"Discharge Before Arrival","OK"),"Check Format"))</f>
        <v>Missing Date/Time</v>
      </c>
    </row>
    <row r="1465" spans="1:24" x14ac:dyDescent="0.25">
      <c r="A1465" s="2" t="s">
        <v>2186</v>
      </c>
      <c r="B1465" s="2" t="s">
        <v>1252</v>
      </c>
      <c r="C1465" s="3" t="s">
        <v>19</v>
      </c>
      <c r="D1465" s="3" t="s">
        <v>55</v>
      </c>
      <c r="E1465" s="4">
        <v>45342.347222222219</v>
      </c>
      <c r="F1465" s="4">
        <v>45342.340277777781</v>
      </c>
      <c r="G1465" s="4">
        <v>45342.408333333333</v>
      </c>
      <c r="H1465" s="5">
        <v>145</v>
      </c>
      <c r="I1465" s="3" t="s">
        <v>95</v>
      </c>
      <c r="J1465" s="3" t="s">
        <v>62</v>
      </c>
      <c r="K1465" s="5">
        <v>63</v>
      </c>
      <c r="L1465" s="5">
        <v>25</v>
      </c>
      <c r="M1465" s="3" t="s">
        <v>63</v>
      </c>
      <c r="N1465" t="s">
        <v>69</v>
      </c>
      <c r="O1465" s="5">
        <v>0</v>
      </c>
      <c r="P1465" s="3" t="s">
        <v>80</v>
      </c>
      <c r="Q1465" s="2">
        <v>143.41</v>
      </c>
      <c r="R1465" s="3" t="s">
        <v>26</v>
      </c>
      <c r="S1465">
        <f>COUNTIF(A:A,A1465)</f>
        <v>1</v>
      </c>
      <c r="T1465" t="str">
        <f>IF(OR(H1465="",LOWER(TRIM(H1465&amp;""))="missing",LOWER(TRIM(H1465&amp;""))=""),"Missing/",IFERROR(IF(OR(VALUE(H1465)&lt;0,VALUE(H1465)&gt;110),"Invalid","Valid"),"Check Format"))</f>
        <v>Invalid</v>
      </c>
      <c r="U1465" t="str">
        <f>IF(Raw_Data[[#This Row],[Age_Check]]="Valid",H1465,"")</f>
        <v/>
      </c>
      <c r="V1465" t="str">
        <f>IF(OR(K1465="",UPPER(TRIM(K1465&amp;""))="",LOWER(TRIM(K1465&amp;""))="",LOWER(TRIM(K1465&amp;""))="",LOWER(TRIM(K1465&amp;""))="missing"),"Missing/",IFERROR(IF(VALUE(K1465)&lt;0,"Invalid","Valid"),"Check Format"))</f>
        <v>Valid</v>
      </c>
      <c r="W1465" t="str">
        <f>IF(OR(E1465="",F1465=""),"Missing Date/Time",IFERROR(IF(F1465&gt;E1465,"Arrival After Appointment","OK"),"Check Format"))</f>
        <v>OK</v>
      </c>
      <c r="X1465" t="str">
        <f>IF(OR(F1465="",G1465=""),"Missing Date/Time",IFERROR(IF(G1465&lt;F1465,"Discharge Before Arrival","OK"),"Check Format"))</f>
        <v>OK</v>
      </c>
    </row>
    <row r="1466" spans="1:24" x14ac:dyDescent="0.25">
      <c r="A1466" s="2" t="s">
        <v>2187</v>
      </c>
      <c r="B1466" s="2" t="s">
        <v>275</v>
      </c>
      <c r="C1466" s="3" t="s">
        <v>29</v>
      </c>
      <c r="D1466" s="3" t="s">
        <v>23</v>
      </c>
      <c r="E1466" s="4" t="s">
        <v>2188</v>
      </c>
      <c r="F1466" s="4">
        <v>45406.654861111114</v>
      </c>
      <c r="G1466" s="4">
        <v>45406.747916666667</v>
      </c>
      <c r="I1466" s="3" t="s">
        <v>73</v>
      </c>
      <c r="J1466" s="3" t="s">
        <v>171</v>
      </c>
      <c r="K1466" s="5">
        <v>54</v>
      </c>
      <c r="L1466" s="5">
        <v>53</v>
      </c>
      <c r="M1466" s="3" t="s">
        <v>63</v>
      </c>
      <c r="P1466" s="3" t="s">
        <v>25</v>
      </c>
      <c r="R1466" s="3" t="s">
        <v>75</v>
      </c>
      <c r="S1466">
        <f>COUNTIF(A:A,A1466)</f>
        <v>1</v>
      </c>
      <c r="T1466" t="str">
        <f>IF(OR(H1466="",LOWER(TRIM(H1466&amp;""))="missing",LOWER(TRIM(H1466&amp;""))=""),"Missing/",IFERROR(IF(OR(VALUE(H1466)&lt;0,VALUE(H1466)&gt;110),"Invalid","Valid"),"Check Format"))</f>
        <v>Missing/</v>
      </c>
      <c r="U1466" t="str">
        <f>IF(Raw_Data[[#This Row],[Age_Check]]="Valid",H1466,"")</f>
        <v/>
      </c>
      <c r="V1466" t="str">
        <f>IF(OR(K1466="",UPPER(TRIM(K1466&amp;""))="",LOWER(TRIM(K1466&amp;""))="",LOWER(TRIM(K1466&amp;""))="",LOWER(TRIM(K1466&amp;""))="missing"),"Missing/",IFERROR(IF(VALUE(K1466)&lt;0,"Invalid","Valid"),"Check Format"))</f>
        <v>Valid</v>
      </c>
      <c r="W1466" t="str">
        <f>IF(OR(E1466="",F1466=""),"Missing Date/Time",IFERROR(IF(F1466&gt;E1466,"Arrival After Appointment","OK"),"Check Format"))</f>
        <v>OK</v>
      </c>
      <c r="X1466" t="str">
        <f>IF(OR(F1466="",G1466=""),"Missing Date/Time",IFERROR(IF(G1466&lt;F1466,"Discharge Before Arrival","OK"),"Check Format"))</f>
        <v>OK</v>
      </c>
    </row>
    <row r="1467" spans="1:24" x14ac:dyDescent="0.25">
      <c r="A1467" s="2" t="s">
        <v>2189</v>
      </c>
      <c r="B1467" s="2" t="s">
        <v>805</v>
      </c>
      <c r="C1467" s="3" t="s">
        <v>94</v>
      </c>
      <c r="D1467" s="3" t="s">
        <v>20</v>
      </c>
      <c r="E1467" s="4" t="s">
        <v>2190</v>
      </c>
      <c r="F1467" s="4">
        <v>45829.565972222219</v>
      </c>
      <c r="G1467" s="4">
        <v>45829.602777777778</v>
      </c>
      <c r="I1467" s="3" t="s">
        <v>90</v>
      </c>
      <c r="J1467" s="3" t="s">
        <v>62</v>
      </c>
      <c r="K1467" s="5">
        <v>20</v>
      </c>
      <c r="L1467" s="5">
        <v>18</v>
      </c>
      <c r="M1467" s="3" t="s">
        <v>32</v>
      </c>
      <c r="N1467" t="s">
        <v>24</v>
      </c>
      <c r="Q1467" s="2">
        <v>227.9</v>
      </c>
      <c r="R1467" s="3" t="s">
        <v>26</v>
      </c>
      <c r="S1467">
        <f>COUNTIF(A:A,A1467)</f>
        <v>1</v>
      </c>
      <c r="T1467" t="str">
        <f>IF(OR(H1467="",LOWER(TRIM(H1467&amp;""))="missing",LOWER(TRIM(H1467&amp;""))=""),"Missing/",IFERROR(IF(OR(VALUE(H1467)&lt;0,VALUE(H1467)&gt;110),"Invalid","Valid"),"Check Format"))</f>
        <v>Missing/</v>
      </c>
      <c r="U1467" t="str">
        <f>IF(Raw_Data[[#This Row],[Age_Check]]="Valid",H1467,"")</f>
        <v/>
      </c>
      <c r="V1467" t="str">
        <f>IF(OR(K1467="",UPPER(TRIM(K1467&amp;""))="",LOWER(TRIM(K1467&amp;""))="",LOWER(TRIM(K1467&amp;""))="",LOWER(TRIM(K1467&amp;""))="missing"),"Missing/",IFERROR(IF(VALUE(K1467)&lt;0,"Invalid","Valid"),"Check Format"))</f>
        <v>Valid</v>
      </c>
      <c r="W1467" t="str">
        <f>IF(OR(E1467="",F1467=""),"Missing Date/Time",IFERROR(IF(F1467&gt;E1467,"Arrival After Appointment","OK"),"Check Format"))</f>
        <v>OK</v>
      </c>
      <c r="X1467" t="str">
        <f>IF(OR(F1467="",G1467=""),"Missing Date/Time",IFERROR(IF(G1467&lt;F1467,"Discharge Before Arrival","OK"),"Check Format"))</f>
        <v>OK</v>
      </c>
    </row>
    <row r="1468" spans="1:24" x14ac:dyDescent="0.25">
      <c r="A1468" s="2" t="s">
        <v>2191</v>
      </c>
      <c r="B1468" s="2" t="s">
        <v>158</v>
      </c>
      <c r="D1468" s="3" t="s">
        <v>30</v>
      </c>
      <c r="E1468" s="4">
        <v>45606.444444444445</v>
      </c>
      <c r="F1468" s="4">
        <v>45606.440972222219</v>
      </c>
      <c r="G1468" s="4">
        <v>45606.503472222219</v>
      </c>
      <c r="H1468" s="5">
        <v>145</v>
      </c>
      <c r="I1468" s="3" t="s">
        <v>73</v>
      </c>
      <c r="J1468" s="3" t="s">
        <v>2639</v>
      </c>
      <c r="K1468" s="5">
        <v>37</v>
      </c>
      <c r="L1468" s="5">
        <v>48</v>
      </c>
      <c r="M1468" s="3" t="s">
        <v>87</v>
      </c>
      <c r="N1468" t="s">
        <v>69</v>
      </c>
      <c r="P1468" s="3" t="s">
        <v>25</v>
      </c>
      <c r="Q1468" s="2">
        <v>280.95</v>
      </c>
      <c r="R1468" s="3" t="s">
        <v>58</v>
      </c>
      <c r="S1468">
        <f>COUNTIF(A:A,A1468)</f>
        <v>1</v>
      </c>
      <c r="T1468" t="str">
        <f>IF(OR(H1468="",LOWER(TRIM(H1468&amp;""))="missing",LOWER(TRIM(H1468&amp;""))=""),"Missing/",IFERROR(IF(OR(VALUE(H1468)&lt;0,VALUE(H1468)&gt;110),"Invalid","Valid"),"Check Format"))</f>
        <v>Invalid</v>
      </c>
      <c r="U1468" t="str">
        <f>IF(Raw_Data[[#This Row],[Age_Check]]="Valid",H1468,"")</f>
        <v/>
      </c>
      <c r="V1468" t="str">
        <f>IF(OR(K1468="",UPPER(TRIM(K1468&amp;""))="",LOWER(TRIM(K1468&amp;""))="",LOWER(TRIM(K1468&amp;""))="",LOWER(TRIM(K1468&amp;""))="missing"),"Missing/",IFERROR(IF(VALUE(K1468)&lt;0,"Invalid","Valid"),"Check Format"))</f>
        <v>Valid</v>
      </c>
      <c r="W1468" t="str">
        <f>IF(OR(E1468="",F1468=""),"Missing Date/Time",IFERROR(IF(F1468&gt;E1468,"Arrival After Appointment","OK"),"Check Format"))</f>
        <v>OK</v>
      </c>
      <c r="X1468" t="str">
        <f>IF(OR(F1468="",G1468=""),"Missing Date/Time",IFERROR(IF(G1468&lt;F1468,"Discharge Before Arrival","OK"),"Check Format"))</f>
        <v>OK</v>
      </c>
    </row>
    <row r="1469" spans="1:24" x14ac:dyDescent="0.25">
      <c r="A1469" s="2" t="s">
        <v>2192</v>
      </c>
      <c r="B1469" s="2" t="s">
        <v>1589</v>
      </c>
      <c r="C1469" s="3" t="s">
        <v>46</v>
      </c>
      <c r="D1469" s="3" t="s">
        <v>20</v>
      </c>
      <c r="E1469" s="4">
        <v>45811.697916666664</v>
      </c>
      <c r="F1469" s="4">
        <v>45722.696527777778</v>
      </c>
      <c r="G1469" s="4">
        <v>45722.758333333331</v>
      </c>
      <c r="H1469" s="5">
        <v>145</v>
      </c>
      <c r="I1469" s="3" t="s">
        <v>73</v>
      </c>
      <c r="J1469" s="3" t="s">
        <v>2639</v>
      </c>
      <c r="K1469" s="5">
        <v>43</v>
      </c>
      <c r="L1469" s="5">
        <v>44</v>
      </c>
      <c r="M1469" s="3" t="s">
        <v>87</v>
      </c>
      <c r="N1469" t="s">
        <v>91</v>
      </c>
      <c r="O1469" s="5">
        <v>5</v>
      </c>
      <c r="P1469" s="3" t="s">
        <v>25</v>
      </c>
      <c r="Q1469" s="2">
        <v>52.7</v>
      </c>
      <c r="R1469" s="3" t="s">
        <v>58</v>
      </c>
      <c r="S1469">
        <f>COUNTIF(A:A,A1469)</f>
        <v>1</v>
      </c>
      <c r="T1469" t="str">
        <f>IF(OR(H1469="",LOWER(TRIM(H1469&amp;""))="missing",LOWER(TRIM(H1469&amp;""))=""),"Missing/",IFERROR(IF(OR(VALUE(H1469)&lt;0,VALUE(H1469)&gt;110),"Invalid","Valid"),"Check Format"))</f>
        <v>Invalid</v>
      </c>
      <c r="U1469" t="str">
        <f>IF(Raw_Data[[#This Row],[Age_Check]]="Valid",H1469,"")</f>
        <v/>
      </c>
      <c r="V1469" t="str">
        <f>IF(OR(K1469="",UPPER(TRIM(K1469&amp;""))="",LOWER(TRIM(K1469&amp;""))="",LOWER(TRIM(K1469&amp;""))="",LOWER(TRIM(K1469&amp;""))="missing"),"Missing/",IFERROR(IF(VALUE(K1469)&lt;0,"Invalid","Valid"),"Check Format"))</f>
        <v>Valid</v>
      </c>
      <c r="W1469" t="str">
        <f>IF(OR(E1469="",F1469=""),"Missing Date/Time",IFERROR(IF(F1469&gt;E1469,"Arrival After Appointment","OK"),"Check Format"))</f>
        <v>OK</v>
      </c>
      <c r="X1469" t="str">
        <f>IF(OR(F1469="",G1469=""),"Missing Date/Time",IFERROR(IF(G1469&lt;F1469,"Discharge Before Arrival","OK"),"Check Format"))</f>
        <v>OK</v>
      </c>
    </row>
    <row r="1470" spans="1:24" x14ac:dyDescent="0.25">
      <c r="A1470" s="2" t="s">
        <v>2193</v>
      </c>
      <c r="B1470" s="2" t="s">
        <v>633</v>
      </c>
      <c r="C1470" s="3" t="s">
        <v>46</v>
      </c>
      <c r="D1470" s="3" t="s">
        <v>23</v>
      </c>
      <c r="E1470" s="4">
        <v>45474.579861111109</v>
      </c>
      <c r="F1470" s="4">
        <v>45474.559027777781</v>
      </c>
      <c r="G1470" s="4">
        <v>45474.662499999999</v>
      </c>
      <c r="H1470" s="5">
        <v>61</v>
      </c>
      <c r="I1470" s="3" t="s">
        <v>73</v>
      </c>
      <c r="J1470" s="3" t="s">
        <v>171</v>
      </c>
      <c r="K1470" s="5">
        <v>84</v>
      </c>
      <c r="L1470" s="5">
        <v>35</v>
      </c>
      <c r="M1470" s="3" t="s">
        <v>68</v>
      </c>
      <c r="O1470" s="5">
        <v>6</v>
      </c>
      <c r="Q1470" s="2">
        <v>182.84</v>
      </c>
      <c r="R1470" s="3" t="s">
        <v>43</v>
      </c>
      <c r="S1470">
        <f>COUNTIF(A:A,A1470)</f>
        <v>1</v>
      </c>
      <c r="T1470" t="str">
        <f>IF(OR(H1470="",LOWER(TRIM(H1470&amp;""))="missing",LOWER(TRIM(H1470&amp;""))=""),"Missing/",IFERROR(IF(OR(VALUE(H1470)&lt;0,VALUE(H1470)&gt;110),"Invalid","Valid"),"Check Format"))</f>
        <v>Valid</v>
      </c>
      <c r="U1470">
        <f>IF(Raw_Data[[#This Row],[Age_Check]]="Valid",H1470,"")</f>
        <v>61</v>
      </c>
      <c r="V1470" t="str">
        <f>IF(OR(K1470="",UPPER(TRIM(K1470&amp;""))="",LOWER(TRIM(K1470&amp;""))="",LOWER(TRIM(K1470&amp;""))="",LOWER(TRIM(K1470&amp;""))="missing"),"Missing/",IFERROR(IF(VALUE(K1470)&lt;0,"Invalid","Valid"),"Check Format"))</f>
        <v>Valid</v>
      </c>
      <c r="W1470" t="str">
        <f>IF(OR(E1470="",F1470=""),"Missing Date/Time",IFERROR(IF(F1470&gt;E1470,"Arrival After Appointment","OK"),"Check Format"))</f>
        <v>OK</v>
      </c>
      <c r="X1470" t="str">
        <f>IF(OR(F1470="",G1470=""),"Missing Date/Time",IFERROR(IF(G1470&lt;F1470,"Discharge Before Arrival","OK"),"Check Format"))</f>
        <v>OK</v>
      </c>
    </row>
    <row r="1471" spans="1:24" x14ac:dyDescent="0.25">
      <c r="A1471" s="2" t="s">
        <v>2194</v>
      </c>
      <c r="B1471" s="2" t="s">
        <v>745</v>
      </c>
      <c r="D1471" s="3" t="s">
        <v>149</v>
      </c>
      <c r="E1471" s="4">
        <v>45876.381944444445</v>
      </c>
      <c r="F1471" s="4">
        <v>45876.375</v>
      </c>
      <c r="G1471" s="4">
        <v>45876.409722222219</v>
      </c>
      <c r="H1471" s="5">
        <v>145</v>
      </c>
      <c r="I1471" s="3" t="s">
        <v>90</v>
      </c>
      <c r="J1471" s="3" t="s">
        <v>171</v>
      </c>
      <c r="K1471" s="5">
        <v>35</v>
      </c>
      <c r="L1471" s="5">
        <v>5</v>
      </c>
      <c r="M1471" s="3" t="s">
        <v>32</v>
      </c>
      <c r="N1471" t="s">
        <v>91</v>
      </c>
      <c r="P1471" s="3" t="s">
        <v>80</v>
      </c>
      <c r="Q1471" s="2">
        <v>185.26</v>
      </c>
      <c r="R1471" s="3" t="s">
        <v>58</v>
      </c>
      <c r="S1471">
        <f>COUNTIF(A:A,A1471)</f>
        <v>1</v>
      </c>
      <c r="T1471" t="str">
        <f>IF(OR(H1471="",LOWER(TRIM(H1471&amp;""))="missing",LOWER(TRIM(H1471&amp;""))=""),"Missing/",IFERROR(IF(OR(VALUE(H1471)&lt;0,VALUE(H1471)&gt;110),"Invalid","Valid"),"Check Format"))</f>
        <v>Invalid</v>
      </c>
      <c r="U1471" t="str">
        <f>IF(Raw_Data[[#This Row],[Age_Check]]="Valid",H1471,"")</f>
        <v/>
      </c>
      <c r="V1471" t="str">
        <f>IF(OR(K1471="",UPPER(TRIM(K1471&amp;""))="",LOWER(TRIM(K1471&amp;""))="",LOWER(TRIM(K1471&amp;""))="",LOWER(TRIM(K1471&amp;""))="missing"),"Missing/",IFERROR(IF(VALUE(K1471)&lt;0,"Invalid","Valid"),"Check Format"))</f>
        <v>Valid</v>
      </c>
      <c r="W1471" t="str">
        <f>IF(OR(E1471="",F1471=""),"Missing Date/Time",IFERROR(IF(F1471&gt;E1471,"Arrival After Appointment","OK"),"Check Format"))</f>
        <v>OK</v>
      </c>
      <c r="X1471" t="str">
        <f>IF(OR(F1471="",G1471=""),"Missing Date/Time",IFERROR(IF(G1471&lt;F1471,"Discharge Before Arrival","OK"),"Check Format"))</f>
        <v>OK</v>
      </c>
    </row>
    <row r="1472" spans="1:24" x14ac:dyDescent="0.25">
      <c r="A1472" s="2" t="s">
        <v>2195</v>
      </c>
      <c r="B1472" s="2" t="s">
        <v>1869</v>
      </c>
      <c r="C1472" s="3" t="s">
        <v>37</v>
      </c>
      <c r="D1472" s="3" t="s">
        <v>209</v>
      </c>
      <c r="E1472" s="4">
        <v>45761.46875</v>
      </c>
      <c r="F1472" s="4">
        <v>45761.461805555555</v>
      </c>
      <c r="G1472" s="4">
        <v>45761.486805555556</v>
      </c>
      <c r="I1472" s="3" t="s">
        <v>73</v>
      </c>
      <c r="J1472" s="3" t="s">
        <v>62</v>
      </c>
      <c r="K1472" s="5">
        <v>0</v>
      </c>
      <c r="L1472" s="5">
        <v>26</v>
      </c>
      <c r="M1472" s="3" t="s">
        <v>23</v>
      </c>
      <c r="N1472" t="s">
        <v>91</v>
      </c>
      <c r="O1472" s="5">
        <v>4</v>
      </c>
      <c r="Q1472" s="2">
        <v>220.29</v>
      </c>
      <c r="R1472" s="3" t="s">
        <v>58</v>
      </c>
      <c r="S1472">
        <f>COUNTIF(A:A,A1472)</f>
        <v>1</v>
      </c>
      <c r="T1472" t="str">
        <f>IF(OR(H1472="",LOWER(TRIM(H1472&amp;""))="missing",LOWER(TRIM(H1472&amp;""))=""),"Missing/",IFERROR(IF(OR(VALUE(H1472)&lt;0,VALUE(H1472)&gt;110),"Invalid","Valid"),"Check Format"))</f>
        <v>Missing/</v>
      </c>
      <c r="U1472" t="str">
        <f>IF(Raw_Data[[#This Row],[Age_Check]]="Valid",H1472,"")</f>
        <v/>
      </c>
      <c r="V1472" t="str">
        <f>IF(OR(K1472="",UPPER(TRIM(K1472&amp;""))="",LOWER(TRIM(K1472&amp;""))="",LOWER(TRIM(K1472&amp;""))="",LOWER(TRIM(K1472&amp;""))="missing"),"Missing/",IFERROR(IF(VALUE(K1472)&lt;0,"Invalid","Valid"),"Check Format"))</f>
        <v>Valid</v>
      </c>
      <c r="W1472" t="str">
        <f>IF(OR(E1472="",F1472=""),"Missing Date/Time",IFERROR(IF(F1472&gt;E1472,"Arrival After Appointment","OK"),"Check Format"))</f>
        <v>OK</v>
      </c>
      <c r="X1472" t="str">
        <f>IF(OR(F1472="",G1472=""),"Missing Date/Time",IFERROR(IF(G1472&lt;F1472,"Discharge Before Arrival","OK"),"Check Format"))</f>
        <v>OK</v>
      </c>
    </row>
    <row r="1473" spans="1:24" x14ac:dyDescent="0.25">
      <c r="A1473" s="2" t="s">
        <v>2196</v>
      </c>
      <c r="B1473" s="2" t="s">
        <v>1048</v>
      </c>
      <c r="C1473" s="3" t="s">
        <v>46</v>
      </c>
      <c r="D1473" s="3" t="s">
        <v>174</v>
      </c>
      <c r="E1473" s="4">
        <v>45603.572916666664</v>
      </c>
      <c r="F1473" s="4">
        <v>45484.560416666667</v>
      </c>
      <c r="I1473" s="3" t="s">
        <v>95</v>
      </c>
      <c r="J1473" s="3" t="s">
        <v>150</v>
      </c>
      <c r="K1473" s="5">
        <v>64</v>
      </c>
      <c r="L1473" s="5">
        <v>67</v>
      </c>
      <c r="M1473" s="3" t="s">
        <v>41</v>
      </c>
      <c r="N1473" t="s">
        <v>91</v>
      </c>
      <c r="O1473" s="5">
        <v>6</v>
      </c>
      <c r="Q1473" s="2">
        <v>227.01</v>
      </c>
      <c r="R1473" s="3" t="s">
        <v>26</v>
      </c>
      <c r="S1473">
        <f>COUNTIF(A:A,A1473)</f>
        <v>1</v>
      </c>
      <c r="T1473" t="str">
        <f>IF(OR(H1473="",LOWER(TRIM(H1473&amp;""))="missing",LOWER(TRIM(H1473&amp;""))=""),"Missing/",IFERROR(IF(OR(VALUE(H1473)&lt;0,VALUE(H1473)&gt;110),"Invalid","Valid"),"Check Format"))</f>
        <v>Missing/</v>
      </c>
      <c r="U1473" t="str">
        <f>IF(Raw_Data[[#This Row],[Age_Check]]="Valid",H1473,"")</f>
        <v/>
      </c>
      <c r="V1473" t="str">
        <f>IF(OR(K1473="",UPPER(TRIM(K1473&amp;""))="",LOWER(TRIM(K1473&amp;""))="",LOWER(TRIM(K1473&amp;""))="",LOWER(TRIM(K1473&amp;""))="missing"),"Missing/",IFERROR(IF(VALUE(K1473)&lt;0,"Invalid","Valid"),"Check Format"))</f>
        <v>Valid</v>
      </c>
      <c r="W1473" t="str">
        <f>IF(OR(E1473="",F1473=""),"Missing Date/Time",IFERROR(IF(F1473&gt;E1473,"Arrival After Appointment","OK"),"Check Format"))</f>
        <v>OK</v>
      </c>
      <c r="X1473" t="str">
        <f>IF(OR(F1473="",G1473=""),"Missing Date/Time",IFERROR(IF(G1473&lt;F1473,"Discharge Before Arrival","OK"),"Check Format"))</f>
        <v>Missing Date/Time</v>
      </c>
    </row>
    <row r="1474" spans="1:24" x14ac:dyDescent="0.25">
      <c r="A1474" s="2" t="s">
        <v>2197</v>
      </c>
      <c r="B1474" s="2" t="s">
        <v>451</v>
      </c>
      <c r="D1474" s="3" t="s">
        <v>61</v>
      </c>
      <c r="E1474" s="4">
        <v>45353.753472222219</v>
      </c>
      <c r="F1474" s="4">
        <v>45353.749305555553</v>
      </c>
      <c r="G1474" s="4">
        <v>45353.8</v>
      </c>
      <c r="H1474" s="5">
        <v>74</v>
      </c>
      <c r="I1474" s="3" t="s">
        <v>95</v>
      </c>
      <c r="J1474" s="3" t="s">
        <v>67</v>
      </c>
      <c r="K1474" s="5">
        <v>35</v>
      </c>
      <c r="L1474" s="5">
        <v>32</v>
      </c>
      <c r="M1474" s="3" t="s">
        <v>23</v>
      </c>
      <c r="O1474" s="5">
        <v>6</v>
      </c>
      <c r="P1474" s="3" t="s">
        <v>42</v>
      </c>
      <c r="Q1474" s="2">
        <v>141.21</v>
      </c>
      <c r="R1474" s="3" t="s">
        <v>26</v>
      </c>
      <c r="S1474">
        <f>COUNTIF(A:A,A1474)</f>
        <v>1</v>
      </c>
      <c r="T1474" t="str">
        <f>IF(OR(H1474="",LOWER(TRIM(H1474&amp;""))="missing",LOWER(TRIM(H1474&amp;""))=""),"Missing/",IFERROR(IF(OR(VALUE(H1474)&lt;0,VALUE(H1474)&gt;110),"Invalid","Valid"),"Check Format"))</f>
        <v>Valid</v>
      </c>
      <c r="U1474">
        <f>IF(Raw_Data[[#This Row],[Age_Check]]="Valid",H1474,"")</f>
        <v>74</v>
      </c>
      <c r="V1474" t="str">
        <f>IF(OR(K1474="",UPPER(TRIM(K1474&amp;""))="",LOWER(TRIM(K1474&amp;""))="",LOWER(TRIM(K1474&amp;""))="",LOWER(TRIM(K1474&amp;""))="missing"),"Missing/",IFERROR(IF(VALUE(K1474)&lt;0,"Invalid","Valid"),"Check Format"))</f>
        <v>Valid</v>
      </c>
      <c r="W1474" t="str">
        <f>IF(OR(E1474="",F1474=""),"Missing Date/Time",IFERROR(IF(F1474&gt;E1474,"Arrival After Appointment","OK"),"Check Format"))</f>
        <v>OK</v>
      </c>
      <c r="X1474" t="str">
        <f>IF(OR(F1474="",G1474=""),"Missing Date/Time",IFERROR(IF(G1474&lt;F1474,"Discharge Before Arrival","OK"),"Check Format"))</f>
        <v>OK</v>
      </c>
    </row>
    <row r="1475" spans="1:24" x14ac:dyDescent="0.25">
      <c r="A1475" s="2" t="s">
        <v>2198</v>
      </c>
      <c r="B1475" s="2" t="s">
        <v>537</v>
      </c>
      <c r="C1475" s="3" t="s">
        <v>46</v>
      </c>
      <c r="D1475" s="3" t="s">
        <v>30</v>
      </c>
      <c r="E1475" s="4">
        <v>45451.739583333336</v>
      </c>
      <c r="F1475" s="4">
        <v>45451.720138888886</v>
      </c>
      <c r="G1475" s="4">
        <v>45451.751388888886</v>
      </c>
      <c r="I1475" s="3" t="s">
        <v>73</v>
      </c>
      <c r="J1475" s="3" t="s">
        <v>2639</v>
      </c>
      <c r="K1475" s="5">
        <v>2</v>
      </c>
      <c r="L1475" s="5">
        <v>15</v>
      </c>
      <c r="M1475" s="3" t="s">
        <v>87</v>
      </c>
      <c r="N1475" t="s">
        <v>24</v>
      </c>
      <c r="P1475" s="3" t="s">
        <v>80</v>
      </c>
      <c r="R1475" s="3" t="s">
        <v>58</v>
      </c>
      <c r="S1475">
        <f>COUNTIF(A:A,A1475)</f>
        <v>1</v>
      </c>
      <c r="T1475" t="str">
        <f>IF(OR(H1475="",LOWER(TRIM(H1475&amp;""))="missing",LOWER(TRIM(H1475&amp;""))=""),"Missing/",IFERROR(IF(OR(VALUE(H1475)&lt;0,VALUE(H1475)&gt;110),"Invalid","Valid"),"Check Format"))</f>
        <v>Missing/</v>
      </c>
      <c r="U1475" t="str">
        <f>IF(Raw_Data[[#This Row],[Age_Check]]="Valid",H1475,"")</f>
        <v/>
      </c>
      <c r="V1475" t="str">
        <f>IF(OR(K1475="",UPPER(TRIM(K1475&amp;""))="",LOWER(TRIM(K1475&amp;""))="",LOWER(TRIM(K1475&amp;""))="",LOWER(TRIM(K1475&amp;""))="missing"),"Missing/",IFERROR(IF(VALUE(K1475)&lt;0,"Invalid","Valid"),"Check Format"))</f>
        <v>Valid</v>
      </c>
      <c r="W1475" t="str">
        <f>IF(OR(E1475="",F1475=""),"Missing Date/Time",IFERROR(IF(F1475&gt;E1475,"Arrival After Appointment","OK"),"Check Format"))</f>
        <v>OK</v>
      </c>
      <c r="X1475" t="str">
        <f>IF(OR(F1475="",G1475=""),"Missing Date/Time",IFERROR(IF(G1475&lt;F1475,"Discharge Before Arrival","OK"),"Check Format"))</f>
        <v>OK</v>
      </c>
    </row>
    <row r="1476" spans="1:24" x14ac:dyDescent="0.25">
      <c r="A1476" s="2" t="s">
        <v>2199</v>
      </c>
      <c r="B1476" s="2" t="s">
        <v>1179</v>
      </c>
      <c r="C1476" s="3" t="s">
        <v>94</v>
      </c>
      <c r="D1476" s="3" t="s">
        <v>61</v>
      </c>
      <c r="E1476" s="4">
        <v>45759.395833333336</v>
      </c>
      <c r="F1476" s="4">
        <v>45995.395833333336</v>
      </c>
      <c r="G1476" s="4">
        <v>45995.425694444442</v>
      </c>
      <c r="I1476" s="3" t="s">
        <v>90</v>
      </c>
      <c r="J1476" s="3" t="s">
        <v>171</v>
      </c>
      <c r="K1476" s="5">
        <v>38</v>
      </c>
      <c r="L1476" s="5">
        <v>5</v>
      </c>
      <c r="P1476" s="3" t="s">
        <v>80</v>
      </c>
      <c r="Q1476" s="2">
        <v>148.80000000000001</v>
      </c>
      <c r="R1476" s="3" t="s">
        <v>58</v>
      </c>
      <c r="S1476">
        <f>COUNTIF(A:A,A1476)</f>
        <v>1</v>
      </c>
      <c r="T1476" t="str">
        <f>IF(OR(H1476="",LOWER(TRIM(H1476&amp;""))="missing",LOWER(TRIM(H1476&amp;""))=""),"Missing/",IFERROR(IF(OR(VALUE(H1476)&lt;0,VALUE(H1476)&gt;110),"Invalid","Valid"),"Check Format"))</f>
        <v>Missing/</v>
      </c>
      <c r="U1476" t="str">
        <f>IF(Raw_Data[[#This Row],[Age_Check]]="Valid",H1476,"")</f>
        <v/>
      </c>
      <c r="V1476" t="str">
        <f>IF(OR(K1476="",UPPER(TRIM(K1476&amp;""))="",LOWER(TRIM(K1476&amp;""))="",LOWER(TRIM(K1476&amp;""))="",LOWER(TRIM(K1476&amp;""))="missing"),"Missing/",IFERROR(IF(VALUE(K1476)&lt;0,"Invalid","Valid"),"Check Format"))</f>
        <v>Valid</v>
      </c>
      <c r="W1476" t="str">
        <f>IF(OR(E1476="",F1476=""),"Missing Date/Time",IFERROR(IF(F1476&gt;E1476,"Arrival After Appointment","OK"),"Check Format"))</f>
        <v>Arrival After Appointment</v>
      </c>
      <c r="X1476" t="str">
        <f>IF(OR(F1476="",G1476=""),"Missing Date/Time",IFERROR(IF(G1476&lt;F1476,"Discharge Before Arrival","OK"),"Check Format"))</f>
        <v>OK</v>
      </c>
    </row>
    <row r="1477" spans="1:24" x14ac:dyDescent="0.25">
      <c r="A1477" s="2" t="s">
        <v>2200</v>
      </c>
      <c r="B1477" s="2" t="s">
        <v>1488</v>
      </c>
      <c r="C1477" s="3" t="s">
        <v>29</v>
      </c>
      <c r="D1477" s="3" t="s">
        <v>61</v>
      </c>
      <c r="E1477" s="4">
        <v>45544.722222222219</v>
      </c>
      <c r="F1477" s="4">
        <v>45544.716666666667</v>
      </c>
      <c r="G1477" s="4">
        <v>45544.759722222225</v>
      </c>
      <c r="I1477" s="3" t="s">
        <v>95</v>
      </c>
      <c r="J1477" s="3" t="s">
        <v>2639</v>
      </c>
      <c r="K1477" s="5">
        <v>49</v>
      </c>
      <c r="L1477" s="5">
        <v>5</v>
      </c>
      <c r="N1477" t="s">
        <v>74</v>
      </c>
      <c r="O1477" s="5">
        <v>6</v>
      </c>
      <c r="Q1477" s="2">
        <v>177.34</v>
      </c>
      <c r="R1477" s="3" t="s">
        <v>58</v>
      </c>
      <c r="S1477">
        <f>COUNTIF(A:A,A1477)</f>
        <v>1</v>
      </c>
      <c r="T1477" t="str">
        <f>IF(OR(H1477="",LOWER(TRIM(H1477&amp;""))="missing",LOWER(TRIM(H1477&amp;""))=""),"Missing/",IFERROR(IF(OR(VALUE(H1477)&lt;0,VALUE(H1477)&gt;110),"Invalid","Valid"),"Check Format"))</f>
        <v>Missing/</v>
      </c>
      <c r="U1477" t="str">
        <f>IF(Raw_Data[[#This Row],[Age_Check]]="Valid",H1477,"")</f>
        <v/>
      </c>
      <c r="V1477" t="str">
        <f>IF(OR(K1477="",UPPER(TRIM(K1477&amp;""))="",LOWER(TRIM(K1477&amp;""))="",LOWER(TRIM(K1477&amp;""))="",LOWER(TRIM(K1477&amp;""))="missing"),"Missing/",IFERROR(IF(VALUE(K1477)&lt;0,"Invalid","Valid"),"Check Format"))</f>
        <v>Valid</v>
      </c>
      <c r="W1477" t="str">
        <f>IF(OR(E1477="",F1477=""),"Missing Date/Time",IFERROR(IF(F1477&gt;E1477,"Arrival After Appointment","OK"),"Check Format"))</f>
        <v>OK</v>
      </c>
      <c r="X1477" t="str">
        <f>IF(OR(F1477="",G1477=""),"Missing Date/Time",IFERROR(IF(G1477&lt;F1477,"Discharge Before Arrival","OK"),"Check Format"))</f>
        <v>OK</v>
      </c>
    </row>
    <row r="1478" spans="1:24" x14ac:dyDescent="0.25">
      <c r="A1478" s="2" t="s">
        <v>2201</v>
      </c>
      <c r="B1478" s="2" t="s">
        <v>972</v>
      </c>
      <c r="C1478" s="3" t="s">
        <v>19</v>
      </c>
      <c r="D1478" s="3" t="s">
        <v>66</v>
      </c>
      <c r="E1478" s="4">
        <v>45749.434027777781</v>
      </c>
      <c r="F1478" s="4">
        <v>45692.434027777781</v>
      </c>
      <c r="G1478" s="4">
        <v>45692.51666666667</v>
      </c>
      <c r="I1478" s="3" t="s">
        <v>73</v>
      </c>
      <c r="J1478" s="3" t="s">
        <v>171</v>
      </c>
      <c r="K1478" s="5">
        <v>83</v>
      </c>
      <c r="L1478" s="5">
        <v>36</v>
      </c>
      <c r="M1478" s="3" t="s">
        <v>32</v>
      </c>
      <c r="N1478" t="s">
        <v>91</v>
      </c>
      <c r="O1478" s="5">
        <v>0</v>
      </c>
      <c r="P1478" s="3" t="s">
        <v>25</v>
      </c>
      <c r="R1478" s="3" t="s">
        <v>26</v>
      </c>
      <c r="S1478">
        <f>COUNTIF(A:A,A1478)</f>
        <v>1</v>
      </c>
      <c r="T1478" t="str">
        <f>IF(OR(H1478="",LOWER(TRIM(H1478&amp;""))="missing",LOWER(TRIM(H1478&amp;""))=""),"Missing/",IFERROR(IF(OR(VALUE(H1478)&lt;0,VALUE(H1478)&gt;110),"Invalid","Valid"),"Check Format"))</f>
        <v>Missing/</v>
      </c>
      <c r="U1478" t="str">
        <f>IF(Raw_Data[[#This Row],[Age_Check]]="Valid",H1478,"")</f>
        <v/>
      </c>
      <c r="V1478" t="str">
        <f>IF(OR(K1478="",UPPER(TRIM(K1478&amp;""))="",LOWER(TRIM(K1478&amp;""))="",LOWER(TRIM(K1478&amp;""))="",LOWER(TRIM(K1478&amp;""))="missing"),"Missing/",IFERROR(IF(VALUE(K1478)&lt;0,"Invalid","Valid"),"Check Format"))</f>
        <v>Valid</v>
      </c>
      <c r="W1478" t="str">
        <f>IF(OR(E1478="",F1478=""),"Missing Date/Time",IFERROR(IF(F1478&gt;E1478,"Arrival After Appointment","OK"),"Check Format"))</f>
        <v>OK</v>
      </c>
      <c r="X1478" t="str">
        <f>IF(OR(F1478="",G1478=""),"Missing Date/Time",IFERROR(IF(G1478&lt;F1478,"Discharge Before Arrival","OK"),"Check Format"))</f>
        <v>OK</v>
      </c>
    </row>
    <row r="1479" spans="1:24" x14ac:dyDescent="0.25">
      <c r="A1479" s="2" t="s">
        <v>2202</v>
      </c>
      <c r="B1479" s="2" t="s">
        <v>633</v>
      </c>
      <c r="C1479" s="3" t="s">
        <v>37</v>
      </c>
      <c r="D1479" s="3" t="s">
        <v>66</v>
      </c>
      <c r="E1479" s="4">
        <v>45833.767361111109</v>
      </c>
      <c r="F1479" s="4">
        <v>45833.759722222225</v>
      </c>
      <c r="G1479" s="4">
        <v>45833.828472222223</v>
      </c>
      <c r="H1479" s="5">
        <v>145</v>
      </c>
      <c r="I1479" s="3" t="s">
        <v>39</v>
      </c>
      <c r="J1479" s="3" t="s">
        <v>22</v>
      </c>
      <c r="K1479" s="5">
        <v>46</v>
      </c>
      <c r="L1479" s="5">
        <v>42</v>
      </c>
      <c r="M1479" s="3" t="s">
        <v>23</v>
      </c>
      <c r="N1479" t="s">
        <v>91</v>
      </c>
      <c r="O1479" s="5">
        <v>6</v>
      </c>
      <c r="P1479" s="3" t="s">
        <v>25</v>
      </c>
      <c r="Q1479" s="2">
        <v>199.42</v>
      </c>
      <c r="R1479" s="3" t="s">
        <v>26</v>
      </c>
      <c r="S1479">
        <f>COUNTIF(A:A,A1479)</f>
        <v>1</v>
      </c>
      <c r="T1479" t="str">
        <f>IF(OR(H1479="",LOWER(TRIM(H1479&amp;""))="missing",LOWER(TRIM(H1479&amp;""))=""),"Missing/",IFERROR(IF(OR(VALUE(H1479)&lt;0,VALUE(H1479)&gt;110),"Invalid","Valid"),"Check Format"))</f>
        <v>Invalid</v>
      </c>
      <c r="U1479" t="str">
        <f>IF(Raw_Data[[#This Row],[Age_Check]]="Valid",H1479,"")</f>
        <v/>
      </c>
      <c r="V1479" t="str">
        <f>IF(OR(K1479="",UPPER(TRIM(K1479&amp;""))="",LOWER(TRIM(K1479&amp;""))="",LOWER(TRIM(K1479&amp;""))="",LOWER(TRIM(K1479&amp;""))="missing"),"Missing/",IFERROR(IF(VALUE(K1479)&lt;0,"Invalid","Valid"),"Check Format"))</f>
        <v>Valid</v>
      </c>
      <c r="W1479" t="str">
        <f>IF(OR(E1479="",F1479=""),"Missing Date/Time",IFERROR(IF(F1479&gt;E1479,"Arrival After Appointment","OK"),"Check Format"))</f>
        <v>OK</v>
      </c>
      <c r="X1479" t="str">
        <f>IF(OR(F1479="",G1479=""),"Missing Date/Time",IFERROR(IF(G1479&lt;F1479,"Discharge Before Arrival","OK"),"Check Format"))</f>
        <v>OK</v>
      </c>
    </row>
    <row r="1480" spans="1:24" x14ac:dyDescent="0.25">
      <c r="A1480" s="2" t="s">
        <v>2203</v>
      </c>
      <c r="B1480" s="2" t="s">
        <v>435</v>
      </c>
      <c r="C1480" s="3" t="s">
        <v>94</v>
      </c>
      <c r="D1480" s="3" t="s">
        <v>55</v>
      </c>
      <c r="E1480" s="4" t="s">
        <v>2204</v>
      </c>
      <c r="F1480" s="4">
        <v>45466.654166666667</v>
      </c>
      <c r="G1480" s="4">
        <v>45466.725694444445</v>
      </c>
      <c r="H1480" s="5">
        <v>82</v>
      </c>
      <c r="I1480" s="3" t="s">
        <v>90</v>
      </c>
      <c r="J1480" s="3" t="s">
        <v>150</v>
      </c>
      <c r="K1480" s="5">
        <v>68</v>
      </c>
      <c r="L1480" s="5">
        <v>17</v>
      </c>
      <c r="M1480" s="3" t="s">
        <v>68</v>
      </c>
      <c r="P1480" s="3" t="s">
        <v>25</v>
      </c>
      <c r="Q1480" s="2">
        <v>167.13</v>
      </c>
      <c r="R1480" s="3" t="s">
        <v>58</v>
      </c>
      <c r="S1480">
        <f>COUNTIF(A:A,A1480)</f>
        <v>1</v>
      </c>
      <c r="T1480" t="str">
        <f>IF(OR(H1480="",LOWER(TRIM(H1480&amp;""))="missing",LOWER(TRIM(H1480&amp;""))=""),"Missing/",IFERROR(IF(OR(VALUE(H1480)&lt;0,VALUE(H1480)&gt;110),"Invalid","Valid"),"Check Format"))</f>
        <v>Valid</v>
      </c>
      <c r="U1480">
        <f>IF(Raw_Data[[#This Row],[Age_Check]]="Valid",H1480,"")</f>
        <v>82</v>
      </c>
      <c r="V1480" t="str">
        <f>IF(OR(K1480="",UPPER(TRIM(K1480&amp;""))="",LOWER(TRIM(K1480&amp;""))="",LOWER(TRIM(K1480&amp;""))="",LOWER(TRIM(K1480&amp;""))="missing"),"Missing/",IFERROR(IF(VALUE(K1480)&lt;0,"Invalid","Valid"),"Check Format"))</f>
        <v>Valid</v>
      </c>
      <c r="W1480" t="str">
        <f>IF(OR(E1480="",F1480=""),"Missing Date/Time",IFERROR(IF(F1480&gt;E1480,"Arrival After Appointment","OK"),"Check Format"))</f>
        <v>OK</v>
      </c>
      <c r="X1480" t="str">
        <f>IF(OR(F1480="",G1480=""),"Missing Date/Time",IFERROR(IF(G1480&lt;F1480,"Discharge Before Arrival","OK"),"Check Format"))</f>
        <v>OK</v>
      </c>
    </row>
    <row r="1481" spans="1:24" x14ac:dyDescent="0.25">
      <c r="A1481" s="2" t="s">
        <v>2205</v>
      </c>
      <c r="B1481" s="2" t="s">
        <v>805</v>
      </c>
      <c r="C1481" s="3" t="s">
        <v>46</v>
      </c>
      <c r="D1481" s="3" t="s">
        <v>209</v>
      </c>
      <c r="E1481" s="4">
        <v>45817.538194444445</v>
      </c>
      <c r="F1481" s="4">
        <v>45817.529166666667</v>
      </c>
      <c r="G1481" s="4">
        <v>45817.621527777781</v>
      </c>
      <c r="H1481" s="5">
        <v>15</v>
      </c>
      <c r="I1481" s="3" t="s">
        <v>95</v>
      </c>
      <c r="J1481" s="3" t="s">
        <v>67</v>
      </c>
      <c r="K1481" s="5">
        <v>99</v>
      </c>
      <c r="L1481" s="5">
        <v>21</v>
      </c>
      <c r="M1481" s="3" t="s">
        <v>23</v>
      </c>
      <c r="N1481" t="s">
        <v>24</v>
      </c>
      <c r="O1481" s="5">
        <v>1</v>
      </c>
      <c r="P1481" s="3" t="s">
        <v>25</v>
      </c>
      <c r="Q1481" s="2">
        <v>312.83999999999997</v>
      </c>
      <c r="R1481" s="3" t="s">
        <v>26</v>
      </c>
      <c r="S1481">
        <f>COUNTIF(A:A,A1481)</f>
        <v>1</v>
      </c>
      <c r="T1481" t="str">
        <f>IF(OR(H1481="",LOWER(TRIM(H1481&amp;""))="missing",LOWER(TRIM(H1481&amp;""))=""),"Missing/",IFERROR(IF(OR(VALUE(H1481)&lt;0,VALUE(H1481)&gt;110),"Invalid","Valid"),"Check Format"))</f>
        <v>Valid</v>
      </c>
      <c r="U1481">
        <f>IF(Raw_Data[[#This Row],[Age_Check]]="Valid",H1481,"")</f>
        <v>15</v>
      </c>
      <c r="V1481" t="str">
        <f>IF(OR(K1481="",UPPER(TRIM(K1481&amp;""))="",LOWER(TRIM(K1481&amp;""))="",LOWER(TRIM(K1481&amp;""))="",LOWER(TRIM(K1481&amp;""))="missing"),"Missing/",IFERROR(IF(VALUE(K1481)&lt;0,"Invalid","Valid"),"Check Format"))</f>
        <v>Valid</v>
      </c>
      <c r="W1481" t="str">
        <f>IF(OR(E1481="",F1481=""),"Missing Date/Time",IFERROR(IF(F1481&gt;E1481,"Arrival After Appointment","OK"),"Check Format"))</f>
        <v>OK</v>
      </c>
      <c r="X1481" t="str">
        <f>IF(OR(F1481="",G1481=""),"Missing Date/Time",IFERROR(IF(G1481&lt;F1481,"Discharge Before Arrival","OK"),"Check Format"))</f>
        <v>OK</v>
      </c>
    </row>
    <row r="1482" spans="1:24" x14ac:dyDescent="0.25">
      <c r="A1482" s="2" t="s">
        <v>2206</v>
      </c>
      <c r="B1482" s="2" t="s">
        <v>1219</v>
      </c>
      <c r="C1482" s="3" t="s">
        <v>19</v>
      </c>
      <c r="D1482" s="3" t="s">
        <v>72</v>
      </c>
      <c r="E1482" s="4" t="s">
        <v>2207</v>
      </c>
      <c r="F1482" s="4">
        <v>45807.65</v>
      </c>
      <c r="G1482" s="4">
        <v>45807.70208333333</v>
      </c>
      <c r="H1482" s="5">
        <v>15</v>
      </c>
      <c r="I1482" s="3" t="s">
        <v>95</v>
      </c>
      <c r="J1482" s="3" t="s">
        <v>67</v>
      </c>
      <c r="K1482" s="5">
        <v>39</v>
      </c>
      <c r="L1482" s="5">
        <v>32</v>
      </c>
      <c r="M1482" s="3" t="s">
        <v>32</v>
      </c>
      <c r="N1482" t="s">
        <v>91</v>
      </c>
      <c r="O1482" s="5">
        <v>0</v>
      </c>
      <c r="P1482" s="3" t="s">
        <v>25</v>
      </c>
      <c r="Q1482" s="2">
        <v>91.2</v>
      </c>
      <c r="R1482" s="3" t="s">
        <v>26</v>
      </c>
      <c r="S1482">
        <f>COUNTIF(A:A,A1482)</f>
        <v>1</v>
      </c>
      <c r="T1482" t="str">
        <f>IF(OR(H1482="",LOWER(TRIM(H1482&amp;""))="missing",LOWER(TRIM(H1482&amp;""))=""),"Missing/",IFERROR(IF(OR(VALUE(H1482)&lt;0,VALUE(H1482)&gt;110),"Invalid","Valid"),"Check Format"))</f>
        <v>Valid</v>
      </c>
      <c r="U1482">
        <f>IF(Raw_Data[[#This Row],[Age_Check]]="Valid",H1482,"")</f>
        <v>15</v>
      </c>
      <c r="V1482" t="str">
        <f>IF(OR(K1482="",UPPER(TRIM(K1482&amp;""))="",LOWER(TRIM(K1482&amp;""))="",LOWER(TRIM(K1482&amp;""))="",LOWER(TRIM(K1482&amp;""))="missing"),"Missing/",IFERROR(IF(VALUE(K1482)&lt;0,"Invalid","Valid"),"Check Format"))</f>
        <v>Valid</v>
      </c>
      <c r="W1482" t="str">
        <f>IF(OR(E1482="",F1482=""),"Missing Date/Time",IFERROR(IF(F1482&gt;E1482,"Arrival After Appointment","OK"),"Check Format"))</f>
        <v>OK</v>
      </c>
      <c r="X1482" t="str">
        <f>IF(OR(F1482="",G1482=""),"Missing Date/Time",IFERROR(IF(G1482&lt;F1482,"Discharge Before Arrival","OK"),"Check Format"))</f>
        <v>OK</v>
      </c>
    </row>
    <row r="1483" spans="1:24" x14ac:dyDescent="0.25">
      <c r="A1483" s="2" t="s">
        <v>2208</v>
      </c>
      <c r="B1483" s="2" t="s">
        <v>629</v>
      </c>
      <c r="C1483" s="3" t="s">
        <v>37</v>
      </c>
      <c r="D1483" s="3" t="s">
        <v>47</v>
      </c>
      <c r="E1483" s="4">
        <v>45445.753472222219</v>
      </c>
      <c r="F1483" s="4">
        <v>45445.746527777781</v>
      </c>
      <c r="G1483" s="4">
        <v>45445.802083333336</v>
      </c>
      <c r="I1483" s="3" t="s">
        <v>95</v>
      </c>
      <c r="K1483" s="5">
        <v>65</v>
      </c>
      <c r="L1483" s="5">
        <v>5</v>
      </c>
      <c r="M1483" s="3" t="s">
        <v>68</v>
      </c>
      <c r="N1483" t="s">
        <v>24</v>
      </c>
      <c r="O1483" s="5">
        <v>6</v>
      </c>
      <c r="P1483" s="3" t="s">
        <v>25</v>
      </c>
      <c r="Q1483" s="2">
        <v>101.32</v>
      </c>
      <c r="R1483" s="3" t="s">
        <v>58</v>
      </c>
      <c r="S1483">
        <f>COUNTIF(A:A,A1483)</f>
        <v>1</v>
      </c>
      <c r="T1483" t="str">
        <f>IF(OR(H1483="",LOWER(TRIM(H1483&amp;""))="missing",LOWER(TRIM(H1483&amp;""))=""),"Missing/",IFERROR(IF(OR(VALUE(H1483)&lt;0,VALUE(H1483)&gt;110),"Invalid","Valid"),"Check Format"))</f>
        <v>Missing/</v>
      </c>
      <c r="U1483" t="str">
        <f>IF(Raw_Data[[#This Row],[Age_Check]]="Valid",H1483,"")</f>
        <v/>
      </c>
      <c r="V1483" t="str">
        <f>IF(OR(K1483="",UPPER(TRIM(K1483&amp;""))="",LOWER(TRIM(K1483&amp;""))="",LOWER(TRIM(K1483&amp;""))="",LOWER(TRIM(K1483&amp;""))="missing"),"Missing/",IFERROR(IF(VALUE(K1483)&lt;0,"Invalid","Valid"),"Check Format"))</f>
        <v>Valid</v>
      </c>
      <c r="W1483" t="str">
        <f>IF(OR(E1483="",F1483=""),"Missing Date/Time",IFERROR(IF(F1483&gt;E1483,"Arrival After Appointment","OK"),"Check Format"))</f>
        <v>OK</v>
      </c>
      <c r="X1483" t="str">
        <f>IF(OR(F1483="",G1483=""),"Missing Date/Time",IFERROR(IF(G1483&lt;F1483,"Discharge Before Arrival","OK"),"Check Format"))</f>
        <v>OK</v>
      </c>
    </row>
    <row r="1484" spans="1:24" x14ac:dyDescent="0.25">
      <c r="A1484" s="2" t="s">
        <v>2209</v>
      </c>
      <c r="B1484" s="2" t="s">
        <v>1088</v>
      </c>
      <c r="C1484" s="3" t="s">
        <v>94</v>
      </c>
      <c r="D1484" s="3" t="s">
        <v>174</v>
      </c>
      <c r="E1484" s="4">
        <v>45549.548611111109</v>
      </c>
      <c r="G1484" s="4">
        <v>45549.585416666669</v>
      </c>
      <c r="H1484" s="5">
        <v>32</v>
      </c>
      <c r="I1484" s="3" t="s">
        <v>73</v>
      </c>
      <c r="J1484" s="3" t="s">
        <v>67</v>
      </c>
      <c r="K1484" s="5">
        <v>19</v>
      </c>
      <c r="L1484" s="5">
        <v>34</v>
      </c>
      <c r="N1484" t="s">
        <v>24</v>
      </c>
      <c r="O1484" s="5">
        <v>0</v>
      </c>
      <c r="P1484" s="3" t="s">
        <v>80</v>
      </c>
      <c r="R1484" s="3" t="s">
        <v>43</v>
      </c>
      <c r="S1484">
        <f>COUNTIF(A:A,A1484)</f>
        <v>1</v>
      </c>
      <c r="T1484" t="str">
        <f>IF(OR(H1484="",LOWER(TRIM(H1484&amp;""))="missing",LOWER(TRIM(H1484&amp;""))=""),"Missing/",IFERROR(IF(OR(VALUE(H1484)&lt;0,VALUE(H1484)&gt;110),"Invalid","Valid"),"Check Format"))</f>
        <v>Valid</v>
      </c>
      <c r="U1484">
        <f>IF(Raw_Data[[#This Row],[Age_Check]]="Valid",H1484,"")</f>
        <v>32</v>
      </c>
      <c r="V1484" t="str">
        <f>IF(OR(K1484="",UPPER(TRIM(K1484&amp;""))="",LOWER(TRIM(K1484&amp;""))="",LOWER(TRIM(K1484&amp;""))="",LOWER(TRIM(K1484&amp;""))="missing"),"Missing/",IFERROR(IF(VALUE(K1484)&lt;0,"Invalid","Valid"),"Check Format"))</f>
        <v>Valid</v>
      </c>
      <c r="W1484" t="str">
        <f>IF(OR(E1484="",F1484=""),"Missing Date/Time",IFERROR(IF(F1484&gt;E1484,"Arrival After Appointment","OK"),"Check Format"))</f>
        <v>Missing Date/Time</v>
      </c>
      <c r="X1484" t="str">
        <f>IF(OR(F1484="",G1484=""),"Missing Date/Time",IFERROR(IF(G1484&lt;F1484,"Discharge Before Arrival","OK"),"Check Format"))</f>
        <v>Missing Date/Time</v>
      </c>
    </row>
    <row r="1485" spans="1:24" x14ac:dyDescent="0.25">
      <c r="A1485" s="2" t="s">
        <v>2210</v>
      </c>
      <c r="B1485" s="2" t="s">
        <v>353</v>
      </c>
      <c r="D1485" s="3" t="s">
        <v>174</v>
      </c>
      <c r="E1485" s="4">
        <v>45941.743055555555</v>
      </c>
      <c r="F1485" s="4">
        <v>45941.731249999997</v>
      </c>
      <c r="G1485" s="4">
        <v>45941.836805555555</v>
      </c>
      <c r="H1485" s="5">
        <v>62</v>
      </c>
      <c r="I1485" s="3" t="s">
        <v>73</v>
      </c>
      <c r="K1485" s="5">
        <v>92</v>
      </c>
      <c r="L1485" s="5">
        <v>43</v>
      </c>
      <c r="M1485" s="3" t="s">
        <v>87</v>
      </c>
      <c r="N1485" t="s">
        <v>24</v>
      </c>
      <c r="Q1485" s="2">
        <v>0</v>
      </c>
      <c r="R1485" s="3" t="s">
        <v>58</v>
      </c>
      <c r="S1485">
        <f>COUNTIF(A:A,A1485)</f>
        <v>1</v>
      </c>
      <c r="T1485" t="str">
        <f>IF(OR(H1485="",LOWER(TRIM(H1485&amp;""))="missing",LOWER(TRIM(H1485&amp;""))=""),"Missing/",IFERROR(IF(OR(VALUE(H1485)&lt;0,VALUE(H1485)&gt;110),"Invalid","Valid"),"Check Format"))</f>
        <v>Valid</v>
      </c>
      <c r="U1485">
        <f>IF(Raw_Data[[#This Row],[Age_Check]]="Valid",H1485,"")</f>
        <v>62</v>
      </c>
      <c r="V1485" t="str">
        <f>IF(OR(K1485="",UPPER(TRIM(K1485&amp;""))="",LOWER(TRIM(K1485&amp;""))="",LOWER(TRIM(K1485&amp;""))="",LOWER(TRIM(K1485&amp;""))="missing"),"Missing/",IFERROR(IF(VALUE(K1485)&lt;0,"Invalid","Valid"),"Check Format"))</f>
        <v>Valid</v>
      </c>
      <c r="W1485" t="str">
        <f>IF(OR(E1485="",F1485=""),"Missing Date/Time",IFERROR(IF(F1485&gt;E1485,"Arrival After Appointment","OK"),"Check Format"))</f>
        <v>OK</v>
      </c>
      <c r="X1485" t="str">
        <f>IF(OR(F1485="",G1485=""),"Missing Date/Time",IFERROR(IF(G1485&lt;F1485,"Discharge Before Arrival","OK"),"Check Format"))</f>
        <v>OK</v>
      </c>
    </row>
    <row r="1486" spans="1:24" x14ac:dyDescent="0.25">
      <c r="A1486" s="2" t="s">
        <v>2211</v>
      </c>
      <c r="B1486" s="2" t="s">
        <v>298</v>
      </c>
      <c r="D1486" s="3" t="s">
        <v>209</v>
      </c>
      <c r="E1486" s="4">
        <v>45671.333333333336</v>
      </c>
      <c r="F1486" s="4">
        <v>45671.330555555556</v>
      </c>
      <c r="G1486" s="4">
        <v>45671.448611111111</v>
      </c>
      <c r="I1486" s="3" t="s">
        <v>90</v>
      </c>
      <c r="J1486" s="3" t="s">
        <v>62</v>
      </c>
      <c r="K1486" s="5">
        <v>129</v>
      </c>
      <c r="L1486" s="5">
        <v>37</v>
      </c>
      <c r="M1486" s="3" t="s">
        <v>23</v>
      </c>
      <c r="N1486" t="s">
        <v>69</v>
      </c>
      <c r="P1486" s="3" t="s">
        <v>80</v>
      </c>
      <c r="Q1486" s="2">
        <v>82.88</v>
      </c>
      <c r="R1486" s="3" t="s">
        <v>58</v>
      </c>
      <c r="S1486">
        <f>COUNTIF(A:A,A1486)</f>
        <v>1</v>
      </c>
      <c r="T1486" t="str">
        <f>IF(OR(H1486="",LOWER(TRIM(H1486&amp;""))="missing",LOWER(TRIM(H1486&amp;""))=""),"Missing/",IFERROR(IF(OR(VALUE(H1486)&lt;0,VALUE(H1486)&gt;110),"Invalid","Valid"),"Check Format"))</f>
        <v>Missing/</v>
      </c>
      <c r="U1486" t="str">
        <f>IF(Raw_Data[[#This Row],[Age_Check]]="Valid",H1486,"")</f>
        <v/>
      </c>
      <c r="V1486" t="str">
        <f>IF(OR(K1486="",UPPER(TRIM(K1486&amp;""))="",LOWER(TRIM(K1486&amp;""))="",LOWER(TRIM(K1486&amp;""))="",LOWER(TRIM(K1486&amp;""))="missing"),"Missing/",IFERROR(IF(VALUE(K1486)&lt;0,"Invalid","Valid"),"Check Format"))</f>
        <v>Valid</v>
      </c>
      <c r="W1486" t="str">
        <f>IF(OR(E1486="",F1486=""),"Missing Date/Time",IFERROR(IF(F1486&gt;E1486,"Arrival After Appointment","OK"),"Check Format"))</f>
        <v>OK</v>
      </c>
      <c r="X1486" t="str">
        <f>IF(OR(F1486="",G1486=""),"Missing Date/Time",IFERROR(IF(G1486&lt;F1486,"Discharge Before Arrival","OK"),"Check Format"))</f>
        <v>OK</v>
      </c>
    </row>
    <row r="1487" spans="1:24" x14ac:dyDescent="0.25">
      <c r="A1487" s="2" t="s">
        <v>2212</v>
      </c>
      <c r="B1487" s="2" t="s">
        <v>784</v>
      </c>
      <c r="C1487" s="3" t="s">
        <v>19</v>
      </c>
      <c r="D1487" s="3" t="s">
        <v>30</v>
      </c>
      <c r="E1487" s="4">
        <v>46018.760416666664</v>
      </c>
      <c r="F1487" s="4">
        <v>46018.756944444445</v>
      </c>
      <c r="G1487" s="4">
        <v>46018.828472222223</v>
      </c>
      <c r="H1487" s="5">
        <v>73</v>
      </c>
      <c r="I1487" s="3" t="s">
        <v>95</v>
      </c>
      <c r="K1487" s="5">
        <v>63</v>
      </c>
      <c r="L1487" s="5">
        <v>35</v>
      </c>
      <c r="M1487" s="3" t="s">
        <v>50</v>
      </c>
      <c r="N1487" t="s">
        <v>69</v>
      </c>
      <c r="P1487" s="3" t="s">
        <v>80</v>
      </c>
      <c r="Q1487" s="2">
        <v>91.65</v>
      </c>
      <c r="R1487" s="3" t="s">
        <v>58</v>
      </c>
      <c r="S1487">
        <f>COUNTIF(A:A,A1487)</f>
        <v>1</v>
      </c>
      <c r="T1487" t="str">
        <f>IF(OR(H1487="",LOWER(TRIM(H1487&amp;""))="missing",LOWER(TRIM(H1487&amp;""))=""),"Missing/",IFERROR(IF(OR(VALUE(H1487)&lt;0,VALUE(H1487)&gt;110),"Invalid","Valid"),"Check Format"))</f>
        <v>Valid</v>
      </c>
      <c r="U1487">
        <f>IF(Raw_Data[[#This Row],[Age_Check]]="Valid",H1487,"")</f>
        <v>73</v>
      </c>
      <c r="V1487" t="str">
        <f>IF(OR(K1487="",UPPER(TRIM(K1487&amp;""))="",LOWER(TRIM(K1487&amp;""))="",LOWER(TRIM(K1487&amp;""))="",LOWER(TRIM(K1487&amp;""))="missing"),"Missing/",IFERROR(IF(VALUE(K1487)&lt;0,"Invalid","Valid"),"Check Format"))</f>
        <v>Valid</v>
      </c>
      <c r="W1487" t="str">
        <f>IF(OR(E1487="",F1487=""),"Missing Date/Time",IFERROR(IF(F1487&gt;E1487,"Arrival After Appointment","OK"),"Check Format"))</f>
        <v>OK</v>
      </c>
      <c r="X1487" t="str">
        <f>IF(OR(F1487="",G1487=""),"Missing Date/Time",IFERROR(IF(G1487&lt;F1487,"Discharge Before Arrival","OK"),"Check Format"))</f>
        <v>OK</v>
      </c>
    </row>
    <row r="1488" spans="1:24" x14ac:dyDescent="0.25">
      <c r="A1488" s="2" t="s">
        <v>2213</v>
      </c>
      <c r="B1488" s="2" t="s">
        <v>138</v>
      </c>
      <c r="C1488" s="3" t="s">
        <v>19</v>
      </c>
      <c r="D1488" s="3" t="s">
        <v>209</v>
      </c>
      <c r="E1488" s="4">
        <v>45476.71875</v>
      </c>
      <c r="F1488" s="4">
        <v>45476.705555555556</v>
      </c>
      <c r="G1488" s="4">
        <v>45476.777777777781</v>
      </c>
      <c r="H1488" s="5">
        <v>30</v>
      </c>
      <c r="I1488" s="3" t="s">
        <v>95</v>
      </c>
      <c r="J1488" s="3" t="s">
        <v>150</v>
      </c>
      <c r="K1488" s="5">
        <v>64</v>
      </c>
      <c r="L1488" s="5">
        <v>21</v>
      </c>
      <c r="M1488" s="3" t="s">
        <v>68</v>
      </c>
      <c r="N1488" t="s">
        <v>100</v>
      </c>
      <c r="O1488" s="5">
        <v>3</v>
      </c>
      <c r="P1488" s="3" t="s">
        <v>25</v>
      </c>
      <c r="Q1488" s="2">
        <v>112.65</v>
      </c>
      <c r="R1488" s="3" t="s">
        <v>58</v>
      </c>
      <c r="S1488">
        <f>COUNTIF(A:A,A1488)</f>
        <v>1</v>
      </c>
      <c r="T1488" t="str">
        <f>IF(OR(H1488="",LOWER(TRIM(H1488&amp;""))="missing",LOWER(TRIM(H1488&amp;""))=""),"Missing/",IFERROR(IF(OR(VALUE(H1488)&lt;0,VALUE(H1488)&gt;110),"Invalid","Valid"),"Check Format"))</f>
        <v>Valid</v>
      </c>
      <c r="U1488">
        <f>IF(Raw_Data[[#This Row],[Age_Check]]="Valid",H1488,"")</f>
        <v>30</v>
      </c>
      <c r="V1488" t="str">
        <f>IF(OR(K1488="",UPPER(TRIM(K1488&amp;""))="",LOWER(TRIM(K1488&amp;""))="",LOWER(TRIM(K1488&amp;""))="",LOWER(TRIM(K1488&amp;""))="missing"),"Missing/",IFERROR(IF(VALUE(K1488)&lt;0,"Invalid","Valid"),"Check Format"))</f>
        <v>Valid</v>
      </c>
      <c r="W1488" t="str">
        <f>IF(OR(E1488="",F1488=""),"Missing Date/Time",IFERROR(IF(F1488&gt;E1488,"Arrival After Appointment","OK"),"Check Format"))</f>
        <v>OK</v>
      </c>
      <c r="X1488" t="str">
        <f>IF(OR(F1488="",G1488=""),"Missing Date/Time",IFERROR(IF(G1488&lt;F1488,"Discharge Before Arrival","OK"),"Check Format"))</f>
        <v>OK</v>
      </c>
    </row>
    <row r="1489" spans="1:24" x14ac:dyDescent="0.25">
      <c r="A1489" s="2" t="s">
        <v>2214</v>
      </c>
      <c r="B1489" s="2" t="s">
        <v>120</v>
      </c>
      <c r="C1489" s="3" t="s">
        <v>46</v>
      </c>
      <c r="D1489" s="3" t="s">
        <v>30</v>
      </c>
      <c r="E1489" s="4">
        <v>45963.315972222219</v>
      </c>
      <c r="F1489" s="4">
        <v>45963.301388888889</v>
      </c>
      <c r="G1489" s="4">
        <v>45963.343055555553</v>
      </c>
      <c r="H1489" s="5">
        <v>51</v>
      </c>
      <c r="I1489" s="3" t="s">
        <v>39</v>
      </c>
      <c r="J1489" s="3" t="s">
        <v>62</v>
      </c>
      <c r="K1489" s="5">
        <v>33</v>
      </c>
      <c r="L1489" s="5">
        <v>6</v>
      </c>
      <c r="M1489" s="3" t="s">
        <v>32</v>
      </c>
      <c r="N1489" t="s">
        <v>69</v>
      </c>
      <c r="P1489" s="3" t="s">
        <v>80</v>
      </c>
      <c r="Q1489" s="2">
        <v>156.66999999999999</v>
      </c>
      <c r="R1489" s="3" t="s">
        <v>58</v>
      </c>
      <c r="S1489">
        <f>COUNTIF(A:A,A1489)</f>
        <v>1</v>
      </c>
      <c r="T1489" t="str">
        <f>IF(OR(H1489="",LOWER(TRIM(H1489&amp;""))="missing",LOWER(TRIM(H1489&amp;""))=""),"Missing/",IFERROR(IF(OR(VALUE(H1489)&lt;0,VALUE(H1489)&gt;110),"Invalid","Valid"),"Check Format"))</f>
        <v>Valid</v>
      </c>
      <c r="U1489">
        <f>IF(Raw_Data[[#This Row],[Age_Check]]="Valid",H1489,"")</f>
        <v>51</v>
      </c>
      <c r="V1489" t="str">
        <f>IF(OR(K1489="",UPPER(TRIM(K1489&amp;""))="",LOWER(TRIM(K1489&amp;""))="",LOWER(TRIM(K1489&amp;""))="",LOWER(TRIM(K1489&amp;""))="missing"),"Missing/",IFERROR(IF(VALUE(K1489)&lt;0,"Invalid","Valid"),"Check Format"))</f>
        <v>Valid</v>
      </c>
      <c r="W1489" t="str">
        <f>IF(OR(E1489="",F1489=""),"Missing Date/Time",IFERROR(IF(F1489&gt;E1489,"Arrival After Appointment","OK"),"Check Format"))</f>
        <v>OK</v>
      </c>
      <c r="X1489" t="str">
        <f>IF(OR(F1489="",G1489=""),"Missing Date/Time",IFERROR(IF(G1489&lt;F1489,"Discharge Before Arrival","OK"),"Check Format"))</f>
        <v>OK</v>
      </c>
    </row>
    <row r="1490" spans="1:24" x14ac:dyDescent="0.25">
      <c r="A1490" s="2" t="s">
        <v>2215</v>
      </c>
      <c r="B1490" s="2" t="s">
        <v>385</v>
      </c>
      <c r="C1490" s="3" t="s">
        <v>46</v>
      </c>
      <c r="D1490" s="3" t="s">
        <v>115</v>
      </c>
      <c r="E1490" s="4" t="s">
        <v>2216</v>
      </c>
      <c r="F1490" s="4">
        <v>45884.5</v>
      </c>
      <c r="G1490" s="4">
        <v>45884.586111111108</v>
      </c>
      <c r="I1490" s="3" t="s">
        <v>73</v>
      </c>
      <c r="J1490" s="3" t="s">
        <v>22</v>
      </c>
      <c r="K1490" s="5">
        <v>78</v>
      </c>
      <c r="L1490" s="5">
        <v>41</v>
      </c>
      <c r="M1490" s="3" t="s">
        <v>50</v>
      </c>
      <c r="N1490" t="s">
        <v>24</v>
      </c>
      <c r="O1490" s="5">
        <v>6</v>
      </c>
      <c r="P1490" s="3" t="s">
        <v>25</v>
      </c>
      <c r="Q1490" s="2">
        <v>210.59</v>
      </c>
      <c r="R1490" s="3" t="s">
        <v>58</v>
      </c>
      <c r="S1490">
        <f>COUNTIF(A:A,A1490)</f>
        <v>1</v>
      </c>
      <c r="T1490" t="str">
        <f>IF(OR(H1490="",LOWER(TRIM(H1490&amp;""))="missing",LOWER(TRIM(H1490&amp;""))=""),"Missing/",IFERROR(IF(OR(VALUE(H1490)&lt;0,VALUE(H1490)&gt;110),"Invalid","Valid"),"Check Format"))</f>
        <v>Missing/</v>
      </c>
      <c r="U1490" t="str">
        <f>IF(Raw_Data[[#This Row],[Age_Check]]="Valid",H1490,"")</f>
        <v/>
      </c>
      <c r="V1490" t="str">
        <f>IF(OR(K1490="",UPPER(TRIM(K1490&amp;""))="",LOWER(TRIM(K1490&amp;""))="",LOWER(TRIM(K1490&amp;""))="",LOWER(TRIM(K1490&amp;""))="missing"),"Missing/",IFERROR(IF(VALUE(K1490)&lt;0,"Invalid","Valid"),"Check Format"))</f>
        <v>Valid</v>
      </c>
      <c r="W1490" t="str">
        <f>IF(OR(E1490="",F1490=""),"Missing Date/Time",IFERROR(IF(F1490&gt;E1490,"Arrival After Appointment","OK"),"Check Format"))</f>
        <v>OK</v>
      </c>
      <c r="X1490" t="str">
        <f>IF(OR(F1490="",G1490=""),"Missing Date/Time",IFERROR(IF(G1490&lt;F1490,"Discharge Before Arrival","OK"),"Check Format"))</f>
        <v>OK</v>
      </c>
    </row>
    <row r="1491" spans="1:24" x14ac:dyDescent="0.25">
      <c r="A1491" s="2" t="s">
        <v>2217</v>
      </c>
      <c r="B1491" s="2" t="s">
        <v>359</v>
      </c>
      <c r="C1491" s="3" t="s">
        <v>29</v>
      </c>
      <c r="D1491" s="3" t="s">
        <v>23</v>
      </c>
      <c r="E1491" s="4">
        <v>45404.788194444445</v>
      </c>
      <c r="F1491" s="4">
        <v>45404.783333333333</v>
      </c>
      <c r="G1491" s="4">
        <v>45404.851388888892</v>
      </c>
      <c r="I1491" s="3" t="s">
        <v>39</v>
      </c>
      <c r="J1491" s="3" t="s">
        <v>62</v>
      </c>
      <c r="K1491" s="5">
        <v>69</v>
      </c>
      <c r="L1491" s="5">
        <v>22</v>
      </c>
      <c r="M1491" s="3" t="s">
        <v>87</v>
      </c>
      <c r="N1491" t="s">
        <v>91</v>
      </c>
      <c r="O1491" s="5">
        <v>1</v>
      </c>
      <c r="P1491" s="3" t="s">
        <v>80</v>
      </c>
      <c r="Q1491" s="2">
        <v>212.17</v>
      </c>
      <c r="R1491" s="3" t="s">
        <v>43</v>
      </c>
      <c r="S1491">
        <f>COUNTIF(A:A,A1491)</f>
        <v>1</v>
      </c>
      <c r="T1491" t="str">
        <f>IF(OR(H1491="",LOWER(TRIM(H1491&amp;""))="missing",LOWER(TRIM(H1491&amp;""))=""),"Missing/",IFERROR(IF(OR(VALUE(H1491)&lt;0,VALUE(H1491)&gt;110),"Invalid","Valid"),"Check Format"))</f>
        <v>Missing/</v>
      </c>
      <c r="U1491" t="str">
        <f>IF(Raw_Data[[#This Row],[Age_Check]]="Valid",H1491,"")</f>
        <v/>
      </c>
      <c r="V1491" t="str">
        <f>IF(OR(K1491="",UPPER(TRIM(K1491&amp;""))="",LOWER(TRIM(K1491&amp;""))="",LOWER(TRIM(K1491&amp;""))="",LOWER(TRIM(K1491&amp;""))="missing"),"Missing/",IFERROR(IF(VALUE(K1491)&lt;0,"Invalid","Valid"),"Check Format"))</f>
        <v>Valid</v>
      </c>
      <c r="W1491" t="str">
        <f>IF(OR(E1491="",F1491=""),"Missing Date/Time",IFERROR(IF(F1491&gt;E1491,"Arrival After Appointment","OK"),"Check Format"))</f>
        <v>OK</v>
      </c>
      <c r="X1491" t="str">
        <f>IF(OR(F1491="",G1491=""),"Missing Date/Time",IFERROR(IF(G1491&lt;F1491,"Discharge Before Arrival","OK"),"Check Format"))</f>
        <v>OK</v>
      </c>
    </row>
    <row r="1492" spans="1:24" x14ac:dyDescent="0.25">
      <c r="A1492" s="2" t="s">
        <v>2218</v>
      </c>
      <c r="B1492" s="2" t="s">
        <v>721</v>
      </c>
      <c r="C1492" s="3" t="s">
        <v>94</v>
      </c>
      <c r="D1492" s="3" t="s">
        <v>106</v>
      </c>
      <c r="E1492" s="4">
        <v>46010.611111111109</v>
      </c>
      <c r="F1492" s="4">
        <v>46010.593055555553</v>
      </c>
      <c r="G1492" s="4">
        <v>46010.628472222219</v>
      </c>
      <c r="H1492" s="5">
        <v>17</v>
      </c>
      <c r="I1492" s="3" t="s">
        <v>73</v>
      </c>
      <c r="J1492" s="3" t="s">
        <v>62</v>
      </c>
      <c r="K1492" s="5">
        <v>10</v>
      </c>
      <c r="L1492" s="5">
        <v>15</v>
      </c>
      <c r="M1492" s="3" t="s">
        <v>23</v>
      </c>
      <c r="O1492" s="5">
        <v>5</v>
      </c>
      <c r="P1492" s="3" t="s">
        <v>25</v>
      </c>
      <c r="Q1492" s="2">
        <v>67.86</v>
      </c>
      <c r="R1492" s="3" t="s">
        <v>75</v>
      </c>
      <c r="S1492">
        <f>COUNTIF(A:A,A1492)</f>
        <v>1</v>
      </c>
      <c r="T1492" t="str">
        <f>IF(OR(H1492="",LOWER(TRIM(H1492&amp;""))="missing",LOWER(TRIM(H1492&amp;""))=""),"Missing/",IFERROR(IF(OR(VALUE(H1492)&lt;0,VALUE(H1492)&gt;110),"Invalid","Valid"),"Check Format"))</f>
        <v>Valid</v>
      </c>
      <c r="U1492">
        <f>IF(Raw_Data[[#This Row],[Age_Check]]="Valid",H1492,"")</f>
        <v>17</v>
      </c>
      <c r="V1492" t="str">
        <f>IF(OR(K1492="",UPPER(TRIM(K1492&amp;""))="",LOWER(TRIM(K1492&amp;""))="",LOWER(TRIM(K1492&amp;""))="",LOWER(TRIM(K1492&amp;""))="missing"),"Missing/",IFERROR(IF(VALUE(K1492)&lt;0,"Invalid","Valid"),"Check Format"))</f>
        <v>Valid</v>
      </c>
      <c r="W1492" t="str">
        <f>IF(OR(E1492="",F1492=""),"Missing Date/Time",IFERROR(IF(F1492&gt;E1492,"Arrival After Appointment","OK"),"Check Format"))</f>
        <v>OK</v>
      </c>
      <c r="X1492" t="str">
        <f>IF(OR(F1492="",G1492=""),"Missing Date/Time",IFERROR(IF(G1492&lt;F1492,"Discharge Before Arrival","OK"),"Check Format"))</f>
        <v>OK</v>
      </c>
    </row>
    <row r="1493" spans="1:24" x14ac:dyDescent="0.25">
      <c r="A1493" s="2" t="s">
        <v>2219</v>
      </c>
      <c r="B1493" s="2" t="s">
        <v>526</v>
      </c>
      <c r="C1493" s="3" t="s">
        <v>29</v>
      </c>
      <c r="D1493" s="3" t="s">
        <v>209</v>
      </c>
      <c r="E1493" s="4">
        <v>45619.378472222219</v>
      </c>
      <c r="F1493" s="4">
        <v>45619.369444444441</v>
      </c>
      <c r="G1493" s="4">
        <v>45619.477777777778</v>
      </c>
      <c r="H1493" s="5">
        <v>63</v>
      </c>
      <c r="I1493" s="3" t="s">
        <v>73</v>
      </c>
      <c r="J1493" s="3" t="s">
        <v>62</v>
      </c>
      <c r="K1493" s="5">
        <v>95</v>
      </c>
      <c r="L1493" s="5">
        <v>48</v>
      </c>
      <c r="M1493" s="3" t="s">
        <v>63</v>
      </c>
      <c r="O1493" s="5">
        <v>2</v>
      </c>
      <c r="P1493" s="3" t="s">
        <v>25</v>
      </c>
      <c r="Q1493" s="2">
        <v>183.98</v>
      </c>
      <c r="R1493" s="3" t="s">
        <v>26</v>
      </c>
      <c r="S1493">
        <f>COUNTIF(A:A,A1493)</f>
        <v>1</v>
      </c>
      <c r="T1493" t="str">
        <f>IF(OR(H1493="",LOWER(TRIM(H1493&amp;""))="missing",LOWER(TRIM(H1493&amp;""))=""),"Missing/",IFERROR(IF(OR(VALUE(H1493)&lt;0,VALUE(H1493)&gt;110),"Invalid","Valid"),"Check Format"))</f>
        <v>Valid</v>
      </c>
      <c r="U1493">
        <f>IF(Raw_Data[[#This Row],[Age_Check]]="Valid",H1493,"")</f>
        <v>63</v>
      </c>
      <c r="V1493" t="str">
        <f>IF(OR(K1493="",UPPER(TRIM(K1493&amp;""))="",LOWER(TRIM(K1493&amp;""))="",LOWER(TRIM(K1493&amp;""))="",LOWER(TRIM(K1493&amp;""))="missing"),"Missing/",IFERROR(IF(VALUE(K1493)&lt;0,"Invalid","Valid"),"Check Format"))</f>
        <v>Valid</v>
      </c>
      <c r="W1493" t="str">
        <f>IF(OR(E1493="",F1493=""),"Missing Date/Time",IFERROR(IF(F1493&gt;E1493,"Arrival After Appointment","OK"),"Check Format"))</f>
        <v>OK</v>
      </c>
      <c r="X1493" t="str">
        <f>IF(OR(F1493="",G1493=""),"Missing Date/Time",IFERROR(IF(G1493&lt;F1493,"Discharge Before Arrival","OK"),"Check Format"))</f>
        <v>OK</v>
      </c>
    </row>
    <row r="1494" spans="1:24" x14ac:dyDescent="0.25">
      <c r="A1494" s="2" t="s">
        <v>2220</v>
      </c>
      <c r="B1494" s="2" t="s">
        <v>1500</v>
      </c>
      <c r="C1494" s="3" t="s">
        <v>19</v>
      </c>
      <c r="D1494" s="3" t="s">
        <v>47</v>
      </c>
      <c r="E1494" s="4">
        <v>45734.767361111109</v>
      </c>
      <c r="F1494" s="4">
        <v>45734.767361111109</v>
      </c>
      <c r="G1494" s="4">
        <v>45734.844444444447</v>
      </c>
      <c r="H1494" s="5">
        <v>145</v>
      </c>
      <c r="I1494" s="3" t="s">
        <v>39</v>
      </c>
      <c r="J1494" s="3" t="s">
        <v>22</v>
      </c>
      <c r="K1494" s="5">
        <v>95</v>
      </c>
      <c r="L1494" s="5">
        <v>16</v>
      </c>
      <c r="M1494" s="3" t="s">
        <v>23</v>
      </c>
      <c r="N1494" t="s">
        <v>74</v>
      </c>
      <c r="O1494" s="5">
        <v>1</v>
      </c>
      <c r="P1494" s="3" t="s">
        <v>25</v>
      </c>
      <c r="Q1494" s="2">
        <v>172.89</v>
      </c>
      <c r="R1494" s="3" t="s">
        <v>58</v>
      </c>
      <c r="S1494">
        <f>COUNTIF(A:A,A1494)</f>
        <v>1</v>
      </c>
      <c r="T1494" t="str">
        <f>IF(OR(H1494="",LOWER(TRIM(H1494&amp;""))="missing",LOWER(TRIM(H1494&amp;""))=""),"Missing/",IFERROR(IF(OR(VALUE(H1494)&lt;0,VALUE(H1494)&gt;110),"Invalid","Valid"),"Check Format"))</f>
        <v>Invalid</v>
      </c>
      <c r="U1494" t="str">
        <f>IF(Raw_Data[[#This Row],[Age_Check]]="Valid",H1494,"")</f>
        <v/>
      </c>
      <c r="V1494" t="str">
        <f>IF(OR(K1494="",UPPER(TRIM(K1494&amp;""))="",LOWER(TRIM(K1494&amp;""))="",LOWER(TRIM(K1494&amp;""))="",LOWER(TRIM(K1494&amp;""))="missing"),"Missing/",IFERROR(IF(VALUE(K1494)&lt;0,"Invalid","Valid"),"Check Format"))</f>
        <v>Valid</v>
      </c>
      <c r="W1494" t="str">
        <f>IF(OR(E1494="",F1494=""),"Missing Date/Time",IFERROR(IF(F1494&gt;E1494,"Arrival After Appointment","OK"),"Check Format"))</f>
        <v>OK</v>
      </c>
      <c r="X1494" t="str">
        <f>IF(OR(F1494="",G1494=""),"Missing Date/Time",IFERROR(IF(G1494&lt;F1494,"Discharge Before Arrival","OK"),"Check Format"))</f>
        <v>OK</v>
      </c>
    </row>
    <row r="1495" spans="1:24" x14ac:dyDescent="0.25">
      <c r="A1495" s="2" t="s">
        <v>2221</v>
      </c>
      <c r="B1495" s="2" t="s">
        <v>190</v>
      </c>
      <c r="D1495" s="3" t="s">
        <v>72</v>
      </c>
      <c r="E1495" s="4">
        <v>45338.402777777781</v>
      </c>
      <c r="F1495" s="4">
        <v>45338.388888888891</v>
      </c>
      <c r="G1495" s="4">
        <v>45338.472222222219</v>
      </c>
      <c r="H1495" s="5">
        <v>24</v>
      </c>
      <c r="I1495" s="3" t="s">
        <v>90</v>
      </c>
      <c r="J1495" s="3" t="s">
        <v>22</v>
      </c>
      <c r="K1495" s="5">
        <v>53</v>
      </c>
      <c r="L1495" s="5">
        <v>47</v>
      </c>
      <c r="M1495" s="3" t="s">
        <v>32</v>
      </c>
      <c r="N1495" t="s">
        <v>74</v>
      </c>
      <c r="O1495" s="5">
        <v>2</v>
      </c>
      <c r="P1495" s="3" t="s">
        <v>25</v>
      </c>
      <c r="Q1495" s="2">
        <v>135.78</v>
      </c>
      <c r="R1495" s="3" t="s">
        <v>75</v>
      </c>
      <c r="S1495">
        <f>COUNTIF(A:A,A1495)</f>
        <v>1</v>
      </c>
      <c r="T1495" t="str">
        <f>IF(OR(H1495="",LOWER(TRIM(H1495&amp;""))="missing",LOWER(TRIM(H1495&amp;""))=""),"Missing/",IFERROR(IF(OR(VALUE(H1495)&lt;0,VALUE(H1495)&gt;110),"Invalid","Valid"),"Check Format"))</f>
        <v>Valid</v>
      </c>
      <c r="U1495">
        <f>IF(Raw_Data[[#This Row],[Age_Check]]="Valid",H1495,"")</f>
        <v>24</v>
      </c>
      <c r="V1495" t="str">
        <f>IF(OR(K1495="",UPPER(TRIM(K1495&amp;""))="",LOWER(TRIM(K1495&amp;""))="",LOWER(TRIM(K1495&amp;""))="",LOWER(TRIM(K1495&amp;""))="missing"),"Missing/",IFERROR(IF(VALUE(K1495)&lt;0,"Invalid","Valid"),"Check Format"))</f>
        <v>Valid</v>
      </c>
      <c r="W1495" t="str">
        <f>IF(OR(E1495="",F1495=""),"Missing Date/Time",IFERROR(IF(F1495&gt;E1495,"Arrival After Appointment","OK"),"Check Format"))</f>
        <v>OK</v>
      </c>
      <c r="X1495" t="str">
        <f>IF(OR(F1495="",G1495=""),"Missing Date/Time",IFERROR(IF(G1495&lt;F1495,"Discharge Before Arrival","OK"),"Check Format"))</f>
        <v>OK</v>
      </c>
    </row>
    <row r="1496" spans="1:24" x14ac:dyDescent="0.25">
      <c r="A1496" s="2" t="s">
        <v>2222</v>
      </c>
      <c r="B1496" s="2" t="s">
        <v>710</v>
      </c>
      <c r="C1496" s="3" t="s">
        <v>46</v>
      </c>
      <c r="D1496" s="3" t="s">
        <v>23</v>
      </c>
      <c r="E1496" s="4">
        <v>45606.465277777781</v>
      </c>
      <c r="F1496" s="4">
        <v>45606.459027777775</v>
      </c>
      <c r="G1496" s="4">
        <v>45606.524305555555</v>
      </c>
      <c r="H1496" s="5">
        <v>0</v>
      </c>
      <c r="I1496" s="3" t="s">
        <v>90</v>
      </c>
      <c r="J1496" s="3" t="s">
        <v>62</v>
      </c>
      <c r="K1496" s="5">
        <v>44</v>
      </c>
      <c r="L1496" s="5">
        <v>41</v>
      </c>
      <c r="M1496" s="3" t="s">
        <v>23</v>
      </c>
      <c r="N1496" t="s">
        <v>24</v>
      </c>
      <c r="P1496" s="3" t="s">
        <v>25</v>
      </c>
      <c r="Q1496" s="2">
        <v>215.09</v>
      </c>
      <c r="R1496" s="3" t="s">
        <v>58</v>
      </c>
      <c r="S1496">
        <f>COUNTIF(A:A,A1496)</f>
        <v>1</v>
      </c>
      <c r="T1496" t="str">
        <f>IF(OR(H1496="",LOWER(TRIM(H1496&amp;""))="missing",LOWER(TRIM(H1496&amp;""))=""),"Missing/",IFERROR(IF(OR(VALUE(H1496)&lt;0,VALUE(H1496)&gt;110),"Invalid","Valid"),"Check Format"))</f>
        <v>Valid</v>
      </c>
      <c r="U1496">
        <f>IF(Raw_Data[[#This Row],[Age_Check]]="Valid",H1496,"")</f>
        <v>0</v>
      </c>
      <c r="V1496" t="str">
        <f>IF(OR(K1496="",UPPER(TRIM(K1496&amp;""))="",LOWER(TRIM(K1496&amp;""))="",LOWER(TRIM(K1496&amp;""))="",LOWER(TRIM(K1496&amp;""))="missing"),"Missing/",IFERROR(IF(VALUE(K1496)&lt;0,"Invalid","Valid"),"Check Format"))</f>
        <v>Valid</v>
      </c>
      <c r="W1496" t="str">
        <f>IF(OR(E1496="",F1496=""),"Missing Date/Time",IFERROR(IF(F1496&gt;E1496,"Arrival After Appointment","OK"),"Check Format"))</f>
        <v>OK</v>
      </c>
      <c r="X1496" t="str">
        <f>IF(OR(F1496="",G1496=""),"Missing Date/Time",IFERROR(IF(G1496&lt;F1496,"Discharge Before Arrival","OK"),"Check Format"))</f>
        <v>OK</v>
      </c>
    </row>
    <row r="1497" spans="1:24" x14ac:dyDescent="0.25">
      <c r="A1497" s="2" t="s">
        <v>2223</v>
      </c>
      <c r="B1497" s="2" t="s">
        <v>1914</v>
      </c>
      <c r="C1497" s="3" t="s">
        <v>94</v>
      </c>
      <c r="D1497" s="3" t="s">
        <v>47</v>
      </c>
      <c r="E1497" s="4">
        <v>45442.743055555555</v>
      </c>
      <c r="F1497" s="4">
        <v>45442.727777777778</v>
      </c>
      <c r="G1497" s="4">
        <v>45442.787499999999</v>
      </c>
      <c r="I1497" s="3" t="s">
        <v>95</v>
      </c>
      <c r="J1497" s="3" t="s">
        <v>171</v>
      </c>
      <c r="K1497" s="5">
        <v>34</v>
      </c>
      <c r="L1497" s="5">
        <v>30</v>
      </c>
      <c r="M1497" s="3" t="s">
        <v>23</v>
      </c>
      <c r="O1497" s="5">
        <v>6</v>
      </c>
      <c r="P1497" s="3" t="s">
        <v>25</v>
      </c>
      <c r="Q1497" s="2">
        <v>60.32</v>
      </c>
      <c r="R1497" s="3" t="s">
        <v>26</v>
      </c>
      <c r="S1497">
        <f>COUNTIF(A:A,A1497)</f>
        <v>1</v>
      </c>
      <c r="T1497" t="str">
        <f>IF(OR(H1497="",LOWER(TRIM(H1497&amp;""))="missing",LOWER(TRIM(H1497&amp;""))=""),"Missing/",IFERROR(IF(OR(VALUE(H1497)&lt;0,VALUE(H1497)&gt;110),"Invalid","Valid"),"Check Format"))</f>
        <v>Missing/</v>
      </c>
      <c r="U1497" t="str">
        <f>IF(Raw_Data[[#This Row],[Age_Check]]="Valid",H1497,"")</f>
        <v/>
      </c>
      <c r="V1497" t="str">
        <f>IF(OR(K1497="",UPPER(TRIM(K1497&amp;""))="",LOWER(TRIM(K1497&amp;""))="",LOWER(TRIM(K1497&amp;""))="",LOWER(TRIM(K1497&amp;""))="missing"),"Missing/",IFERROR(IF(VALUE(K1497)&lt;0,"Invalid","Valid"),"Check Format"))</f>
        <v>Valid</v>
      </c>
      <c r="W1497" t="str">
        <f>IF(OR(E1497="",F1497=""),"Missing Date/Time",IFERROR(IF(F1497&gt;E1497,"Arrival After Appointment","OK"),"Check Format"))</f>
        <v>OK</v>
      </c>
      <c r="X1497" t="str">
        <f>IF(OR(F1497="",G1497=""),"Missing Date/Time",IFERROR(IF(G1497&lt;F1497,"Discharge Before Arrival","OK"),"Check Format"))</f>
        <v>OK</v>
      </c>
    </row>
    <row r="1498" spans="1:24" x14ac:dyDescent="0.25">
      <c r="A1498" s="2" t="s">
        <v>2224</v>
      </c>
      <c r="B1498" s="2" t="s">
        <v>1117</v>
      </c>
      <c r="D1498" s="3" t="s">
        <v>106</v>
      </c>
      <c r="E1498" s="4">
        <v>45779.774305555555</v>
      </c>
      <c r="F1498" s="4">
        <v>45779.772916666669</v>
      </c>
      <c r="H1498" s="5">
        <v>145</v>
      </c>
      <c r="I1498" s="3" t="s">
        <v>73</v>
      </c>
      <c r="J1498" s="3" t="s">
        <v>150</v>
      </c>
      <c r="K1498" s="5">
        <v>0</v>
      </c>
      <c r="L1498" s="5">
        <v>35</v>
      </c>
      <c r="M1498" s="3" t="s">
        <v>50</v>
      </c>
      <c r="O1498" s="5">
        <v>4</v>
      </c>
      <c r="P1498" s="3" t="s">
        <v>25</v>
      </c>
      <c r="Q1498" s="2">
        <v>193.71</v>
      </c>
      <c r="R1498" s="3" t="s">
        <v>43</v>
      </c>
      <c r="S1498">
        <f>COUNTIF(A:A,A1498)</f>
        <v>1</v>
      </c>
      <c r="T1498" t="str">
        <f>IF(OR(H1498="",LOWER(TRIM(H1498&amp;""))="missing",LOWER(TRIM(H1498&amp;""))=""),"Missing/",IFERROR(IF(OR(VALUE(H1498)&lt;0,VALUE(H1498)&gt;110),"Invalid","Valid"),"Check Format"))</f>
        <v>Invalid</v>
      </c>
      <c r="U1498" t="str">
        <f>IF(Raw_Data[[#This Row],[Age_Check]]="Valid",H1498,"")</f>
        <v/>
      </c>
      <c r="V1498" t="str">
        <f>IF(OR(K1498="",UPPER(TRIM(K1498&amp;""))="",LOWER(TRIM(K1498&amp;""))="",LOWER(TRIM(K1498&amp;""))="",LOWER(TRIM(K1498&amp;""))="missing"),"Missing/",IFERROR(IF(VALUE(K1498)&lt;0,"Invalid","Valid"),"Check Format"))</f>
        <v>Valid</v>
      </c>
      <c r="W1498" t="str">
        <f>IF(OR(E1498="",F1498=""),"Missing Date/Time",IFERROR(IF(F1498&gt;E1498,"Arrival After Appointment","OK"),"Check Format"))</f>
        <v>OK</v>
      </c>
      <c r="X1498" t="str">
        <f>IF(OR(F1498="",G1498=""),"Missing Date/Time",IFERROR(IF(G1498&lt;F1498,"Discharge Before Arrival","OK"),"Check Format"))</f>
        <v>Missing Date/Time</v>
      </c>
    </row>
    <row r="1499" spans="1:24" x14ac:dyDescent="0.25">
      <c r="A1499" s="2" t="s">
        <v>2225</v>
      </c>
      <c r="B1499" s="2" t="s">
        <v>18</v>
      </c>
      <c r="D1499" s="3" t="s">
        <v>72</v>
      </c>
      <c r="E1499" s="4">
        <v>45618.538194444445</v>
      </c>
      <c r="F1499" s="4">
        <v>45618.533333333333</v>
      </c>
      <c r="G1499" s="4">
        <v>45618.588194444441</v>
      </c>
      <c r="I1499" s="3" t="s">
        <v>95</v>
      </c>
      <c r="K1499" s="5">
        <v>67</v>
      </c>
      <c r="L1499" s="5">
        <v>5</v>
      </c>
      <c r="M1499" s="3" t="s">
        <v>32</v>
      </c>
      <c r="P1499" s="3" t="s">
        <v>42</v>
      </c>
      <c r="R1499" s="3" t="s">
        <v>58</v>
      </c>
      <c r="S1499">
        <f>COUNTIF(A:A,A1499)</f>
        <v>1</v>
      </c>
      <c r="T1499" t="str">
        <f>IF(OR(H1499="",LOWER(TRIM(H1499&amp;""))="missing",LOWER(TRIM(H1499&amp;""))=""),"Missing/",IFERROR(IF(OR(VALUE(H1499)&lt;0,VALUE(H1499)&gt;110),"Invalid","Valid"),"Check Format"))</f>
        <v>Missing/</v>
      </c>
      <c r="U1499" t="str">
        <f>IF(Raw_Data[[#This Row],[Age_Check]]="Valid",H1499,"")</f>
        <v/>
      </c>
      <c r="V1499" t="str">
        <f>IF(OR(K1499="",UPPER(TRIM(K1499&amp;""))="",LOWER(TRIM(K1499&amp;""))="",LOWER(TRIM(K1499&amp;""))="",LOWER(TRIM(K1499&amp;""))="missing"),"Missing/",IFERROR(IF(VALUE(K1499)&lt;0,"Invalid","Valid"),"Check Format"))</f>
        <v>Valid</v>
      </c>
      <c r="W1499" t="str">
        <f>IF(OR(E1499="",F1499=""),"Missing Date/Time",IFERROR(IF(F1499&gt;E1499,"Arrival After Appointment","OK"),"Check Format"))</f>
        <v>OK</v>
      </c>
      <c r="X1499" t="str">
        <f>IF(OR(F1499="",G1499=""),"Missing Date/Time",IFERROR(IF(G1499&lt;F1499,"Discharge Before Arrival","OK"),"Check Format"))</f>
        <v>OK</v>
      </c>
    </row>
    <row r="1500" spans="1:24" x14ac:dyDescent="0.25">
      <c r="A1500" s="2" t="s">
        <v>2226</v>
      </c>
      <c r="B1500" s="2" t="s">
        <v>1160</v>
      </c>
      <c r="C1500" s="3" t="s">
        <v>94</v>
      </c>
      <c r="D1500" s="3" t="s">
        <v>38</v>
      </c>
      <c r="E1500" s="4">
        <v>45424.677083333336</v>
      </c>
      <c r="F1500" s="4">
        <v>45631.676388888889</v>
      </c>
      <c r="G1500" s="4">
        <v>45631.711805555555</v>
      </c>
      <c r="H1500" s="5">
        <v>145</v>
      </c>
      <c r="I1500" s="3" t="s">
        <v>73</v>
      </c>
      <c r="J1500" s="3" t="s">
        <v>62</v>
      </c>
      <c r="K1500" s="5">
        <v>45</v>
      </c>
      <c r="L1500" s="5">
        <v>5</v>
      </c>
      <c r="M1500" s="3" t="s">
        <v>50</v>
      </c>
      <c r="O1500" s="5">
        <v>2</v>
      </c>
      <c r="P1500" s="3" t="s">
        <v>42</v>
      </c>
      <c r="Q1500" s="2">
        <v>254.58</v>
      </c>
      <c r="R1500" s="3" t="s">
        <v>75</v>
      </c>
      <c r="S1500">
        <f>COUNTIF(A:A,A1500)</f>
        <v>1</v>
      </c>
      <c r="T1500" t="str">
        <f>IF(OR(H1500="",LOWER(TRIM(H1500&amp;""))="missing",LOWER(TRIM(H1500&amp;""))=""),"Missing/",IFERROR(IF(OR(VALUE(H1500)&lt;0,VALUE(H1500)&gt;110),"Invalid","Valid"),"Check Format"))</f>
        <v>Invalid</v>
      </c>
      <c r="U1500" t="str">
        <f>IF(Raw_Data[[#This Row],[Age_Check]]="Valid",H1500,"")</f>
        <v/>
      </c>
      <c r="V1500" t="str">
        <f>IF(OR(K1500="",UPPER(TRIM(K1500&amp;""))="",LOWER(TRIM(K1500&amp;""))="",LOWER(TRIM(K1500&amp;""))="",LOWER(TRIM(K1500&amp;""))="missing"),"Missing/",IFERROR(IF(VALUE(K1500)&lt;0,"Invalid","Valid"),"Check Format"))</f>
        <v>Valid</v>
      </c>
      <c r="W1500" t="str">
        <f>IF(OR(E1500="",F1500=""),"Missing Date/Time",IFERROR(IF(F1500&gt;E1500,"Arrival After Appointment","OK"),"Check Format"))</f>
        <v>Arrival After Appointment</v>
      </c>
      <c r="X1500" t="str">
        <f>IF(OR(F1500="",G1500=""),"Missing Date/Time",IFERROR(IF(G1500&lt;F1500,"Discharge Before Arrival","OK"),"Check Format"))</f>
        <v>OK</v>
      </c>
    </row>
    <row r="1501" spans="1:24" x14ac:dyDescent="0.25">
      <c r="A1501" s="2" t="s">
        <v>2227</v>
      </c>
      <c r="B1501" s="2" t="s">
        <v>811</v>
      </c>
      <c r="C1501" s="3" t="s">
        <v>29</v>
      </c>
      <c r="D1501" s="3" t="s">
        <v>23</v>
      </c>
      <c r="E1501" s="4">
        <v>45722.583333333336</v>
      </c>
      <c r="F1501" s="4">
        <v>45722.571527777778</v>
      </c>
      <c r="G1501" s="4">
        <v>45722.634027777778</v>
      </c>
      <c r="I1501" s="3" t="s">
        <v>39</v>
      </c>
      <c r="J1501" s="3" t="s">
        <v>171</v>
      </c>
      <c r="K1501" s="5">
        <v>19</v>
      </c>
      <c r="L1501" s="5">
        <v>54</v>
      </c>
      <c r="M1501" s="3" t="s">
        <v>41</v>
      </c>
      <c r="N1501" t="s">
        <v>91</v>
      </c>
      <c r="P1501" s="3" t="s">
        <v>25</v>
      </c>
      <c r="Q1501" s="2">
        <v>220.67</v>
      </c>
      <c r="R1501" s="3" t="s">
        <v>58</v>
      </c>
      <c r="S1501">
        <f>COUNTIF(A:A,A1501)</f>
        <v>1</v>
      </c>
      <c r="T1501" t="str">
        <f>IF(OR(H1501="",LOWER(TRIM(H1501&amp;""))="missing",LOWER(TRIM(H1501&amp;""))=""),"Missing/",IFERROR(IF(OR(VALUE(H1501)&lt;0,VALUE(H1501)&gt;110),"Invalid","Valid"),"Check Format"))</f>
        <v>Missing/</v>
      </c>
      <c r="U1501" t="str">
        <f>IF(Raw_Data[[#This Row],[Age_Check]]="Valid",H1501,"")</f>
        <v/>
      </c>
      <c r="V1501" t="str">
        <f>IF(OR(K1501="",UPPER(TRIM(K1501&amp;""))="",LOWER(TRIM(K1501&amp;""))="",LOWER(TRIM(K1501&amp;""))="",LOWER(TRIM(K1501&amp;""))="missing"),"Missing/",IFERROR(IF(VALUE(K1501)&lt;0,"Invalid","Valid"),"Check Format"))</f>
        <v>Valid</v>
      </c>
      <c r="W1501" t="str">
        <f>IF(OR(E1501="",F1501=""),"Missing Date/Time",IFERROR(IF(F1501&gt;E1501,"Arrival After Appointment","OK"),"Check Format"))</f>
        <v>OK</v>
      </c>
      <c r="X1501" t="str">
        <f>IF(OR(F1501="",G1501=""),"Missing Date/Time",IFERROR(IF(G1501&lt;F1501,"Discharge Before Arrival","OK"),"Check Format"))</f>
        <v>OK</v>
      </c>
    </row>
    <row r="1502" spans="1:24" x14ac:dyDescent="0.25">
      <c r="A1502" s="2" t="s">
        <v>2228</v>
      </c>
      <c r="B1502" s="2" t="s">
        <v>156</v>
      </c>
      <c r="C1502" s="3" t="s">
        <v>94</v>
      </c>
      <c r="D1502" s="3" t="s">
        <v>174</v>
      </c>
      <c r="E1502" s="4">
        <v>45899.729166666664</v>
      </c>
      <c r="F1502" s="4">
        <v>45899.711805555555</v>
      </c>
      <c r="H1502" s="5">
        <v>4</v>
      </c>
      <c r="I1502" s="3" t="s">
        <v>73</v>
      </c>
      <c r="J1502" s="3" t="s">
        <v>62</v>
      </c>
      <c r="K1502" s="5">
        <v>26</v>
      </c>
      <c r="L1502" s="5">
        <v>11</v>
      </c>
      <c r="M1502" s="3" t="s">
        <v>68</v>
      </c>
      <c r="N1502" t="s">
        <v>74</v>
      </c>
      <c r="O1502" s="5">
        <v>6</v>
      </c>
      <c r="P1502" s="3" t="s">
        <v>25</v>
      </c>
      <c r="Q1502" s="2">
        <v>173.03</v>
      </c>
      <c r="R1502" s="3" t="s">
        <v>58</v>
      </c>
      <c r="S1502">
        <f>COUNTIF(A:A,A1502)</f>
        <v>1</v>
      </c>
      <c r="T1502" t="str">
        <f>IF(OR(H1502="",LOWER(TRIM(H1502&amp;""))="missing",LOWER(TRIM(H1502&amp;""))=""),"Missing/",IFERROR(IF(OR(VALUE(H1502)&lt;0,VALUE(H1502)&gt;110),"Invalid","Valid"),"Check Format"))</f>
        <v>Valid</v>
      </c>
      <c r="U1502">
        <f>IF(Raw_Data[[#This Row],[Age_Check]]="Valid",H1502,"")</f>
        <v>4</v>
      </c>
      <c r="V1502" t="str">
        <f>IF(OR(K1502="",UPPER(TRIM(K1502&amp;""))="",LOWER(TRIM(K1502&amp;""))="",LOWER(TRIM(K1502&amp;""))="",LOWER(TRIM(K1502&amp;""))="missing"),"Missing/",IFERROR(IF(VALUE(K1502)&lt;0,"Invalid","Valid"),"Check Format"))</f>
        <v>Valid</v>
      </c>
      <c r="W1502" t="str">
        <f>IF(OR(E1502="",F1502=""),"Missing Date/Time",IFERROR(IF(F1502&gt;E1502,"Arrival After Appointment","OK"),"Check Format"))</f>
        <v>OK</v>
      </c>
      <c r="X1502" t="str">
        <f>IF(OR(F1502="",G1502=""),"Missing Date/Time",IFERROR(IF(G1502&lt;F1502,"Discharge Before Arrival","OK"),"Check Format"))</f>
        <v>Missing Date/Time</v>
      </c>
    </row>
    <row r="1503" spans="1:24" x14ac:dyDescent="0.25">
      <c r="A1503" s="2" t="s">
        <v>2229</v>
      </c>
      <c r="B1503" s="2" t="s">
        <v>1069</v>
      </c>
      <c r="C1503" s="3" t="s">
        <v>46</v>
      </c>
      <c r="D1503" s="3" t="s">
        <v>47</v>
      </c>
      <c r="E1503" s="4">
        <v>45400.774305555555</v>
      </c>
      <c r="F1503" s="4">
        <v>45400.768750000003</v>
      </c>
      <c r="J1503" s="3" t="s">
        <v>150</v>
      </c>
      <c r="K1503" s="5">
        <v>28</v>
      </c>
      <c r="L1503" s="5">
        <v>33</v>
      </c>
      <c r="N1503" t="s">
        <v>69</v>
      </c>
      <c r="O1503" s="5">
        <v>6</v>
      </c>
      <c r="P1503" s="3" t="s">
        <v>80</v>
      </c>
      <c r="Q1503" s="2">
        <v>106.37</v>
      </c>
      <c r="R1503" s="3" t="s">
        <v>75</v>
      </c>
      <c r="S1503">
        <f>COUNTIF(A:A,A1503)</f>
        <v>1</v>
      </c>
      <c r="T1503" t="str">
        <f>IF(OR(H1503="",LOWER(TRIM(H1503&amp;""))="missing",LOWER(TRIM(H1503&amp;""))=""),"Missing/",IFERROR(IF(OR(VALUE(H1503)&lt;0,VALUE(H1503)&gt;110),"Invalid","Valid"),"Check Format"))</f>
        <v>Missing/</v>
      </c>
      <c r="U1503" t="str">
        <f>IF(Raw_Data[[#This Row],[Age_Check]]="Valid",H1503,"")</f>
        <v/>
      </c>
      <c r="V1503" t="str">
        <f>IF(OR(K1503="",UPPER(TRIM(K1503&amp;""))="",LOWER(TRIM(K1503&amp;""))="",LOWER(TRIM(K1503&amp;""))="",LOWER(TRIM(K1503&amp;""))="missing"),"Missing/",IFERROR(IF(VALUE(K1503)&lt;0,"Invalid","Valid"),"Check Format"))</f>
        <v>Valid</v>
      </c>
      <c r="W1503" t="str">
        <f>IF(OR(E1503="",F1503=""),"Missing Date/Time",IFERROR(IF(F1503&gt;E1503,"Arrival After Appointment","OK"),"Check Format"))</f>
        <v>OK</v>
      </c>
      <c r="X1503" t="str">
        <f>IF(OR(F1503="",G1503=""),"Missing Date/Time",IFERROR(IF(G1503&lt;F1503,"Discharge Before Arrival","OK"),"Check Format"))</f>
        <v>Missing Date/Time</v>
      </c>
    </row>
    <row r="1504" spans="1:24" x14ac:dyDescent="0.25">
      <c r="A1504" s="2" t="s">
        <v>2230</v>
      </c>
      <c r="B1504" s="2" t="s">
        <v>1706</v>
      </c>
      <c r="C1504" s="3" t="s">
        <v>19</v>
      </c>
      <c r="D1504" s="3" t="s">
        <v>149</v>
      </c>
      <c r="E1504" s="4">
        <v>45599.583333333336</v>
      </c>
      <c r="F1504" s="4">
        <v>45599.581250000003</v>
      </c>
      <c r="G1504" s="4">
        <v>45599.586805555555</v>
      </c>
      <c r="H1504" s="5">
        <v>1</v>
      </c>
      <c r="I1504" s="3" t="s">
        <v>73</v>
      </c>
      <c r="J1504" s="3" t="s">
        <v>22</v>
      </c>
      <c r="K1504" s="5">
        <v>0</v>
      </c>
      <c r="L1504" s="5">
        <v>5</v>
      </c>
      <c r="M1504" s="3" t="s">
        <v>68</v>
      </c>
      <c r="N1504" t="s">
        <v>91</v>
      </c>
      <c r="P1504" s="3" t="s">
        <v>25</v>
      </c>
      <c r="Q1504" s="2">
        <v>163.13</v>
      </c>
      <c r="R1504" s="3" t="s">
        <v>43</v>
      </c>
      <c r="S1504">
        <f>COUNTIF(A:A,A1504)</f>
        <v>1</v>
      </c>
      <c r="T1504" t="str">
        <f>IF(OR(H1504="",LOWER(TRIM(H1504&amp;""))="missing",LOWER(TRIM(H1504&amp;""))=""),"Missing/",IFERROR(IF(OR(VALUE(H1504)&lt;0,VALUE(H1504)&gt;110),"Invalid","Valid"),"Check Format"))</f>
        <v>Valid</v>
      </c>
      <c r="U1504">
        <f>IF(Raw_Data[[#This Row],[Age_Check]]="Valid",H1504,"")</f>
        <v>1</v>
      </c>
      <c r="V1504" t="str">
        <f>IF(OR(K1504="",UPPER(TRIM(K1504&amp;""))="",LOWER(TRIM(K1504&amp;""))="",LOWER(TRIM(K1504&amp;""))="",LOWER(TRIM(K1504&amp;""))="missing"),"Missing/",IFERROR(IF(VALUE(K1504)&lt;0,"Invalid","Valid"),"Check Format"))</f>
        <v>Valid</v>
      </c>
      <c r="W1504" t="str">
        <f>IF(OR(E1504="",F1504=""),"Missing Date/Time",IFERROR(IF(F1504&gt;E1504,"Arrival After Appointment","OK"),"Check Format"))</f>
        <v>OK</v>
      </c>
      <c r="X1504" t="str">
        <f>IF(OR(F1504="",G1504=""),"Missing Date/Time",IFERROR(IF(G1504&lt;F1504,"Discharge Before Arrival","OK"),"Check Format"))</f>
        <v>OK</v>
      </c>
    </row>
    <row r="1505" spans="1:24" x14ac:dyDescent="0.25">
      <c r="A1505" s="2" t="s">
        <v>2231</v>
      </c>
      <c r="B1505" s="2" t="s">
        <v>1417</v>
      </c>
      <c r="C1505" s="3" t="s">
        <v>46</v>
      </c>
      <c r="D1505" s="3" t="s">
        <v>38</v>
      </c>
      <c r="E1505" s="4">
        <v>45607.576388888891</v>
      </c>
      <c r="F1505" s="4">
        <v>45607.5625</v>
      </c>
      <c r="G1505" s="4">
        <v>45607.618055555555</v>
      </c>
      <c r="H1505" s="5">
        <v>145</v>
      </c>
      <c r="I1505" s="3" t="s">
        <v>73</v>
      </c>
      <c r="J1505" s="3" t="s">
        <v>67</v>
      </c>
      <c r="K1505" s="5">
        <v>38</v>
      </c>
      <c r="L1505" s="5">
        <v>22</v>
      </c>
      <c r="M1505" s="3" t="s">
        <v>32</v>
      </c>
      <c r="N1505" t="s">
        <v>24</v>
      </c>
      <c r="P1505" s="3" t="s">
        <v>25</v>
      </c>
      <c r="Q1505" s="2">
        <v>200.67</v>
      </c>
      <c r="R1505" s="3" t="s">
        <v>26</v>
      </c>
      <c r="S1505">
        <f>COUNTIF(A:A,A1505)</f>
        <v>1</v>
      </c>
      <c r="T1505" t="str">
        <f>IF(OR(H1505="",LOWER(TRIM(H1505&amp;""))="missing",LOWER(TRIM(H1505&amp;""))=""),"Missing/",IFERROR(IF(OR(VALUE(H1505)&lt;0,VALUE(H1505)&gt;110),"Invalid","Valid"),"Check Format"))</f>
        <v>Invalid</v>
      </c>
      <c r="U1505" t="str">
        <f>IF(Raw_Data[[#This Row],[Age_Check]]="Valid",H1505,"")</f>
        <v/>
      </c>
      <c r="V1505" t="str">
        <f>IF(OR(K1505="",UPPER(TRIM(K1505&amp;""))="",LOWER(TRIM(K1505&amp;""))="",LOWER(TRIM(K1505&amp;""))="",LOWER(TRIM(K1505&amp;""))="missing"),"Missing/",IFERROR(IF(VALUE(K1505)&lt;0,"Invalid","Valid"),"Check Format"))</f>
        <v>Valid</v>
      </c>
      <c r="W1505" t="str">
        <f>IF(OR(E1505="",F1505=""),"Missing Date/Time",IFERROR(IF(F1505&gt;E1505,"Arrival After Appointment","OK"),"Check Format"))</f>
        <v>OK</v>
      </c>
      <c r="X1505" t="str">
        <f>IF(OR(F1505="",G1505=""),"Missing Date/Time",IFERROR(IF(G1505&lt;F1505,"Discharge Before Arrival","OK"),"Check Format"))</f>
        <v>OK</v>
      </c>
    </row>
    <row r="1506" spans="1:24" x14ac:dyDescent="0.25">
      <c r="A1506" s="2" t="s">
        <v>2232</v>
      </c>
      <c r="B1506" s="2" t="s">
        <v>880</v>
      </c>
      <c r="C1506" s="3" t="s">
        <v>37</v>
      </c>
      <c r="D1506" s="3" t="s">
        <v>106</v>
      </c>
      <c r="E1506" s="4">
        <v>45582.583333333336</v>
      </c>
      <c r="G1506" s="4">
        <v>45582.67083333333</v>
      </c>
      <c r="H1506" s="5">
        <v>31</v>
      </c>
      <c r="I1506" s="3" t="s">
        <v>73</v>
      </c>
      <c r="J1506" s="3" t="s">
        <v>22</v>
      </c>
      <c r="K1506" s="5">
        <v>99</v>
      </c>
      <c r="L1506" s="5">
        <v>27</v>
      </c>
      <c r="M1506" s="3" t="s">
        <v>23</v>
      </c>
      <c r="N1506" t="s">
        <v>103</v>
      </c>
      <c r="P1506" s="3" t="s">
        <v>25</v>
      </c>
      <c r="Q1506" s="2">
        <v>117.75</v>
      </c>
      <c r="R1506" s="3" t="s">
        <v>58</v>
      </c>
      <c r="S1506">
        <f>COUNTIF(A:A,A1506)</f>
        <v>1</v>
      </c>
      <c r="T1506" t="str">
        <f>IF(OR(H1506="",LOWER(TRIM(H1506&amp;""))="missing",LOWER(TRIM(H1506&amp;""))=""),"Missing/",IFERROR(IF(OR(VALUE(H1506)&lt;0,VALUE(H1506)&gt;110),"Invalid","Valid"),"Check Format"))</f>
        <v>Valid</v>
      </c>
      <c r="U1506">
        <f>IF(Raw_Data[[#This Row],[Age_Check]]="Valid",H1506,"")</f>
        <v>31</v>
      </c>
      <c r="V1506" t="str">
        <f>IF(OR(K1506="",UPPER(TRIM(K1506&amp;""))="",LOWER(TRIM(K1506&amp;""))="",LOWER(TRIM(K1506&amp;""))="",LOWER(TRIM(K1506&amp;""))="missing"),"Missing/",IFERROR(IF(VALUE(K1506)&lt;0,"Invalid","Valid"),"Check Format"))</f>
        <v>Valid</v>
      </c>
      <c r="W1506" t="str">
        <f>IF(OR(E1506="",F1506=""),"Missing Date/Time",IFERROR(IF(F1506&gt;E1506,"Arrival After Appointment","OK"),"Check Format"))</f>
        <v>Missing Date/Time</v>
      </c>
      <c r="X1506" t="str">
        <f>IF(OR(F1506="",G1506=""),"Missing Date/Time",IFERROR(IF(G1506&lt;F1506,"Discharge Before Arrival","OK"),"Check Format"))</f>
        <v>Missing Date/Time</v>
      </c>
    </row>
    <row r="1507" spans="1:24" x14ac:dyDescent="0.25">
      <c r="A1507" s="2" t="s">
        <v>2233</v>
      </c>
      <c r="B1507" s="2" t="s">
        <v>462</v>
      </c>
      <c r="C1507" s="3" t="s">
        <v>37</v>
      </c>
      <c r="D1507" s="3" t="s">
        <v>61</v>
      </c>
      <c r="E1507" s="4">
        <v>45778.291666666664</v>
      </c>
      <c r="F1507" s="4">
        <v>45778.288888888892</v>
      </c>
      <c r="G1507" s="4">
        <v>45778.348611111112</v>
      </c>
      <c r="I1507" s="3" t="s">
        <v>90</v>
      </c>
      <c r="J1507" s="3" t="s">
        <v>2639</v>
      </c>
      <c r="K1507" s="5">
        <v>75</v>
      </c>
      <c r="L1507" s="5">
        <v>7</v>
      </c>
      <c r="M1507" s="3" t="s">
        <v>87</v>
      </c>
      <c r="N1507" t="s">
        <v>91</v>
      </c>
      <c r="O1507" s="5">
        <v>4</v>
      </c>
      <c r="P1507" s="3" t="s">
        <v>25</v>
      </c>
      <c r="Q1507" s="2">
        <v>162.85</v>
      </c>
      <c r="R1507" s="3" t="s">
        <v>43</v>
      </c>
      <c r="S1507">
        <f>COUNTIF(A:A,A1507)</f>
        <v>1</v>
      </c>
      <c r="T1507" t="str">
        <f>IF(OR(H1507="",LOWER(TRIM(H1507&amp;""))="missing",LOWER(TRIM(H1507&amp;""))=""),"Missing/",IFERROR(IF(OR(VALUE(H1507)&lt;0,VALUE(H1507)&gt;110),"Invalid","Valid"),"Check Format"))</f>
        <v>Missing/</v>
      </c>
      <c r="U1507" t="str">
        <f>IF(Raw_Data[[#This Row],[Age_Check]]="Valid",H1507,"")</f>
        <v/>
      </c>
      <c r="V1507" t="str">
        <f>IF(OR(K1507="",UPPER(TRIM(K1507&amp;""))="",LOWER(TRIM(K1507&amp;""))="",LOWER(TRIM(K1507&amp;""))="",LOWER(TRIM(K1507&amp;""))="missing"),"Missing/",IFERROR(IF(VALUE(K1507)&lt;0,"Invalid","Valid"),"Check Format"))</f>
        <v>Valid</v>
      </c>
      <c r="W1507" t="str">
        <f>IF(OR(E1507="",F1507=""),"Missing Date/Time",IFERROR(IF(F1507&gt;E1507,"Arrival After Appointment","OK"),"Check Format"))</f>
        <v>OK</v>
      </c>
      <c r="X1507" t="str">
        <f>IF(OR(F1507="",G1507=""),"Missing Date/Time",IFERROR(IF(G1507&lt;F1507,"Discharge Before Arrival","OK"),"Check Format"))</f>
        <v>OK</v>
      </c>
    </row>
    <row r="1508" spans="1:24" x14ac:dyDescent="0.25">
      <c r="A1508" s="2" t="s">
        <v>2234</v>
      </c>
      <c r="B1508" s="2" t="s">
        <v>1325</v>
      </c>
      <c r="C1508" s="3" t="s">
        <v>46</v>
      </c>
      <c r="D1508" s="3" t="s">
        <v>149</v>
      </c>
      <c r="E1508" s="4">
        <v>45403.711805555555</v>
      </c>
      <c r="F1508" s="4">
        <v>45403.701388888891</v>
      </c>
      <c r="J1508" s="3" t="s">
        <v>62</v>
      </c>
      <c r="K1508" s="5">
        <v>77</v>
      </c>
      <c r="L1508" s="5">
        <v>44</v>
      </c>
      <c r="M1508" s="3" t="s">
        <v>50</v>
      </c>
      <c r="N1508" t="s">
        <v>74</v>
      </c>
      <c r="O1508" s="5">
        <v>3</v>
      </c>
      <c r="P1508" s="3" t="s">
        <v>80</v>
      </c>
      <c r="Q1508" s="2">
        <v>0</v>
      </c>
      <c r="R1508" s="3" t="s">
        <v>75</v>
      </c>
      <c r="S1508">
        <f>COUNTIF(A:A,A1508)</f>
        <v>1</v>
      </c>
      <c r="T1508" t="str">
        <f>IF(OR(H1508="",LOWER(TRIM(H1508&amp;""))="missing",LOWER(TRIM(H1508&amp;""))=""),"Missing/",IFERROR(IF(OR(VALUE(H1508)&lt;0,VALUE(H1508)&gt;110),"Invalid","Valid"),"Check Format"))</f>
        <v>Missing/</v>
      </c>
      <c r="U1508" t="str">
        <f>IF(Raw_Data[[#This Row],[Age_Check]]="Valid",H1508,"")</f>
        <v/>
      </c>
      <c r="V1508" t="str">
        <f>IF(OR(K1508="",UPPER(TRIM(K1508&amp;""))="",LOWER(TRIM(K1508&amp;""))="",LOWER(TRIM(K1508&amp;""))="",LOWER(TRIM(K1508&amp;""))="missing"),"Missing/",IFERROR(IF(VALUE(K1508)&lt;0,"Invalid","Valid"),"Check Format"))</f>
        <v>Valid</v>
      </c>
      <c r="W1508" t="str">
        <f>IF(OR(E1508="",F1508=""),"Missing Date/Time",IFERROR(IF(F1508&gt;E1508,"Arrival After Appointment","OK"),"Check Format"))</f>
        <v>OK</v>
      </c>
      <c r="X1508" t="str">
        <f>IF(OR(F1508="",G1508=""),"Missing Date/Time",IFERROR(IF(G1508&lt;F1508,"Discharge Before Arrival","OK"),"Check Format"))</f>
        <v>Missing Date/Time</v>
      </c>
    </row>
    <row r="1509" spans="1:24" x14ac:dyDescent="0.25">
      <c r="A1509" s="2" t="s">
        <v>2235</v>
      </c>
      <c r="B1509" s="2" t="s">
        <v>93</v>
      </c>
      <c r="C1509" s="3" t="s">
        <v>94</v>
      </c>
      <c r="D1509" s="3" t="s">
        <v>106</v>
      </c>
      <c r="E1509" s="4">
        <v>45740.71875</v>
      </c>
      <c r="F1509" s="4">
        <v>45740.709722222222</v>
      </c>
      <c r="I1509" s="3" t="s">
        <v>39</v>
      </c>
      <c r="J1509" s="3" t="s">
        <v>150</v>
      </c>
      <c r="K1509" s="5">
        <v>31</v>
      </c>
      <c r="L1509" s="5">
        <v>16</v>
      </c>
      <c r="M1509" s="3" t="s">
        <v>63</v>
      </c>
      <c r="N1509" t="s">
        <v>103</v>
      </c>
      <c r="P1509" s="3" t="s">
        <v>25</v>
      </c>
      <c r="Q1509" s="2">
        <v>152.99</v>
      </c>
      <c r="R1509" s="3" t="s">
        <v>75</v>
      </c>
      <c r="S1509">
        <f>COUNTIF(A:A,A1509)</f>
        <v>1</v>
      </c>
      <c r="T1509" t="str">
        <f>IF(OR(H1509="",LOWER(TRIM(H1509&amp;""))="missing",LOWER(TRIM(H1509&amp;""))=""),"Missing/",IFERROR(IF(OR(VALUE(H1509)&lt;0,VALUE(H1509)&gt;110),"Invalid","Valid"),"Check Format"))</f>
        <v>Missing/</v>
      </c>
      <c r="U1509" t="str">
        <f>IF(Raw_Data[[#This Row],[Age_Check]]="Valid",H1509,"")</f>
        <v/>
      </c>
      <c r="V1509" t="str">
        <f>IF(OR(K1509="",UPPER(TRIM(K1509&amp;""))="",LOWER(TRIM(K1509&amp;""))="",LOWER(TRIM(K1509&amp;""))="",LOWER(TRIM(K1509&amp;""))="missing"),"Missing/",IFERROR(IF(VALUE(K1509)&lt;0,"Invalid","Valid"),"Check Format"))</f>
        <v>Valid</v>
      </c>
      <c r="W1509" t="str">
        <f>IF(OR(E1509="",F1509=""),"Missing Date/Time",IFERROR(IF(F1509&gt;E1509,"Arrival After Appointment","OK"),"Check Format"))</f>
        <v>OK</v>
      </c>
      <c r="X1509" t="str">
        <f>IF(OR(F1509="",G1509=""),"Missing Date/Time",IFERROR(IF(G1509&lt;F1509,"Discharge Before Arrival","OK"),"Check Format"))</f>
        <v>Missing Date/Time</v>
      </c>
    </row>
    <row r="1510" spans="1:24" x14ac:dyDescent="0.25">
      <c r="A1510" s="2" t="s">
        <v>2236</v>
      </c>
      <c r="B1510" s="2" t="s">
        <v>842</v>
      </c>
      <c r="C1510" s="3" t="s">
        <v>29</v>
      </c>
      <c r="D1510" s="3" t="s">
        <v>115</v>
      </c>
      <c r="E1510" s="4">
        <v>45616.631944444445</v>
      </c>
      <c r="F1510" s="4">
        <v>45616.629861111112</v>
      </c>
      <c r="G1510" s="4">
        <v>45616.723611111112</v>
      </c>
      <c r="I1510" s="3" t="s">
        <v>90</v>
      </c>
      <c r="J1510" s="3" t="s">
        <v>67</v>
      </c>
      <c r="K1510" s="5">
        <v>74</v>
      </c>
      <c r="L1510" s="5">
        <v>58</v>
      </c>
      <c r="M1510" s="3" t="s">
        <v>87</v>
      </c>
      <c r="N1510" t="s">
        <v>69</v>
      </c>
      <c r="O1510" s="5">
        <v>2</v>
      </c>
      <c r="P1510" s="3" t="s">
        <v>25</v>
      </c>
      <c r="Q1510" s="2">
        <v>105.4</v>
      </c>
      <c r="R1510" s="3" t="s">
        <v>26</v>
      </c>
      <c r="S1510">
        <f>COUNTIF(A:A,A1510)</f>
        <v>1</v>
      </c>
      <c r="T1510" t="str">
        <f>IF(OR(H1510="",LOWER(TRIM(H1510&amp;""))="missing",LOWER(TRIM(H1510&amp;""))=""),"Missing/",IFERROR(IF(OR(VALUE(H1510)&lt;0,VALUE(H1510)&gt;110),"Invalid","Valid"),"Check Format"))</f>
        <v>Missing/</v>
      </c>
      <c r="U1510" t="str">
        <f>IF(Raw_Data[[#This Row],[Age_Check]]="Valid",H1510,"")</f>
        <v/>
      </c>
      <c r="V1510" t="str">
        <f>IF(OR(K1510="",UPPER(TRIM(K1510&amp;""))="",LOWER(TRIM(K1510&amp;""))="",LOWER(TRIM(K1510&amp;""))="",LOWER(TRIM(K1510&amp;""))="missing"),"Missing/",IFERROR(IF(VALUE(K1510)&lt;0,"Invalid","Valid"),"Check Format"))</f>
        <v>Valid</v>
      </c>
      <c r="W1510" t="str">
        <f>IF(OR(E1510="",F1510=""),"Missing Date/Time",IFERROR(IF(F1510&gt;E1510,"Arrival After Appointment","OK"),"Check Format"))</f>
        <v>OK</v>
      </c>
      <c r="X1510" t="str">
        <f>IF(OR(F1510="",G1510=""),"Missing Date/Time",IFERROR(IF(G1510&lt;F1510,"Discharge Before Arrival","OK"),"Check Format"))</f>
        <v>OK</v>
      </c>
    </row>
    <row r="1511" spans="1:24" x14ac:dyDescent="0.25">
      <c r="A1511" s="2" t="s">
        <v>2237</v>
      </c>
      <c r="B1511" s="2" t="s">
        <v>712</v>
      </c>
      <c r="C1511" s="3" t="s">
        <v>46</v>
      </c>
      <c r="D1511" s="3" t="s">
        <v>209</v>
      </c>
      <c r="E1511" s="4">
        <v>45503.746527777781</v>
      </c>
      <c r="F1511" s="4">
        <v>45503.726388888892</v>
      </c>
      <c r="G1511" s="4">
        <v>45503.810416666667</v>
      </c>
      <c r="J1511" s="3" t="s">
        <v>150</v>
      </c>
      <c r="K1511" s="5">
        <v>40</v>
      </c>
      <c r="L1511" s="5">
        <v>52</v>
      </c>
      <c r="M1511" s="3" t="s">
        <v>23</v>
      </c>
      <c r="P1511" s="3" t="s">
        <v>25</v>
      </c>
      <c r="Q1511" s="2">
        <v>168.73</v>
      </c>
      <c r="R1511" s="3" t="s">
        <v>75</v>
      </c>
      <c r="S1511">
        <f>COUNTIF(A:A,A1511)</f>
        <v>1</v>
      </c>
      <c r="T1511" t="str">
        <f>IF(OR(H1511="",LOWER(TRIM(H1511&amp;""))="missing",LOWER(TRIM(H1511&amp;""))=""),"Missing/",IFERROR(IF(OR(VALUE(H1511)&lt;0,VALUE(H1511)&gt;110),"Invalid","Valid"),"Check Format"))</f>
        <v>Missing/</v>
      </c>
      <c r="U1511" t="str">
        <f>IF(Raw_Data[[#This Row],[Age_Check]]="Valid",H1511,"")</f>
        <v/>
      </c>
      <c r="V1511" t="str">
        <f>IF(OR(K1511="",UPPER(TRIM(K1511&amp;""))="",LOWER(TRIM(K1511&amp;""))="",LOWER(TRIM(K1511&amp;""))="",LOWER(TRIM(K1511&amp;""))="missing"),"Missing/",IFERROR(IF(VALUE(K1511)&lt;0,"Invalid","Valid"),"Check Format"))</f>
        <v>Valid</v>
      </c>
      <c r="W1511" t="str">
        <f>IF(OR(E1511="",F1511=""),"Missing Date/Time",IFERROR(IF(F1511&gt;E1511,"Arrival After Appointment","OK"),"Check Format"))</f>
        <v>OK</v>
      </c>
      <c r="X1511" t="str">
        <f>IF(OR(F1511="",G1511=""),"Missing Date/Time",IFERROR(IF(G1511&lt;F1511,"Discharge Before Arrival","OK"),"Check Format"))</f>
        <v>OK</v>
      </c>
    </row>
    <row r="1512" spans="1:24" x14ac:dyDescent="0.25">
      <c r="A1512" s="2" t="s">
        <v>2238</v>
      </c>
      <c r="B1512" s="2" t="s">
        <v>512</v>
      </c>
      <c r="C1512" s="3" t="s">
        <v>46</v>
      </c>
      <c r="D1512" s="3" t="s">
        <v>174</v>
      </c>
      <c r="E1512" s="4" t="s">
        <v>2239</v>
      </c>
      <c r="F1512" s="4">
        <v>46010.602083333331</v>
      </c>
      <c r="G1512" s="4">
        <v>46010.70416666667</v>
      </c>
      <c r="I1512" s="3" t="s">
        <v>95</v>
      </c>
      <c r="J1512" s="3" t="s">
        <v>62</v>
      </c>
      <c r="K1512" s="5">
        <v>102</v>
      </c>
      <c r="L1512" s="5">
        <v>37</v>
      </c>
      <c r="M1512" s="3" t="s">
        <v>63</v>
      </c>
      <c r="N1512" t="s">
        <v>74</v>
      </c>
      <c r="O1512" s="5">
        <v>1</v>
      </c>
      <c r="P1512" s="3" t="s">
        <v>80</v>
      </c>
      <c r="Q1512" s="2">
        <v>52.43</v>
      </c>
      <c r="R1512" s="3" t="s">
        <v>26</v>
      </c>
      <c r="S1512">
        <f>COUNTIF(A:A,A1512)</f>
        <v>1</v>
      </c>
      <c r="T1512" t="str">
        <f>IF(OR(H1512="",LOWER(TRIM(H1512&amp;""))="missing",LOWER(TRIM(H1512&amp;""))=""),"Missing/",IFERROR(IF(OR(VALUE(H1512)&lt;0,VALUE(H1512)&gt;110),"Invalid","Valid"),"Check Format"))</f>
        <v>Missing/</v>
      </c>
      <c r="U1512" t="str">
        <f>IF(Raw_Data[[#This Row],[Age_Check]]="Valid",H1512,"")</f>
        <v/>
      </c>
      <c r="V1512" t="str">
        <f>IF(OR(K1512="",UPPER(TRIM(K1512&amp;""))="",LOWER(TRIM(K1512&amp;""))="",LOWER(TRIM(K1512&amp;""))="",LOWER(TRIM(K1512&amp;""))="missing"),"Missing/",IFERROR(IF(VALUE(K1512)&lt;0,"Invalid","Valid"),"Check Format"))</f>
        <v>Valid</v>
      </c>
      <c r="W1512" t="str">
        <f>IF(OR(E1512="",F1512=""),"Missing Date/Time",IFERROR(IF(F1512&gt;E1512,"Arrival After Appointment","OK"),"Check Format"))</f>
        <v>OK</v>
      </c>
      <c r="X1512" t="str">
        <f>IF(OR(F1512="",G1512=""),"Missing Date/Time",IFERROR(IF(G1512&lt;F1512,"Discharge Before Arrival","OK"),"Check Format"))</f>
        <v>OK</v>
      </c>
    </row>
    <row r="1513" spans="1:24" x14ac:dyDescent="0.25">
      <c r="A1513" s="2" t="s">
        <v>2240</v>
      </c>
      <c r="B1513" s="2" t="s">
        <v>1028</v>
      </c>
      <c r="D1513" s="3" t="s">
        <v>30</v>
      </c>
      <c r="E1513" s="4">
        <v>45509.784722222219</v>
      </c>
      <c r="F1513" s="4">
        <v>45420.767361111109</v>
      </c>
      <c r="G1513" s="4">
        <v>45420.79583333333</v>
      </c>
      <c r="I1513" s="3" t="s">
        <v>90</v>
      </c>
      <c r="J1513" s="3" t="s">
        <v>62</v>
      </c>
      <c r="K1513" s="5">
        <v>11</v>
      </c>
      <c r="L1513" s="5">
        <v>5</v>
      </c>
      <c r="N1513" t="s">
        <v>74</v>
      </c>
      <c r="O1513" s="5">
        <v>1</v>
      </c>
      <c r="P1513" s="3" t="s">
        <v>25</v>
      </c>
      <c r="R1513" s="3" t="s">
        <v>75</v>
      </c>
      <c r="S1513">
        <f>COUNTIF(A:A,A1513)</f>
        <v>1</v>
      </c>
      <c r="T1513" t="str">
        <f>IF(OR(H1513="",LOWER(TRIM(H1513&amp;""))="missing",LOWER(TRIM(H1513&amp;""))=""),"Missing/",IFERROR(IF(OR(VALUE(H1513)&lt;0,VALUE(H1513)&gt;110),"Invalid","Valid"),"Check Format"))</f>
        <v>Missing/</v>
      </c>
      <c r="U1513" t="str">
        <f>IF(Raw_Data[[#This Row],[Age_Check]]="Valid",H1513,"")</f>
        <v/>
      </c>
      <c r="V1513" t="str">
        <f>IF(OR(K1513="",UPPER(TRIM(K1513&amp;""))="",LOWER(TRIM(K1513&amp;""))="",LOWER(TRIM(K1513&amp;""))="",LOWER(TRIM(K1513&amp;""))="missing"),"Missing/",IFERROR(IF(VALUE(K1513)&lt;0,"Invalid","Valid"),"Check Format"))</f>
        <v>Valid</v>
      </c>
      <c r="W1513" t="str">
        <f>IF(OR(E1513="",F1513=""),"Missing Date/Time",IFERROR(IF(F1513&gt;E1513,"Arrival After Appointment","OK"),"Check Format"))</f>
        <v>OK</v>
      </c>
      <c r="X1513" t="str">
        <f>IF(OR(F1513="",G1513=""),"Missing Date/Time",IFERROR(IF(G1513&lt;F1513,"Discharge Before Arrival","OK"),"Check Format"))</f>
        <v>OK</v>
      </c>
    </row>
    <row r="1514" spans="1:24" x14ac:dyDescent="0.25">
      <c r="A1514" s="2" t="s">
        <v>2241</v>
      </c>
      <c r="B1514" s="2" t="s">
        <v>343</v>
      </c>
      <c r="C1514" s="3" t="s">
        <v>37</v>
      </c>
      <c r="D1514" s="3" t="s">
        <v>23</v>
      </c>
      <c r="E1514" s="4">
        <v>45654.760416666664</v>
      </c>
      <c r="F1514" s="4">
        <v>45654.746527777781</v>
      </c>
      <c r="G1514" s="4">
        <v>45654.853472222225</v>
      </c>
      <c r="J1514" s="3" t="s">
        <v>67</v>
      </c>
      <c r="K1514" s="5">
        <v>81</v>
      </c>
      <c r="L1514" s="5">
        <v>53</v>
      </c>
      <c r="M1514" s="3" t="s">
        <v>68</v>
      </c>
      <c r="N1514" t="s">
        <v>69</v>
      </c>
      <c r="Q1514" s="2">
        <v>292.95</v>
      </c>
      <c r="R1514" s="3" t="s">
        <v>58</v>
      </c>
      <c r="S1514">
        <f>COUNTIF(A:A,A1514)</f>
        <v>1</v>
      </c>
      <c r="T1514" t="str">
        <f>IF(OR(H1514="",LOWER(TRIM(H1514&amp;""))="missing",LOWER(TRIM(H1514&amp;""))=""),"Missing/",IFERROR(IF(OR(VALUE(H1514)&lt;0,VALUE(H1514)&gt;110),"Invalid","Valid"),"Check Format"))</f>
        <v>Missing/</v>
      </c>
      <c r="U1514" t="str">
        <f>IF(Raw_Data[[#This Row],[Age_Check]]="Valid",H1514,"")</f>
        <v/>
      </c>
      <c r="V1514" t="str">
        <f>IF(OR(K1514="",UPPER(TRIM(K1514&amp;""))="",LOWER(TRIM(K1514&amp;""))="",LOWER(TRIM(K1514&amp;""))="",LOWER(TRIM(K1514&amp;""))="missing"),"Missing/",IFERROR(IF(VALUE(K1514)&lt;0,"Invalid","Valid"),"Check Format"))</f>
        <v>Valid</v>
      </c>
      <c r="W1514" t="str">
        <f>IF(OR(E1514="",F1514=""),"Missing Date/Time",IFERROR(IF(F1514&gt;E1514,"Arrival After Appointment","OK"),"Check Format"))</f>
        <v>OK</v>
      </c>
      <c r="X1514" t="str">
        <f>IF(OR(F1514="",G1514=""),"Missing Date/Time",IFERROR(IF(G1514&lt;F1514,"Discharge Before Arrival","OK"),"Check Format"))</f>
        <v>OK</v>
      </c>
    </row>
    <row r="1515" spans="1:24" x14ac:dyDescent="0.25">
      <c r="A1515" s="2" t="s">
        <v>2242</v>
      </c>
      <c r="B1515" s="2" t="s">
        <v>880</v>
      </c>
      <c r="C1515" s="3" t="s">
        <v>46</v>
      </c>
      <c r="D1515" s="3" t="s">
        <v>23</v>
      </c>
      <c r="E1515" s="4">
        <v>45350.423611111109</v>
      </c>
      <c r="F1515" s="4">
        <v>45350.409722222219</v>
      </c>
      <c r="G1515" s="4">
        <v>45350.520138888889</v>
      </c>
      <c r="I1515" s="3" t="s">
        <v>95</v>
      </c>
      <c r="J1515" s="3" t="s">
        <v>150</v>
      </c>
      <c r="K1515" s="5">
        <v>87</v>
      </c>
      <c r="L1515" s="5">
        <v>52</v>
      </c>
      <c r="M1515" s="3" t="s">
        <v>32</v>
      </c>
      <c r="O1515" s="5">
        <v>3</v>
      </c>
      <c r="P1515" s="3" t="s">
        <v>42</v>
      </c>
      <c r="Q1515" s="2">
        <v>98.6</v>
      </c>
      <c r="R1515" s="3" t="s">
        <v>58</v>
      </c>
      <c r="S1515">
        <f>COUNTIF(A:A,A1515)</f>
        <v>1</v>
      </c>
      <c r="T1515" t="str">
        <f>IF(OR(H1515="",LOWER(TRIM(H1515&amp;""))="missing",LOWER(TRIM(H1515&amp;""))=""),"Missing/",IFERROR(IF(OR(VALUE(H1515)&lt;0,VALUE(H1515)&gt;110),"Invalid","Valid"),"Check Format"))</f>
        <v>Missing/</v>
      </c>
      <c r="U1515" t="str">
        <f>IF(Raw_Data[[#This Row],[Age_Check]]="Valid",H1515,"")</f>
        <v/>
      </c>
      <c r="V1515" t="str">
        <f>IF(OR(K1515="",UPPER(TRIM(K1515&amp;""))="",LOWER(TRIM(K1515&amp;""))="",LOWER(TRIM(K1515&amp;""))="",LOWER(TRIM(K1515&amp;""))="missing"),"Missing/",IFERROR(IF(VALUE(K1515)&lt;0,"Invalid","Valid"),"Check Format"))</f>
        <v>Valid</v>
      </c>
      <c r="W1515" t="str">
        <f>IF(OR(E1515="",F1515=""),"Missing Date/Time",IFERROR(IF(F1515&gt;E1515,"Arrival After Appointment","OK"),"Check Format"))</f>
        <v>OK</v>
      </c>
      <c r="X1515" t="str">
        <f>IF(OR(F1515="",G1515=""),"Missing Date/Time",IFERROR(IF(G1515&lt;F1515,"Discharge Before Arrival","OK"),"Check Format"))</f>
        <v>OK</v>
      </c>
    </row>
    <row r="1516" spans="1:24" x14ac:dyDescent="0.25">
      <c r="A1516" s="2" t="s">
        <v>2243</v>
      </c>
      <c r="B1516" s="2" t="s">
        <v>966</v>
      </c>
      <c r="C1516" s="3" t="s">
        <v>29</v>
      </c>
      <c r="D1516" s="3" t="s">
        <v>30</v>
      </c>
      <c r="E1516" s="4" t="s">
        <v>2244</v>
      </c>
      <c r="F1516" s="4">
        <v>45562.679861111108</v>
      </c>
      <c r="G1516" s="4">
        <v>45562.731944444444</v>
      </c>
      <c r="H1516" s="5">
        <v>93</v>
      </c>
      <c r="I1516" s="3" t="s">
        <v>95</v>
      </c>
      <c r="J1516" s="3" t="s">
        <v>22</v>
      </c>
      <c r="K1516" s="5">
        <v>17</v>
      </c>
      <c r="L1516" s="5">
        <v>47</v>
      </c>
      <c r="M1516" s="3" t="s">
        <v>32</v>
      </c>
      <c r="N1516" t="s">
        <v>24</v>
      </c>
      <c r="Q1516" s="2">
        <v>178.41</v>
      </c>
      <c r="R1516" s="3" t="s">
        <v>43</v>
      </c>
      <c r="S1516">
        <f>COUNTIF(A:A,A1516)</f>
        <v>1</v>
      </c>
      <c r="T1516" t="str">
        <f>IF(OR(H1516="",LOWER(TRIM(H1516&amp;""))="missing",LOWER(TRIM(H1516&amp;""))=""),"Missing/",IFERROR(IF(OR(VALUE(H1516)&lt;0,VALUE(H1516)&gt;110),"Invalid","Valid"),"Check Format"))</f>
        <v>Valid</v>
      </c>
      <c r="U1516">
        <f>IF(Raw_Data[[#This Row],[Age_Check]]="Valid",H1516,"")</f>
        <v>93</v>
      </c>
      <c r="V1516" t="str">
        <f>IF(OR(K1516="",UPPER(TRIM(K1516&amp;""))="",LOWER(TRIM(K1516&amp;""))="",LOWER(TRIM(K1516&amp;""))="",LOWER(TRIM(K1516&amp;""))="missing"),"Missing/",IFERROR(IF(VALUE(K1516)&lt;0,"Invalid","Valid"),"Check Format"))</f>
        <v>Valid</v>
      </c>
      <c r="W1516" t="str">
        <f>IF(OR(E1516="",F1516=""),"Missing Date/Time",IFERROR(IF(F1516&gt;E1516,"Arrival After Appointment","OK"),"Check Format"))</f>
        <v>OK</v>
      </c>
      <c r="X1516" t="str">
        <f>IF(OR(F1516="",G1516=""),"Missing Date/Time",IFERROR(IF(G1516&lt;F1516,"Discharge Before Arrival","OK"),"Check Format"))</f>
        <v>OK</v>
      </c>
    </row>
    <row r="1517" spans="1:24" x14ac:dyDescent="0.25">
      <c r="A1517" s="2" t="s">
        <v>2245</v>
      </c>
      <c r="B1517" s="2" t="s">
        <v>490</v>
      </c>
      <c r="C1517" s="3" t="s">
        <v>94</v>
      </c>
      <c r="D1517" s="3" t="s">
        <v>55</v>
      </c>
      <c r="E1517" s="4">
        <v>45440.722222222219</v>
      </c>
      <c r="F1517" s="4">
        <v>45440.70208333333</v>
      </c>
      <c r="I1517" s="3" t="s">
        <v>95</v>
      </c>
      <c r="J1517" s="3" t="s">
        <v>67</v>
      </c>
      <c r="K1517" s="5">
        <v>61</v>
      </c>
      <c r="L1517" s="5">
        <v>38</v>
      </c>
      <c r="M1517" s="3" t="s">
        <v>63</v>
      </c>
      <c r="N1517" t="s">
        <v>74</v>
      </c>
      <c r="P1517" s="3" t="s">
        <v>42</v>
      </c>
      <c r="Q1517" s="2">
        <v>170.85</v>
      </c>
      <c r="R1517" s="3" t="s">
        <v>75</v>
      </c>
      <c r="S1517">
        <f>COUNTIF(A:A,A1517)</f>
        <v>1</v>
      </c>
      <c r="T1517" t="str">
        <f>IF(OR(H1517="",LOWER(TRIM(H1517&amp;""))="missing",LOWER(TRIM(H1517&amp;""))=""),"Missing/",IFERROR(IF(OR(VALUE(H1517)&lt;0,VALUE(H1517)&gt;110),"Invalid","Valid"),"Check Format"))</f>
        <v>Missing/</v>
      </c>
      <c r="U1517" t="str">
        <f>IF(Raw_Data[[#This Row],[Age_Check]]="Valid",H1517,"")</f>
        <v/>
      </c>
      <c r="V1517" t="str">
        <f>IF(OR(K1517="",UPPER(TRIM(K1517&amp;""))="",LOWER(TRIM(K1517&amp;""))="",LOWER(TRIM(K1517&amp;""))="",LOWER(TRIM(K1517&amp;""))="missing"),"Missing/",IFERROR(IF(VALUE(K1517)&lt;0,"Invalid","Valid"),"Check Format"))</f>
        <v>Valid</v>
      </c>
      <c r="W1517" t="str">
        <f>IF(OR(E1517="",F1517=""),"Missing Date/Time",IFERROR(IF(F1517&gt;E1517,"Arrival After Appointment","OK"),"Check Format"))</f>
        <v>OK</v>
      </c>
      <c r="X1517" t="str">
        <f>IF(OR(F1517="",G1517=""),"Missing Date/Time",IFERROR(IF(G1517&lt;F1517,"Discharge Before Arrival","OK"),"Check Format"))</f>
        <v>Missing Date/Time</v>
      </c>
    </row>
    <row r="1518" spans="1:24" x14ac:dyDescent="0.25">
      <c r="A1518" s="2" t="s">
        <v>2246</v>
      </c>
      <c r="B1518" s="2" t="s">
        <v>283</v>
      </c>
      <c r="C1518" s="3" t="s">
        <v>94</v>
      </c>
      <c r="D1518" s="3" t="s">
        <v>66</v>
      </c>
      <c r="E1518" s="4">
        <v>45678.444444444445</v>
      </c>
      <c r="F1518" s="4">
        <v>45678.427083333336</v>
      </c>
      <c r="G1518" s="4">
        <v>45678.553472222222</v>
      </c>
      <c r="H1518" s="5">
        <v>77</v>
      </c>
      <c r="I1518" s="3" t="s">
        <v>95</v>
      </c>
      <c r="J1518" s="3" t="s">
        <v>62</v>
      </c>
      <c r="K1518" s="5">
        <v>102</v>
      </c>
      <c r="L1518" s="5">
        <v>55</v>
      </c>
      <c r="M1518" s="3" t="s">
        <v>32</v>
      </c>
      <c r="N1518" t="s">
        <v>103</v>
      </c>
      <c r="P1518" s="3" t="s">
        <v>80</v>
      </c>
      <c r="Q1518" s="2">
        <v>188.54</v>
      </c>
      <c r="R1518" s="3" t="s">
        <v>26</v>
      </c>
      <c r="S1518">
        <f>COUNTIF(A:A,A1518)</f>
        <v>1</v>
      </c>
      <c r="T1518" t="str">
        <f>IF(OR(H1518="",LOWER(TRIM(H1518&amp;""))="missing",LOWER(TRIM(H1518&amp;""))=""),"Missing/",IFERROR(IF(OR(VALUE(H1518)&lt;0,VALUE(H1518)&gt;110),"Invalid","Valid"),"Check Format"))</f>
        <v>Valid</v>
      </c>
      <c r="U1518">
        <f>IF(Raw_Data[[#This Row],[Age_Check]]="Valid",H1518,"")</f>
        <v>77</v>
      </c>
      <c r="V1518" t="str">
        <f>IF(OR(K1518="",UPPER(TRIM(K1518&amp;""))="",LOWER(TRIM(K1518&amp;""))="",LOWER(TRIM(K1518&amp;""))="",LOWER(TRIM(K1518&amp;""))="missing"),"Missing/",IFERROR(IF(VALUE(K1518)&lt;0,"Invalid","Valid"),"Check Format"))</f>
        <v>Valid</v>
      </c>
      <c r="W1518" t="str">
        <f>IF(OR(E1518="",F1518=""),"Missing Date/Time",IFERROR(IF(F1518&gt;E1518,"Arrival After Appointment","OK"),"Check Format"))</f>
        <v>OK</v>
      </c>
      <c r="X1518" t="str">
        <f>IF(OR(F1518="",G1518=""),"Missing Date/Time",IFERROR(IF(G1518&lt;F1518,"Discharge Before Arrival","OK"),"Check Format"))</f>
        <v>OK</v>
      </c>
    </row>
    <row r="1519" spans="1:24" x14ac:dyDescent="0.25">
      <c r="A1519" s="2" t="s">
        <v>2247</v>
      </c>
      <c r="B1519" s="2" t="s">
        <v>537</v>
      </c>
      <c r="C1519" s="3" t="s">
        <v>29</v>
      </c>
      <c r="D1519" s="3" t="s">
        <v>55</v>
      </c>
      <c r="E1519" s="4">
        <v>45722.607638888891</v>
      </c>
      <c r="F1519" s="4">
        <v>45722.603472222225</v>
      </c>
      <c r="G1519" s="4">
        <v>45722.696527777778</v>
      </c>
      <c r="I1519" s="3" t="s">
        <v>73</v>
      </c>
      <c r="J1519" s="3" t="s">
        <v>22</v>
      </c>
      <c r="K1519" s="5">
        <v>87</v>
      </c>
      <c r="L1519" s="5">
        <v>41</v>
      </c>
      <c r="M1519" s="3" t="s">
        <v>68</v>
      </c>
      <c r="N1519" t="s">
        <v>24</v>
      </c>
      <c r="O1519" s="5">
        <v>6</v>
      </c>
      <c r="P1519" s="3" t="s">
        <v>80</v>
      </c>
      <c r="Q1519" s="2">
        <v>108.11</v>
      </c>
      <c r="R1519" s="3" t="s">
        <v>26</v>
      </c>
      <c r="S1519">
        <f>COUNTIF(A:A,A1519)</f>
        <v>1</v>
      </c>
      <c r="T1519" t="str">
        <f>IF(OR(H1519="",LOWER(TRIM(H1519&amp;""))="missing",LOWER(TRIM(H1519&amp;""))=""),"Missing/",IFERROR(IF(OR(VALUE(H1519)&lt;0,VALUE(H1519)&gt;110),"Invalid","Valid"),"Check Format"))</f>
        <v>Missing/</v>
      </c>
      <c r="U1519" t="str">
        <f>IF(Raw_Data[[#This Row],[Age_Check]]="Valid",H1519,"")</f>
        <v/>
      </c>
      <c r="V1519" t="str">
        <f>IF(OR(K1519="",UPPER(TRIM(K1519&amp;""))="",LOWER(TRIM(K1519&amp;""))="",LOWER(TRIM(K1519&amp;""))="",LOWER(TRIM(K1519&amp;""))="missing"),"Missing/",IFERROR(IF(VALUE(K1519)&lt;0,"Invalid","Valid"),"Check Format"))</f>
        <v>Valid</v>
      </c>
      <c r="W1519" t="str">
        <f>IF(OR(E1519="",F1519=""),"Missing Date/Time",IFERROR(IF(F1519&gt;E1519,"Arrival After Appointment","OK"),"Check Format"))</f>
        <v>OK</v>
      </c>
      <c r="X1519" t="str">
        <f>IF(OR(F1519="",G1519=""),"Missing Date/Time",IFERROR(IF(G1519&lt;F1519,"Discharge Before Arrival","OK"),"Check Format"))</f>
        <v>OK</v>
      </c>
    </row>
    <row r="1520" spans="1:24" x14ac:dyDescent="0.25">
      <c r="A1520" s="2" t="s">
        <v>2248</v>
      </c>
      <c r="B1520" s="2" t="s">
        <v>154</v>
      </c>
      <c r="C1520" s="3" t="s">
        <v>94</v>
      </c>
      <c r="D1520" s="3" t="s">
        <v>23</v>
      </c>
      <c r="E1520" s="4">
        <v>45334.298611111109</v>
      </c>
      <c r="F1520" s="4">
        <v>45334.294444444444</v>
      </c>
      <c r="G1520" s="4">
        <v>45334.361111111109</v>
      </c>
      <c r="J1520" s="3" t="s">
        <v>67</v>
      </c>
      <c r="K1520" s="5">
        <v>84</v>
      </c>
      <c r="L1520" s="5">
        <v>6</v>
      </c>
      <c r="O1520" s="5">
        <v>3</v>
      </c>
      <c r="Q1520" s="2">
        <v>229.31</v>
      </c>
      <c r="R1520" s="3" t="s">
        <v>75</v>
      </c>
      <c r="S1520">
        <f>COUNTIF(A:A,A1520)</f>
        <v>1</v>
      </c>
      <c r="T1520" t="str">
        <f>IF(OR(H1520="",LOWER(TRIM(H1520&amp;""))="missing",LOWER(TRIM(H1520&amp;""))=""),"Missing/",IFERROR(IF(OR(VALUE(H1520)&lt;0,VALUE(H1520)&gt;110),"Invalid","Valid"),"Check Format"))</f>
        <v>Missing/</v>
      </c>
      <c r="U1520" t="str">
        <f>IF(Raw_Data[[#This Row],[Age_Check]]="Valid",H1520,"")</f>
        <v/>
      </c>
      <c r="V1520" t="str">
        <f>IF(OR(K1520="",UPPER(TRIM(K1520&amp;""))="",LOWER(TRIM(K1520&amp;""))="",LOWER(TRIM(K1520&amp;""))="",LOWER(TRIM(K1520&amp;""))="missing"),"Missing/",IFERROR(IF(VALUE(K1520)&lt;0,"Invalid","Valid"),"Check Format"))</f>
        <v>Valid</v>
      </c>
      <c r="W1520" t="str">
        <f>IF(OR(E1520="",F1520=""),"Missing Date/Time",IFERROR(IF(F1520&gt;E1520,"Arrival After Appointment","OK"),"Check Format"))</f>
        <v>OK</v>
      </c>
      <c r="X1520" t="str">
        <f>IF(OR(F1520="",G1520=""),"Missing Date/Time",IFERROR(IF(G1520&lt;F1520,"Discharge Before Arrival","OK"),"Check Format"))</f>
        <v>OK</v>
      </c>
    </row>
    <row r="1521" spans="1:24" x14ac:dyDescent="0.25">
      <c r="A1521" s="2" t="s">
        <v>2249</v>
      </c>
      <c r="B1521" s="2" t="s">
        <v>784</v>
      </c>
      <c r="D1521" s="3" t="s">
        <v>115</v>
      </c>
      <c r="E1521" s="4">
        <v>45318.506944444445</v>
      </c>
      <c r="F1521" s="4">
        <v>45318.492361111108</v>
      </c>
      <c r="G1521" s="4">
        <v>45318.543749999997</v>
      </c>
      <c r="J1521" s="3" t="s">
        <v>67</v>
      </c>
      <c r="K1521" s="5">
        <v>16</v>
      </c>
      <c r="L1521" s="5">
        <v>37</v>
      </c>
      <c r="M1521" s="3" t="s">
        <v>50</v>
      </c>
      <c r="N1521" t="s">
        <v>24</v>
      </c>
      <c r="O1521" s="5">
        <v>4</v>
      </c>
      <c r="P1521" s="3" t="s">
        <v>25</v>
      </c>
      <c r="Q1521" s="2">
        <v>77.39</v>
      </c>
      <c r="R1521" s="3" t="s">
        <v>26</v>
      </c>
      <c r="S1521">
        <f>COUNTIF(A:A,A1521)</f>
        <v>1</v>
      </c>
      <c r="T1521" t="str">
        <f>IF(OR(H1521="",LOWER(TRIM(H1521&amp;""))="missing",LOWER(TRIM(H1521&amp;""))=""),"Missing/",IFERROR(IF(OR(VALUE(H1521)&lt;0,VALUE(H1521)&gt;110),"Invalid","Valid"),"Check Format"))</f>
        <v>Missing/</v>
      </c>
      <c r="U1521" t="str">
        <f>IF(Raw_Data[[#This Row],[Age_Check]]="Valid",H1521,"")</f>
        <v/>
      </c>
      <c r="V1521" t="str">
        <f>IF(OR(K1521="",UPPER(TRIM(K1521&amp;""))="",LOWER(TRIM(K1521&amp;""))="",LOWER(TRIM(K1521&amp;""))="",LOWER(TRIM(K1521&amp;""))="missing"),"Missing/",IFERROR(IF(VALUE(K1521)&lt;0,"Invalid","Valid"),"Check Format"))</f>
        <v>Valid</v>
      </c>
      <c r="W1521" t="str">
        <f>IF(OR(E1521="",F1521=""),"Missing Date/Time",IFERROR(IF(F1521&gt;E1521,"Arrival After Appointment","OK"),"Check Format"))</f>
        <v>OK</v>
      </c>
      <c r="X1521" t="str">
        <f>IF(OR(F1521="",G1521=""),"Missing Date/Time",IFERROR(IF(G1521&lt;F1521,"Discharge Before Arrival","OK"),"Check Format"))</f>
        <v>OK</v>
      </c>
    </row>
    <row r="1522" spans="1:24" x14ac:dyDescent="0.25">
      <c r="A1522" s="2" t="s">
        <v>2250</v>
      </c>
      <c r="B1522" s="2" t="s">
        <v>1010</v>
      </c>
      <c r="D1522" s="3" t="s">
        <v>30</v>
      </c>
      <c r="E1522" s="4">
        <v>45379.763888888891</v>
      </c>
      <c r="F1522" s="4">
        <v>45379.756249999999</v>
      </c>
      <c r="G1522" s="4">
        <v>45379.838888888888</v>
      </c>
      <c r="H1522" s="5">
        <v>145</v>
      </c>
      <c r="I1522" s="3" t="s">
        <v>95</v>
      </c>
      <c r="K1522" s="5">
        <v>77</v>
      </c>
      <c r="L1522" s="5">
        <v>31</v>
      </c>
      <c r="O1522" s="5">
        <v>6</v>
      </c>
      <c r="P1522" s="3" t="s">
        <v>25</v>
      </c>
      <c r="Q1522" s="2">
        <v>17.420000000000002</v>
      </c>
      <c r="R1522" s="3" t="s">
        <v>43</v>
      </c>
      <c r="S1522">
        <f>COUNTIF(A:A,A1522)</f>
        <v>1</v>
      </c>
      <c r="T1522" t="str">
        <f>IF(OR(H1522="",LOWER(TRIM(H1522&amp;""))="missing",LOWER(TRIM(H1522&amp;""))=""),"Missing/",IFERROR(IF(OR(VALUE(H1522)&lt;0,VALUE(H1522)&gt;110),"Invalid","Valid"),"Check Format"))</f>
        <v>Invalid</v>
      </c>
      <c r="U1522" t="str">
        <f>IF(Raw_Data[[#This Row],[Age_Check]]="Valid",H1522,"")</f>
        <v/>
      </c>
      <c r="V1522" t="str">
        <f>IF(OR(K1522="",UPPER(TRIM(K1522&amp;""))="",LOWER(TRIM(K1522&amp;""))="",LOWER(TRIM(K1522&amp;""))="",LOWER(TRIM(K1522&amp;""))="missing"),"Missing/",IFERROR(IF(VALUE(K1522)&lt;0,"Invalid","Valid"),"Check Format"))</f>
        <v>Valid</v>
      </c>
      <c r="W1522" t="str">
        <f>IF(OR(E1522="",F1522=""),"Missing Date/Time",IFERROR(IF(F1522&gt;E1522,"Arrival After Appointment","OK"),"Check Format"))</f>
        <v>OK</v>
      </c>
      <c r="X1522" t="str">
        <f>IF(OR(F1522="",G1522=""),"Missing Date/Time",IFERROR(IF(G1522&lt;F1522,"Discharge Before Arrival","OK"),"Check Format"))</f>
        <v>OK</v>
      </c>
    </row>
    <row r="1523" spans="1:24" x14ac:dyDescent="0.25">
      <c r="A1523" s="2" t="s">
        <v>2251</v>
      </c>
      <c r="B1523" s="2" t="s">
        <v>472</v>
      </c>
      <c r="C1523" s="3" t="s">
        <v>29</v>
      </c>
      <c r="D1523" s="3" t="s">
        <v>30</v>
      </c>
      <c r="E1523" s="4">
        <v>45452.361111111109</v>
      </c>
      <c r="F1523" s="4">
        <v>45452.344444444447</v>
      </c>
      <c r="H1523" s="5">
        <v>30</v>
      </c>
      <c r="I1523" s="3" t="s">
        <v>39</v>
      </c>
      <c r="J1523" s="3" t="s">
        <v>22</v>
      </c>
      <c r="K1523" s="5">
        <v>72</v>
      </c>
      <c r="L1523" s="5">
        <v>21</v>
      </c>
      <c r="M1523" s="3" t="s">
        <v>32</v>
      </c>
      <c r="N1523" t="s">
        <v>91</v>
      </c>
      <c r="P1523" s="3" t="s">
        <v>80</v>
      </c>
      <c r="Q1523" s="2">
        <v>215.49</v>
      </c>
      <c r="R1523" s="3" t="s">
        <v>58</v>
      </c>
      <c r="S1523">
        <f>COUNTIF(A:A,A1523)</f>
        <v>1</v>
      </c>
      <c r="T1523" t="str">
        <f>IF(OR(H1523="",LOWER(TRIM(H1523&amp;""))="missing",LOWER(TRIM(H1523&amp;""))=""),"Missing/",IFERROR(IF(OR(VALUE(H1523)&lt;0,VALUE(H1523)&gt;110),"Invalid","Valid"),"Check Format"))</f>
        <v>Valid</v>
      </c>
      <c r="U1523">
        <f>IF(Raw_Data[[#This Row],[Age_Check]]="Valid",H1523,"")</f>
        <v>30</v>
      </c>
      <c r="V1523" t="str">
        <f>IF(OR(K1523="",UPPER(TRIM(K1523&amp;""))="",LOWER(TRIM(K1523&amp;""))="",LOWER(TRIM(K1523&amp;""))="",LOWER(TRIM(K1523&amp;""))="missing"),"Missing/",IFERROR(IF(VALUE(K1523)&lt;0,"Invalid","Valid"),"Check Format"))</f>
        <v>Valid</v>
      </c>
      <c r="W1523" t="str">
        <f>IF(OR(E1523="",F1523=""),"Missing Date/Time",IFERROR(IF(F1523&gt;E1523,"Arrival After Appointment","OK"),"Check Format"))</f>
        <v>OK</v>
      </c>
      <c r="X1523" t="str">
        <f>IF(OR(F1523="",G1523=""),"Missing Date/Time",IFERROR(IF(G1523&lt;F1523,"Discharge Before Arrival","OK"),"Check Format"))</f>
        <v>Missing Date/Time</v>
      </c>
    </row>
    <row r="1524" spans="1:24" x14ac:dyDescent="0.25">
      <c r="A1524" s="2" t="s">
        <v>2252</v>
      </c>
      <c r="B1524" s="2" t="s">
        <v>184</v>
      </c>
      <c r="C1524" s="3" t="s">
        <v>46</v>
      </c>
      <c r="D1524" s="3" t="s">
        <v>38</v>
      </c>
      <c r="E1524" s="4">
        <v>45856.652777777781</v>
      </c>
      <c r="F1524" s="4">
        <v>45856.643055555556</v>
      </c>
      <c r="G1524" s="4">
        <v>45856.720138888886</v>
      </c>
      <c r="I1524" s="3" t="s">
        <v>73</v>
      </c>
      <c r="J1524" s="3" t="s">
        <v>67</v>
      </c>
      <c r="K1524" s="5">
        <v>58</v>
      </c>
      <c r="L1524" s="5">
        <v>39</v>
      </c>
      <c r="M1524" s="3" t="s">
        <v>50</v>
      </c>
      <c r="N1524" t="s">
        <v>74</v>
      </c>
      <c r="O1524" s="5">
        <v>6</v>
      </c>
      <c r="P1524" s="3" t="s">
        <v>42</v>
      </c>
      <c r="Q1524" s="2">
        <v>68.39</v>
      </c>
      <c r="R1524" s="3" t="s">
        <v>58</v>
      </c>
      <c r="S1524">
        <f>COUNTIF(A:A,A1524)</f>
        <v>1</v>
      </c>
      <c r="T1524" t="str">
        <f>IF(OR(H1524="",LOWER(TRIM(H1524&amp;""))="missing",LOWER(TRIM(H1524&amp;""))=""),"Missing/",IFERROR(IF(OR(VALUE(H1524)&lt;0,VALUE(H1524)&gt;110),"Invalid","Valid"),"Check Format"))</f>
        <v>Missing/</v>
      </c>
      <c r="U1524" t="str">
        <f>IF(Raw_Data[[#This Row],[Age_Check]]="Valid",H1524,"")</f>
        <v/>
      </c>
      <c r="V1524" t="str">
        <f>IF(OR(K1524="",UPPER(TRIM(K1524&amp;""))="",LOWER(TRIM(K1524&amp;""))="",LOWER(TRIM(K1524&amp;""))="",LOWER(TRIM(K1524&amp;""))="missing"),"Missing/",IFERROR(IF(VALUE(K1524)&lt;0,"Invalid","Valid"),"Check Format"))</f>
        <v>Valid</v>
      </c>
      <c r="W1524" t="str">
        <f>IF(OR(E1524="",F1524=""),"Missing Date/Time",IFERROR(IF(F1524&gt;E1524,"Arrival After Appointment","OK"),"Check Format"))</f>
        <v>OK</v>
      </c>
      <c r="X1524" t="str">
        <f>IF(OR(F1524="",G1524=""),"Missing Date/Time",IFERROR(IF(G1524&lt;F1524,"Discharge Before Arrival","OK"),"Check Format"))</f>
        <v>OK</v>
      </c>
    </row>
    <row r="1525" spans="1:24" x14ac:dyDescent="0.25">
      <c r="A1525" s="2" t="s">
        <v>2253</v>
      </c>
      <c r="B1525" s="2" t="s">
        <v>2254</v>
      </c>
      <c r="C1525" s="3" t="s">
        <v>19</v>
      </c>
      <c r="D1525" s="3" t="s">
        <v>30</v>
      </c>
      <c r="E1525" s="4">
        <v>45624.534722222219</v>
      </c>
      <c r="F1525" s="4">
        <v>45624.53402777778</v>
      </c>
      <c r="G1525" s="4">
        <v>45624.576388888891</v>
      </c>
      <c r="H1525" s="5">
        <v>22</v>
      </c>
      <c r="I1525" s="3" t="s">
        <v>95</v>
      </c>
      <c r="K1525" s="5">
        <v>37</v>
      </c>
      <c r="L1525" s="5">
        <v>23</v>
      </c>
      <c r="O1525" s="5">
        <v>4</v>
      </c>
      <c r="P1525" s="3" t="s">
        <v>80</v>
      </c>
      <c r="Q1525" s="2">
        <v>213.54</v>
      </c>
      <c r="R1525" s="3" t="s">
        <v>58</v>
      </c>
      <c r="S1525">
        <f>COUNTIF(A:A,A1525)</f>
        <v>1</v>
      </c>
      <c r="T1525" t="str">
        <f>IF(OR(H1525="",LOWER(TRIM(H1525&amp;""))="missing",LOWER(TRIM(H1525&amp;""))=""),"Missing/",IFERROR(IF(OR(VALUE(H1525)&lt;0,VALUE(H1525)&gt;110),"Invalid","Valid"),"Check Format"))</f>
        <v>Valid</v>
      </c>
      <c r="U1525">
        <f>IF(Raw_Data[[#This Row],[Age_Check]]="Valid",H1525,"")</f>
        <v>22</v>
      </c>
      <c r="V1525" t="str">
        <f>IF(OR(K1525="",UPPER(TRIM(K1525&amp;""))="",LOWER(TRIM(K1525&amp;""))="",LOWER(TRIM(K1525&amp;""))="",LOWER(TRIM(K1525&amp;""))="missing"),"Missing/",IFERROR(IF(VALUE(K1525)&lt;0,"Invalid","Valid"),"Check Format"))</f>
        <v>Valid</v>
      </c>
      <c r="W1525" t="str">
        <f>IF(OR(E1525="",F1525=""),"Missing Date/Time",IFERROR(IF(F1525&gt;E1525,"Arrival After Appointment","OK"),"Check Format"))</f>
        <v>OK</v>
      </c>
      <c r="X1525" t="str">
        <f>IF(OR(F1525="",G1525=""),"Missing Date/Time",IFERROR(IF(G1525&lt;F1525,"Discharge Before Arrival","OK"),"Check Format"))</f>
        <v>OK</v>
      </c>
    </row>
    <row r="1526" spans="1:24" x14ac:dyDescent="0.25">
      <c r="A1526" s="2" t="s">
        <v>2255</v>
      </c>
      <c r="B1526" s="2" t="s">
        <v>1528</v>
      </c>
      <c r="C1526" s="3" t="s">
        <v>46</v>
      </c>
      <c r="D1526" s="3" t="s">
        <v>61</v>
      </c>
      <c r="E1526" s="4">
        <v>45586.756944444445</v>
      </c>
      <c r="F1526" s="4">
        <v>45586.75</v>
      </c>
      <c r="G1526" s="4">
        <v>45586.849305555559</v>
      </c>
      <c r="I1526" s="3" t="s">
        <v>95</v>
      </c>
      <c r="J1526" s="3" t="s">
        <v>67</v>
      </c>
      <c r="K1526" s="5">
        <v>116</v>
      </c>
      <c r="L1526" s="5">
        <v>17</v>
      </c>
      <c r="M1526" s="3" t="s">
        <v>68</v>
      </c>
      <c r="N1526" t="s">
        <v>100</v>
      </c>
      <c r="P1526" s="3" t="s">
        <v>42</v>
      </c>
      <c r="Q1526" s="2">
        <v>231.15</v>
      </c>
      <c r="R1526" s="3" t="s">
        <v>75</v>
      </c>
      <c r="S1526">
        <f>COUNTIF(A:A,A1526)</f>
        <v>1</v>
      </c>
      <c r="T1526" t="str">
        <f>IF(OR(H1526="",LOWER(TRIM(H1526&amp;""))="missing",LOWER(TRIM(H1526&amp;""))=""),"Missing/",IFERROR(IF(OR(VALUE(H1526)&lt;0,VALUE(H1526)&gt;110),"Invalid","Valid"),"Check Format"))</f>
        <v>Missing/</v>
      </c>
      <c r="U1526" t="str">
        <f>IF(Raw_Data[[#This Row],[Age_Check]]="Valid",H1526,"")</f>
        <v/>
      </c>
      <c r="V1526" t="str">
        <f>IF(OR(K1526="",UPPER(TRIM(K1526&amp;""))="",LOWER(TRIM(K1526&amp;""))="",LOWER(TRIM(K1526&amp;""))="",LOWER(TRIM(K1526&amp;""))="missing"),"Missing/",IFERROR(IF(VALUE(K1526)&lt;0,"Invalid","Valid"),"Check Format"))</f>
        <v>Valid</v>
      </c>
      <c r="W1526" t="str">
        <f>IF(OR(E1526="",F1526=""),"Missing Date/Time",IFERROR(IF(F1526&gt;E1526,"Arrival After Appointment","OK"),"Check Format"))</f>
        <v>OK</v>
      </c>
      <c r="X1526" t="str">
        <f>IF(OR(F1526="",G1526=""),"Missing Date/Time",IFERROR(IF(G1526&lt;F1526,"Discharge Before Arrival","OK"),"Check Format"))</f>
        <v>OK</v>
      </c>
    </row>
    <row r="1527" spans="1:24" x14ac:dyDescent="0.25">
      <c r="A1527" s="2" t="s">
        <v>2256</v>
      </c>
      <c r="B1527" s="2" t="s">
        <v>376</v>
      </c>
      <c r="C1527" s="3" t="s">
        <v>94</v>
      </c>
      <c r="D1527" s="3" t="s">
        <v>174</v>
      </c>
      <c r="E1527" s="4" t="s">
        <v>2257</v>
      </c>
      <c r="F1527" s="4">
        <v>45585.338194444441</v>
      </c>
      <c r="G1527" s="4">
        <v>45585.361111111109</v>
      </c>
      <c r="H1527" s="5">
        <v>145</v>
      </c>
      <c r="I1527" s="3" t="s">
        <v>39</v>
      </c>
      <c r="J1527" s="3" t="s">
        <v>67</v>
      </c>
      <c r="K1527" s="5">
        <v>0</v>
      </c>
      <c r="L1527" s="5">
        <v>10</v>
      </c>
      <c r="M1527" s="3" t="s">
        <v>32</v>
      </c>
      <c r="N1527" t="s">
        <v>103</v>
      </c>
      <c r="O1527" s="5">
        <v>5</v>
      </c>
      <c r="P1527" s="3" t="s">
        <v>25</v>
      </c>
      <c r="Q1527" s="2">
        <v>68.3</v>
      </c>
      <c r="R1527" s="3" t="s">
        <v>58</v>
      </c>
      <c r="S1527">
        <f>COUNTIF(A:A,A1527)</f>
        <v>1</v>
      </c>
      <c r="T1527" t="str">
        <f>IF(OR(H1527="",LOWER(TRIM(H1527&amp;""))="missing",LOWER(TRIM(H1527&amp;""))=""),"Missing/",IFERROR(IF(OR(VALUE(H1527)&lt;0,VALUE(H1527)&gt;110),"Invalid","Valid"),"Check Format"))</f>
        <v>Invalid</v>
      </c>
      <c r="U1527" t="str">
        <f>IF(Raw_Data[[#This Row],[Age_Check]]="Valid",H1527,"")</f>
        <v/>
      </c>
      <c r="V1527" t="str">
        <f>IF(OR(K1527="",UPPER(TRIM(K1527&amp;""))="",LOWER(TRIM(K1527&amp;""))="",LOWER(TRIM(K1527&amp;""))="",LOWER(TRIM(K1527&amp;""))="missing"),"Missing/",IFERROR(IF(VALUE(K1527)&lt;0,"Invalid","Valid"),"Check Format"))</f>
        <v>Valid</v>
      </c>
      <c r="W1527" t="str">
        <f>IF(OR(E1527="",F1527=""),"Missing Date/Time",IFERROR(IF(F1527&gt;E1527,"Arrival After Appointment","OK"),"Check Format"))</f>
        <v>OK</v>
      </c>
      <c r="X1527" t="str">
        <f>IF(OR(F1527="",G1527=""),"Missing Date/Time",IFERROR(IF(G1527&lt;F1527,"Discharge Before Arrival","OK"),"Check Format"))</f>
        <v>OK</v>
      </c>
    </row>
    <row r="1528" spans="1:24" x14ac:dyDescent="0.25">
      <c r="A1528" s="2" t="s">
        <v>2258</v>
      </c>
      <c r="B1528" s="2" t="s">
        <v>1429</v>
      </c>
      <c r="C1528" s="3" t="s">
        <v>29</v>
      </c>
      <c r="D1528" s="3" t="s">
        <v>47</v>
      </c>
      <c r="E1528" s="4">
        <v>45385.649305555555</v>
      </c>
      <c r="F1528" s="4">
        <v>45385.638888888891</v>
      </c>
      <c r="H1528" s="5">
        <v>145</v>
      </c>
      <c r="I1528" s="3" t="s">
        <v>73</v>
      </c>
      <c r="J1528" s="3" t="s">
        <v>2639</v>
      </c>
      <c r="K1528" s="5">
        <v>10</v>
      </c>
      <c r="L1528" s="5">
        <v>5</v>
      </c>
      <c r="M1528" s="3" t="s">
        <v>23</v>
      </c>
      <c r="N1528" t="s">
        <v>69</v>
      </c>
      <c r="P1528" s="3" t="s">
        <v>42</v>
      </c>
      <c r="Q1528" s="2">
        <v>178.04</v>
      </c>
      <c r="R1528" s="3" t="s">
        <v>43</v>
      </c>
      <c r="S1528">
        <f>COUNTIF(A:A,A1528)</f>
        <v>1</v>
      </c>
      <c r="T1528" t="str">
        <f>IF(OR(H1528="",LOWER(TRIM(H1528&amp;""))="missing",LOWER(TRIM(H1528&amp;""))=""),"Missing/",IFERROR(IF(OR(VALUE(H1528)&lt;0,VALUE(H1528)&gt;110),"Invalid","Valid"),"Check Format"))</f>
        <v>Invalid</v>
      </c>
      <c r="U1528" t="str">
        <f>IF(Raw_Data[[#This Row],[Age_Check]]="Valid",H1528,"")</f>
        <v/>
      </c>
      <c r="V1528" t="str">
        <f>IF(OR(K1528="",UPPER(TRIM(K1528&amp;""))="",LOWER(TRIM(K1528&amp;""))="",LOWER(TRIM(K1528&amp;""))="",LOWER(TRIM(K1528&amp;""))="missing"),"Missing/",IFERROR(IF(VALUE(K1528)&lt;0,"Invalid","Valid"),"Check Format"))</f>
        <v>Valid</v>
      </c>
      <c r="W1528" t="str">
        <f>IF(OR(E1528="",F1528=""),"Missing Date/Time",IFERROR(IF(F1528&gt;E1528,"Arrival After Appointment","OK"),"Check Format"))</f>
        <v>OK</v>
      </c>
      <c r="X1528" t="str">
        <f>IF(OR(F1528="",G1528=""),"Missing Date/Time",IFERROR(IF(G1528&lt;F1528,"Discharge Before Arrival","OK"),"Check Format"))</f>
        <v>Missing Date/Time</v>
      </c>
    </row>
    <row r="1529" spans="1:24" x14ac:dyDescent="0.25">
      <c r="A1529" s="2" t="s">
        <v>2259</v>
      </c>
      <c r="B1529" s="2" t="s">
        <v>1139</v>
      </c>
      <c r="D1529" s="3" t="s">
        <v>174</v>
      </c>
      <c r="E1529" s="4">
        <v>45741.625</v>
      </c>
      <c r="F1529" s="4">
        <v>45741.620833333334</v>
      </c>
      <c r="G1529" s="4">
        <v>45741.686111111114</v>
      </c>
      <c r="I1529" s="3" t="s">
        <v>39</v>
      </c>
      <c r="J1529" s="3" t="s">
        <v>22</v>
      </c>
      <c r="K1529" s="5">
        <v>50</v>
      </c>
      <c r="L1529" s="5">
        <v>38</v>
      </c>
      <c r="P1529" s="3" t="s">
        <v>25</v>
      </c>
      <c r="Q1529" s="2">
        <v>200.24</v>
      </c>
      <c r="R1529" s="3" t="s">
        <v>58</v>
      </c>
      <c r="S1529">
        <f>COUNTIF(A:A,A1529)</f>
        <v>1</v>
      </c>
      <c r="T1529" t="str">
        <f>IF(OR(H1529="",LOWER(TRIM(H1529&amp;""))="missing",LOWER(TRIM(H1529&amp;""))=""),"Missing/",IFERROR(IF(OR(VALUE(H1529)&lt;0,VALUE(H1529)&gt;110),"Invalid","Valid"),"Check Format"))</f>
        <v>Missing/</v>
      </c>
      <c r="U1529" t="str">
        <f>IF(Raw_Data[[#This Row],[Age_Check]]="Valid",H1529,"")</f>
        <v/>
      </c>
      <c r="V1529" t="str">
        <f>IF(OR(K1529="",UPPER(TRIM(K1529&amp;""))="",LOWER(TRIM(K1529&amp;""))="",LOWER(TRIM(K1529&amp;""))="",LOWER(TRIM(K1529&amp;""))="missing"),"Missing/",IFERROR(IF(VALUE(K1529)&lt;0,"Invalid","Valid"),"Check Format"))</f>
        <v>Valid</v>
      </c>
      <c r="W1529" t="str">
        <f>IF(OR(E1529="",F1529=""),"Missing Date/Time",IFERROR(IF(F1529&gt;E1529,"Arrival After Appointment","OK"),"Check Format"))</f>
        <v>OK</v>
      </c>
      <c r="X1529" t="str">
        <f>IF(OR(F1529="",G1529=""),"Missing Date/Time",IFERROR(IF(G1529&lt;F1529,"Discharge Before Arrival","OK"),"Check Format"))</f>
        <v>OK</v>
      </c>
    </row>
    <row r="1530" spans="1:24" x14ac:dyDescent="0.25">
      <c r="A1530" s="2" t="s">
        <v>2260</v>
      </c>
      <c r="B1530" s="2" t="s">
        <v>1262</v>
      </c>
      <c r="D1530" s="3" t="s">
        <v>174</v>
      </c>
      <c r="E1530" s="4">
        <v>45517.746527777781</v>
      </c>
      <c r="F1530" s="4">
        <v>45517.738888888889</v>
      </c>
      <c r="G1530" s="4">
        <v>45517.822916666664</v>
      </c>
      <c r="H1530" s="5">
        <v>61</v>
      </c>
      <c r="I1530" s="3" t="s">
        <v>95</v>
      </c>
      <c r="J1530" s="3" t="s">
        <v>171</v>
      </c>
      <c r="K1530" s="5">
        <v>67</v>
      </c>
      <c r="L1530" s="5">
        <v>43</v>
      </c>
      <c r="M1530" s="3" t="s">
        <v>50</v>
      </c>
      <c r="N1530" t="s">
        <v>74</v>
      </c>
      <c r="P1530" s="3" t="s">
        <v>80</v>
      </c>
      <c r="Q1530" s="2">
        <v>139.44</v>
      </c>
      <c r="R1530" s="3" t="s">
        <v>26</v>
      </c>
      <c r="S1530">
        <f>COUNTIF(A:A,A1530)</f>
        <v>1</v>
      </c>
      <c r="T1530" t="str">
        <f>IF(OR(H1530="",LOWER(TRIM(H1530&amp;""))="missing",LOWER(TRIM(H1530&amp;""))=""),"Missing/",IFERROR(IF(OR(VALUE(H1530)&lt;0,VALUE(H1530)&gt;110),"Invalid","Valid"),"Check Format"))</f>
        <v>Valid</v>
      </c>
      <c r="U1530">
        <f>IF(Raw_Data[[#This Row],[Age_Check]]="Valid",H1530,"")</f>
        <v>61</v>
      </c>
      <c r="V1530" t="str">
        <f>IF(OR(K1530="",UPPER(TRIM(K1530&amp;""))="",LOWER(TRIM(K1530&amp;""))="",LOWER(TRIM(K1530&amp;""))="",LOWER(TRIM(K1530&amp;""))="missing"),"Missing/",IFERROR(IF(VALUE(K1530)&lt;0,"Invalid","Valid"),"Check Format"))</f>
        <v>Valid</v>
      </c>
      <c r="W1530" t="str">
        <f>IF(OR(E1530="",F1530=""),"Missing Date/Time",IFERROR(IF(F1530&gt;E1530,"Arrival After Appointment","OK"),"Check Format"))</f>
        <v>OK</v>
      </c>
      <c r="X1530" t="str">
        <f>IF(OR(F1530="",G1530=""),"Missing Date/Time",IFERROR(IF(G1530&lt;F1530,"Discharge Before Arrival","OK"),"Check Format"))</f>
        <v>OK</v>
      </c>
    </row>
    <row r="1531" spans="1:24" x14ac:dyDescent="0.25">
      <c r="A1531" s="2" t="s">
        <v>2261</v>
      </c>
      <c r="B1531" s="2" t="s">
        <v>637</v>
      </c>
      <c r="C1531" s="3" t="s">
        <v>46</v>
      </c>
      <c r="D1531" s="3" t="s">
        <v>30</v>
      </c>
      <c r="E1531" s="4">
        <v>45437.763888888891</v>
      </c>
      <c r="F1531" s="4">
        <v>45437.746527777781</v>
      </c>
      <c r="G1531" s="4">
        <v>45437.810416666667</v>
      </c>
      <c r="J1531" s="3" t="s">
        <v>171</v>
      </c>
      <c r="K1531" s="5">
        <v>16</v>
      </c>
      <c r="L1531" s="5">
        <v>51</v>
      </c>
      <c r="M1531" s="3" t="s">
        <v>50</v>
      </c>
      <c r="N1531" t="s">
        <v>69</v>
      </c>
      <c r="P1531" s="3" t="s">
        <v>80</v>
      </c>
      <c r="R1531" s="3" t="s">
        <v>75</v>
      </c>
      <c r="S1531">
        <f>COUNTIF(A:A,A1531)</f>
        <v>1</v>
      </c>
      <c r="T1531" t="str">
        <f>IF(OR(H1531="",LOWER(TRIM(H1531&amp;""))="missing",LOWER(TRIM(H1531&amp;""))=""),"Missing/",IFERROR(IF(OR(VALUE(H1531)&lt;0,VALUE(H1531)&gt;110),"Invalid","Valid"),"Check Format"))</f>
        <v>Missing/</v>
      </c>
      <c r="U1531" t="str">
        <f>IF(Raw_Data[[#This Row],[Age_Check]]="Valid",H1531,"")</f>
        <v/>
      </c>
      <c r="V1531" t="str">
        <f>IF(OR(K1531="",UPPER(TRIM(K1531&amp;""))="",LOWER(TRIM(K1531&amp;""))="",LOWER(TRIM(K1531&amp;""))="",LOWER(TRIM(K1531&amp;""))="missing"),"Missing/",IFERROR(IF(VALUE(K1531)&lt;0,"Invalid","Valid"),"Check Format"))</f>
        <v>Valid</v>
      </c>
      <c r="W1531" t="str">
        <f>IF(OR(E1531="",F1531=""),"Missing Date/Time",IFERROR(IF(F1531&gt;E1531,"Arrival After Appointment","OK"),"Check Format"))</f>
        <v>OK</v>
      </c>
      <c r="X1531" t="str">
        <f>IF(OR(F1531="",G1531=""),"Missing Date/Time",IFERROR(IF(G1531&lt;F1531,"Discharge Before Arrival","OK"),"Check Format"))</f>
        <v>OK</v>
      </c>
    </row>
    <row r="1532" spans="1:24" x14ac:dyDescent="0.25">
      <c r="A1532" s="2" t="s">
        <v>2262</v>
      </c>
      <c r="B1532" s="2" t="s">
        <v>1974</v>
      </c>
      <c r="C1532" s="3" t="s">
        <v>46</v>
      </c>
      <c r="D1532" s="3" t="s">
        <v>55</v>
      </c>
      <c r="E1532" s="4" t="s">
        <v>2263</v>
      </c>
      <c r="F1532" s="4">
        <v>45944.544444444444</v>
      </c>
      <c r="G1532" s="4">
        <v>45944.595138888886</v>
      </c>
      <c r="I1532" s="3" t="s">
        <v>95</v>
      </c>
      <c r="J1532" s="3" t="s">
        <v>2639</v>
      </c>
      <c r="K1532" s="5">
        <v>37</v>
      </c>
      <c r="L1532" s="5">
        <v>15</v>
      </c>
      <c r="M1532" s="3" t="s">
        <v>32</v>
      </c>
      <c r="N1532" t="s">
        <v>74</v>
      </c>
      <c r="O1532" s="5">
        <v>4</v>
      </c>
      <c r="P1532" s="3" t="s">
        <v>80</v>
      </c>
      <c r="Q1532" s="2">
        <v>130.77000000000001</v>
      </c>
      <c r="R1532" s="3" t="s">
        <v>58</v>
      </c>
      <c r="S1532">
        <f>COUNTIF(A:A,A1532)</f>
        <v>1</v>
      </c>
      <c r="T1532" t="str">
        <f>IF(OR(H1532="",LOWER(TRIM(H1532&amp;""))="missing",LOWER(TRIM(H1532&amp;""))=""),"Missing/",IFERROR(IF(OR(VALUE(H1532)&lt;0,VALUE(H1532)&gt;110),"Invalid","Valid"),"Check Format"))</f>
        <v>Missing/</v>
      </c>
      <c r="U1532" t="str">
        <f>IF(Raw_Data[[#This Row],[Age_Check]]="Valid",H1532,"")</f>
        <v/>
      </c>
      <c r="V1532" t="str">
        <f>IF(OR(K1532="",UPPER(TRIM(K1532&amp;""))="",LOWER(TRIM(K1532&amp;""))="",LOWER(TRIM(K1532&amp;""))="",LOWER(TRIM(K1532&amp;""))="missing"),"Missing/",IFERROR(IF(VALUE(K1532)&lt;0,"Invalid","Valid"),"Check Format"))</f>
        <v>Valid</v>
      </c>
      <c r="W1532" t="str">
        <f>IF(OR(E1532="",F1532=""),"Missing Date/Time",IFERROR(IF(F1532&gt;E1532,"Arrival After Appointment","OK"),"Check Format"))</f>
        <v>OK</v>
      </c>
      <c r="X1532" t="str">
        <f>IF(OR(F1532="",G1532=""),"Missing Date/Time",IFERROR(IF(G1532&lt;F1532,"Discharge Before Arrival","OK"),"Check Format"))</f>
        <v>OK</v>
      </c>
    </row>
    <row r="1533" spans="1:24" x14ac:dyDescent="0.25">
      <c r="A1533" s="2" t="s">
        <v>2264</v>
      </c>
      <c r="B1533" s="2" t="s">
        <v>1175</v>
      </c>
      <c r="D1533" s="3" t="s">
        <v>99</v>
      </c>
      <c r="E1533" s="4">
        <v>45747.291666666664</v>
      </c>
      <c r="F1533" s="4">
        <v>45747.272222222222</v>
      </c>
      <c r="G1533" s="4">
        <v>45747.326388888891</v>
      </c>
      <c r="H1533" s="5">
        <v>145</v>
      </c>
      <c r="I1533" s="3" t="s">
        <v>73</v>
      </c>
      <c r="J1533" s="3" t="s">
        <v>22</v>
      </c>
      <c r="K1533" s="5">
        <v>26</v>
      </c>
      <c r="L1533" s="5">
        <v>24</v>
      </c>
      <c r="M1533" s="3" t="s">
        <v>23</v>
      </c>
      <c r="N1533" t="s">
        <v>69</v>
      </c>
      <c r="P1533" s="3" t="s">
        <v>80</v>
      </c>
      <c r="Q1533" s="2">
        <v>172.52</v>
      </c>
      <c r="R1533" s="3" t="s">
        <v>58</v>
      </c>
      <c r="S1533">
        <f>COUNTIF(A:A,A1533)</f>
        <v>1</v>
      </c>
      <c r="T1533" t="str">
        <f>IF(OR(H1533="",LOWER(TRIM(H1533&amp;""))="missing",LOWER(TRIM(H1533&amp;""))=""),"Missing/",IFERROR(IF(OR(VALUE(H1533)&lt;0,VALUE(H1533)&gt;110),"Invalid","Valid"),"Check Format"))</f>
        <v>Invalid</v>
      </c>
      <c r="U1533" t="str">
        <f>IF(Raw_Data[[#This Row],[Age_Check]]="Valid",H1533,"")</f>
        <v/>
      </c>
      <c r="V1533" t="str">
        <f>IF(OR(K1533="",UPPER(TRIM(K1533&amp;""))="",LOWER(TRIM(K1533&amp;""))="",LOWER(TRIM(K1533&amp;""))="",LOWER(TRIM(K1533&amp;""))="missing"),"Missing/",IFERROR(IF(VALUE(K1533)&lt;0,"Invalid","Valid"),"Check Format"))</f>
        <v>Valid</v>
      </c>
      <c r="W1533" t="str">
        <f>IF(OR(E1533="",F1533=""),"Missing Date/Time",IFERROR(IF(F1533&gt;E1533,"Arrival After Appointment","OK"),"Check Format"))</f>
        <v>OK</v>
      </c>
      <c r="X1533" t="str">
        <f>IF(OR(F1533="",G1533=""),"Missing Date/Time",IFERROR(IF(G1533&lt;F1533,"Discharge Before Arrival","OK"),"Check Format"))</f>
        <v>OK</v>
      </c>
    </row>
    <row r="1534" spans="1:24" x14ac:dyDescent="0.25">
      <c r="A1534" s="2" t="s">
        <v>2265</v>
      </c>
      <c r="B1534" s="2" t="s">
        <v>616</v>
      </c>
      <c r="C1534" s="3" t="s">
        <v>94</v>
      </c>
      <c r="D1534" s="3" t="s">
        <v>61</v>
      </c>
      <c r="E1534" s="4">
        <v>45393.329861111109</v>
      </c>
      <c r="F1534" s="4">
        <v>45600.32708333333</v>
      </c>
      <c r="G1534" s="4">
        <v>45600.388888888891</v>
      </c>
      <c r="I1534" s="3" t="s">
        <v>90</v>
      </c>
      <c r="J1534" s="3" t="s">
        <v>150</v>
      </c>
      <c r="K1534" s="5">
        <v>70</v>
      </c>
      <c r="L1534" s="5">
        <v>15</v>
      </c>
      <c r="M1534" s="3" t="s">
        <v>23</v>
      </c>
      <c r="N1534" t="s">
        <v>103</v>
      </c>
      <c r="O1534" s="5">
        <v>6</v>
      </c>
      <c r="P1534" s="3" t="s">
        <v>25</v>
      </c>
      <c r="Q1534" s="2">
        <v>105.98</v>
      </c>
      <c r="R1534" s="3" t="s">
        <v>58</v>
      </c>
      <c r="S1534">
        <f>COUNTIF(A:A,A1534)</f>
        <v>1</v>
      </c>
      <c r="T1534" t="str">
        <f>IF(OR(H1534="",LOWER(TRIM(H1534&amp;""))="missing",LOWER(TRIM(H1534&amp;""))=""),"Missing/",IFERROR(IF(OR(VALUE(H1534)&lt;0,VALUE(H1534)&gt;110),"Invalid","Valid"),"Check Format"))</f>
        <v>Missing/</v>
      </c>
      <c r="U1534" t="str">
        <f>IF(Raw_Data[[#This Row],[Age_Check]]="Valid",H1534,"")</f>
        <v/>
      </c>
      <c r="V1534" t="str">
        <f>IF(OR(K1534="",UPPER(TRIM(K1534&amp;""))="",LOWER(TRIM(K1534&amp;""))="",LOWER(TRIM(K1534&amp;""))="",LOWER(TRIM(K1534&amp;""))="missing"),"Missing/",IFERROR(IF(VALUE(K1534)&lt;0,"Invalid","Valid"),"Check Format"))</f>
        <v>Valid</v>
      </c>
      <c r="W1534" t="str">
        <f>IF(OR(E1534="",F1534=""),"Missing Date/Time",IFERROR(IF(F1534&gt;E1534,"Arrival After Appointment","OK"),"Check Format"))</f>
        <v>Arrival After Appointment</v>
      </c>
      <c r="X1534" t="str">
        <f>IF(OR(F1534="",G1534=""),"Missing Date/Time",IFERROR(IF(G1534&lt;F1534,"Discharge Before Arrival","OK"),"Check Format"))</f>
        <v>OK</v>
      </c>
    </row>
    <row r="1535" spans="1:24" x14ac:dyDescent="0.25">
      <c r="A1535" s="2" t="s">
        <v>2266</v>
      </c>
      <c r="B1535" s="2" t="s">
        <v>1371</v>
      </c>
      <c r="C1535" s="3" t="s">
        <v>94</v>
      </c>
      <c r="D1535" s="3" t="s">
        <v>20</v>
      </c>
      <c r="E1535" s="4" t="s">
        <v>2267</v>
      </c>
      <c r="F1535" s="4">
        <v>45804.586805555555</v>
      </c>
      <c r="G1535" s="4">
        <v>45804.684027777781</v>
      </c>
      <c r="H1535" s="5">
        <v>145</v>
      </c>
      <c r="J1535" s="3" t="s">
        <v>67</v>
      </c>
      <c r="K1535" s="5">
        <v>95</v>
      </c>
      <c r="L1535" s="5">
        <v>40</v>
      </c>
      <c r="M1535" s="3" t="s">
        <v>68</v>
      </c>
      <c r="N1535" t="s">
        <v>100</v>
      </c>
      <c r="O1535" s="5">
        <v>3</v>
      </c>
      <c r="P1535" s="3" t="s">
        <v>25</v>
      </c>
      <c r="Q1535" s="2">
        <v>311.01</v>
      </c>
      <c r="R1535" s="3" t="s">
        <v>58</v>
      </c>
      <c r="S1535">
        <f>COUNTIF(A:A,A1535)</f>
        <v>1</v>
      </c>
      <c r="T1535" t="str">
        <f>IF(OR(H1535="",LOWER(TRIM(H1535&amp;""))="missing",LOWER(TRIM(H1535&amp;""))=""),"Missing/",IFERROR(IF(OR(VALUE(H1535)&lt;0,VALUE(H1535)&gt;110),"Invalid","Valid"),"Check Format"))</f>
        <v>Invalid</v>
      </c>
      <c r="U1535" t="str">
        <f>IF(Raw_Data[[#This Row],[Age_Check]]="Valid",H1535,"")</f>
        <v/>
      </c>
      <c r="V1535" t="str">
        <f>IF(OR(K1535="",UPPER(TRIM(K1535&amp;""))="",LOWER(TRIM(K1535&amp;""))="",LOWER(TRIM(K1535&amp;""))="",LOWER(TRIM(K1535&amp;""))="missing"),"Missing/",IFERROR(IF(VALUE(K1535)&lt;0,"Invalid","Valid"),"Check Format"))</f>
        <v>Valid</v>
      </c>
      <c r="W1535" t="str">
        <f>IF(OR(E1535="",F1535=""),"Missing Date/Time",IFERROR(IF(F1535&gt;E1535,"Arrival After Appointment","OK"),"Check Format"))</f>
        <v>OK</v>
      </c>
      <c r="X1535" t="str">
        <f>IF(OR(F1535="",G1535=""),"Missing Date/Time",IFERROR(IF(G1535&lt;F1535,"Discharge Before Arrival","OK"),"Check Format"))</f>
        <v>OK</v>
      </c>
    </row>
    <row r="1536" spans="1:24" x14ac:dyDescent="0.25">
      <c r="A1536" s="2" t="s">
        <v>2268</v>
      </c>
      <c r="B1536" s="2" t="s">
        <v>962</v>
      </c>
      <c r="D1536" s="3" t="s">
        <v>115</v>
      </c>
      <c r="E1536" s="4">
        <v>45474.496527777781</v>
      </c>
      <c r="F1536" s="4">
        <v>45298.486111111109</v>
      </c>
      <c r="H1536" s="5">
        <v>85</v>
      </c>
      <c r="I1536" s="3" t="s">
        <v>73</v>
      </c>
      <c r="J1536" s="3" t="s">
        <v>22</v>
      </c>
      <c r="K1536" s="5">
        <v>99</v>
      </c>
      <c r="L1536" s="5">
        <v>52</v>
      </c>
      <c r="N1536" t="s">
        <v>69</v>
      </c>
      <c r="P1536" s="3" t="s">
        <v>80</v>
      </c>
      <c r="Q1536" s="2">
        <v>33.97</v>
      </c>
      <c r="R1536" s="3" t="s">
        <v>43</v>
      </c>
      <c r="S1536">
        <f>COUNTIF(A:A,A1536)</f>
        <v>1</v>
      </c>
      <c r="T1536" t="str">
        <f>IF(OR(H1536="",LOWER(TRIM(H1536&amp;""))="missing",LOWER(TRIM(H1536&amp;""))=""),"Missing/",IFERROR(IF(OR(VALUE(H1536)&lt;0,VALUE(H1536)&gt;110),"Invalid","Valid"),"Check Format"))</f>
        <v>Valid</v>
      </c>
      <c r="U1536">
        <f>IF(Raw_Data[[#This Row],[Age_Check]]="Valid",H1536,"")</f>
        <v>85</v>
      </c>
      <c r="V1536" t="str">
        <f>IF(OR(K1536="",UPPER(TRIM(K1536&amp;""))="",LOWER(TRIM(K1536&amp;""))="",LOWER(TRIM(K1536&amp;""))="",LOWER(TRIM(K1536&amp;""))="missing"),"Missing/",IFERROR(IF(VALUE(K1536)&lt;0,"Invalid","Valid"),"Check Format"))</f>
        <v>Valid</v>
      </c>
      <c r="W1536" t="str">
        <f>IF(OR(E1536="",F1536=""),"Missing Date/Time",IFERROR(IF(F1536&gt;E1536,"Arrival After Appointment","OK"),"Check Format"))</f>
        <v>OK</v>
      </c>
      <c r="X1536" t="str">
        <f>IF(OR(F1536="",G1536=""),"Missing Date/Time",IFERROR(IF(G1536&lt;F1536,"Discharge Before Arrival","OK"),"Check Format"))</f>
        <v>Missing Date/Time</v>
      </c>
    </row>
    <row r="1537" spans="1:24" x14ac:dyDescent="0.25">
      <c r="A1537" s="2" t="s">
        <v>2269</v>
      </c>
      <c r="B1537" s="2" t="s">
        <v>980</v>
      </c>
      <c r="D1537" s="3" t="s">
        <v>174</v>
      </c>
      <c r="E1537" s="4">
        <v>45609.524305555555</v>
      </c>
      <c r="F1537" s="4">
        <v>45609.515972222223</v>
      </c>
      <c r="G1537" s="4">
        <v>45609.604166666664</v>
      </c>
      <c r="I1537" s="3" t="s">
        <v>95</v>
      </c>
      <c r="J1537" s="3" t="s">
        <v>67</v>
      </c>
      <c r="K1537" s="5">
        <v>84</v>
      </c>
      <c r="L1537" s="5">
        <v>31</v>
      </c>
      <c r="M1537" s="3" t="s">
        <v>41</v>
      </c>
      <c r="N1537" t="s">
        <v>69</v>
      </c>
      <c r="P1537" s="3" t="s">
        <v>42</v>
      </c>
      <c r="Q1537" s="2">
        <v>100.92</v>
      </c>
      <c r="R1537" s="3" t="s">
        <v>43</v>
      </c>
      <c r="S1537">
        <f>COUNTIF(A:A,A1537)</f>
        <v>1</v>
      </c>
      <c r="T1537" t="str">
        <f>IF(OR(H1537="",LOWER(TRIM(H1537&amp;""))="missing",LOWER(TRIM(H1537&amp;""))=""),"Missing/",IFERROR(IF(OR(VALUE(H1537)&lt;0,VALUE(H1537)&gt;110),"Invalid","Valid"),"Check Format"))</f>
        <v>Missing/</v>
      </c>
      <c r="U1537" t="str">
        <f>IF(Raw_Data[[#This Row],[Age_Check]]="Valid",H1537,"")</f>
        <v/>
      </c>
      <c r="V1537" t="str">
        <f>IF(OR(K1537="",UPPER(TRIM(K1537&amp;""))="",LOWER(TRIM(K1537&amp;""))="",LOWER(TRIM(K1537&amp;""))="",LOWER(TRIM(K1537&amp;""))="missing"),"Missing/",IFERROR(IF(VALUE(K1537)&lt;0,"Invalid","Valid"),"Check Format"))</f>
        <v>Valid</v>
      </c>
      <c r="W1537" t="str">
        <f>IF(OR(E1537="",F1537=""),"Missing Date/Time",IFERROR(IF(F1537&gt;E1537,"Arrival After Appointment","OK"),"Check Format"))</f>
        <v>OK</v>
      </c>
      <c r="X1537" t="str">
        <f>IF(OR(F1537="",G1537=""),"Missing Date/Time",IFERROR(IF(G1537&lt;F1537,"Discharge Before Arrival","OK"),"Check Format"))</f>
        <v>OK</v>
      </c>
    </row>
    <row r="1538" spans="1:24" x14ac:dyDescent="0.25">
      <c r="A1538" s="2" t="s">
        <v>2270</v>
      </c>
      <c r="B1538" s="2" t="s">
        <v>561</v>
      </c>
      <c r="D1538" s="3" t="s">
        <v>23</v>
      </c>
      <c r="E1538" s="4">
        <v>45511.357638888891</v>
      </c>
      <c r="F1538" s="4">
        <v>45481.345138888886</v>
      </c>
      <c r="G1538" s="4">
        <v>45481.435416666667</v>
      </c>
      <c r="I1538" s="3" t="s">
        <v>39</v>
      </c>
      <c r="J1538" s="3" t="s">
        <v>150</v>
      </c>
      <c r="K1538" s="5">
        <v>63</v>
      </c>
      <c r="L1538" s="5">
        <v>49</v>
      </c>
      <c r="M1538" s="3" t="s">
        <v>63</v>
      </c>
      <c r="N1538" t="s">
        <v>103</v>
      </c>
      <c r="O1538" s="5">
        <v>2</v>
      </c>
      <c r="P1538" s="3" t="s">
        <v>80</v>
      </c>
      <c r="Q1538" s="2">
        <v>185.07</v>
      </c>
      <c r="R1538" s="3" t="s">
        <v>26</v>
      </c>
      <c r="S1538">
        <f>COUNTIF(A:A,A1538)</f>
        <v>1</v>
      </c>
      <c r="T1538" t="str">
        <f>IF(OR(H1538="",LOWER(TRIM(H1538&amp;""))="missing",LOWER(TRIM(H1538&amp;""))=""),"Missing/",IFERROR(IF(OR(VALUE(H1538)&lt;0,VALUE(H1538)&gt;110),"Invalid","Valid"),"Check Format"))</f>
        <v>Missing/</v>
      </c>
      <c r="U1538" t="str">
        <f>IF(Raw_Data[[#This Row],[Age_Check]]="Valid",H1538,"")</f>
        <v/>
      </c>
      <c r="V1538" t="str">
        <f>IF(OR(K1538="",UPPER(TRIM(K1538&amp;""))="",LOWER(TRIM(K1538&amp;""))="",LOWER(TRIM(K1538&amp;""))="",LOWER(TRIM(K1538&amp;""))="missing"),"Missing/",IFERROR(IF(VALUE(K1538)&lt;0,"Invalid","Valid"),"Check Format"))</f>
        <v>Valid</v>
      </c>
      <c r="W1538" t="str">
        <f>IF(OR(E1538="",F1538=""),"Missing Date/Time",IFERROR(IF(F1538&gt;E1538,"Arrival After Appointment","OK"),"Check Format"))</f>
        <v>OK</v>
      </c>
      <c r="X1538" t="str">
        <f>IF(OR(F1538="",G1538=""),"Missing Date/Time",IFERROR(IF(G1538&lt;F1538,"Discharge Before Arrival","OK"),"Check Format"))</f>
        <v>OK</v>
      </c>
    </row>
    <row r="1539" spans="1:24" x14ac:dyDescent="0.25">
      <c r="A1539" s="2" t="s">
        <v>2271</v>
      </c>
      <c r="B1539" s="2" t="s">
        <v>1985</v>
      </c>
      <c r="C1539" s="3" t="s">
        <v>94</v>
      </c>
      <c r="D1539" s="3" t="s">
        <v>38</v>
      </c>
      <c r="E1539" s="4">
        <v>45466.694444444445</v>
      </c>
      <c r="F1539" s="4">
        <v>45466.688888888886</v>
      </c>
      <c r="H1539" s="5">
        <v>61</v>
      </c>
      <c r="I1539" s="3" t="s">
        <v>90</v>
      </c>
      <c r="J1539" s="3" t="s">
        <v>62</v>
      </c>
      <c r="K1539" s="5">
        <v>27</v>
      </c>
      <c r="L1539" s="5">
        <v>45</v>
      </c>
      <c r="N1539" t="s">
        <v>69</v>
      </c>
      <c r="O1539" s="5">
        <v>2</v>
      </c>
      <c r="P1539" s="3" t="s">
        <v>80</v>
      </c>
      <c r="Q1539" s="2">
        <v>93.99</v>
      </c>
      <c r="R1539" s="3" t="s">
        <v>58</v>
      </c>
      <c r="S1539">
        <f>COUNTIF(A:A,A1539)</f>
        <v>1</v>
      </c>
      <c r="T1539" t="str">
        <f>IF(OR(H1539="",LOWER(TRIM(H1539&amp;""))="missing",LOWER(TRIM(H1539&amp;""))=""),"Missing/",IFERROR(IF(OR(VALUE(H1539)&lt;0,VALUE(H1539)&gt;110),"Invalid","Valid"),"Check Format"))</f>
        <v>Valid</v>
      </c>
      <c r="U1539">
        <f>IF(Raw_Data[[#This Row],[Age_Check]]="Valid",H1539,"")</f>
        <v>61</v>
      </c>
      <c r="V1539" t="str">
        <f>IF(OR(K1539="",UPPER(TRIM(K1539&amp;""))="",LOWER(TRIM(K1539&amp;""))="",LOWER(TRIM(K1539&amp;""))="",LOWER(TRIM(K1539&amp;""))="missing"),"Missing/",IFERROR(IF(VALUE(K1539)&lt;0,"Invalid","Valid"),"Check Format"))</f>
        <v>Valid</v>
      </c>
      <c r="W1539" t="str">
        <f>IF(OR(E1539="",F1539=""),"Missing Date/Time",IFERROR(IF(F1539&gt;E1539,"Arrival After Appointment","OK"),"Check Format"))</f>
        <v>OK</v>
      </c>
      <c r="X1539" t="str">
        <f>IF(OR(F1539="",G1539=""),"Missing Date/Time",IFERROR(IF(G1539&lt;F1539,"Discharge Before Arrival","OK"),"Check Format"))</f>
        <v>Missing Date/Time</v>
      </c>
    </row>
    <row r="1540" spans="1:24" x14ac:dyDescent="0.25">
      <c r="A1540" s="2" t="s">
        <v>2272</v>
      </c>
      <c r="B1540" s="2" t="s">
        <v>130</v>
      </c>
      <c r="C1540" s="3" t="s">
        <v>19</v>
      </c>
      <c r="D1540" s="3" t="s">
        <v>20</v>
      </c>
      <c r="E1540" s="4">
        <v>46005.447916666664</v>
      </c>
      <c r="F1540" s="4">
        <v>46005.436805555553</v>
      </c>
      <c r="G1540" s="4">
        <v>46005.511111111111</v>
      </c>
      <c r="I1540" s="3" t="s">
        <v>90</v>
      </c>
      <c r="J1540" s="3" t="s">
        <v>2639</v>
      </c>
      <c r="K1540" s="5">
        <v>65</v>
      </c>
      <c r="L1540" s="5">
        <v>26</v>
      </c>
      <c r="M1540" s="3" t="s">
        <v>41</v>
      </c>
      <c r="N1540" t="s">
        <v>91</v>
      </c>
      <c r="P1540" s="3" t="s">
        <v>25</v>
      </c>
      <c r="Q1540" s="2">
        <v>127.49</v>
      </c>
      <c r="R1540" s="3" t="s">
        <v>75</v>
      </c>
      <c r="S1540">
        <f>COUNTIF(A:A,A1540)</f>
        <v>1</v>
      </c>
      <c r="T1540" t="str">
        <f>IF(OR(H1540="",LOWER(TRIM(H1540&amp;""))="missing",LOWER(TRIM(H1540&amp;""))=""),"Missing/",IFERROR(IF(OR(VALUE(H1540)&lt;0,VALUE(H1540)&gt;110),"Invalid","Valid"),"Check Format"))</f>
        <v>Missing/</v>
      </c>
      <c r="U1540" t="str">
        <f>IF(Raw_Data[[#This Row],[Age_Check]]="Valid",H1540,"")</f>
        <v/>
      </c>
      <c r="V1540" t="str">
        <f>IF(OR(K1540="",UPPER(TRIM(K1540&amp;""))="",LOWER(TRIM(K1540&amp;""))="",LOWER(TRIM(K1540&amp;""))="",LOWER(TRIM(K1540&amp;""))="missing"),"Missing/",IFERROR(IF(VALUE(K1540)&lt;0,"Invalid","Valid"),"Check Format"))</f>
        <v>Valid</v>
      </c>
      <c r="W1540" t="str">
        <f>IF(OR(E1540="",F1540=""),"Missing Date/Time",IFERROR(IF(F1540&gt;E1540,"Arrival After Appointment","OK"),"Check Format"))</f>
        <v>OK</v>
      </c>
      <c r="X1540" t="str">
        <f>IF(OR(F1540="",G1540=""),"Missing Date/Time",IFERROR(IF(G1540&lt;F1540,"Discharge Before Arrival","OK"),"Check Format"))</f>
        <v>OK</v>
      </c>
    </row>
    <row r="1541" spans="1:24" x14ac:dyDescent="0.25">
      <c r="A1541" s="2" t="s">
        <v>2273</v>
      </c>
      <c r="B1541" s="2" t="s">
        <v>229</v>
      </c>
      <c r="D1541" s="3" t="s">
        <v>149</v>
      </c>
      <c r="E1541" s="4">
        <v>45368.46875</v>
      </c>
      <c r="F1541" s="4">
        <v>45368.457638888889</v>
      </c>
      <c r="G1541" s="4">
        <v>45368.536111111112</v>
      </c>
      <c r="H1541" s="5">
        <v>145</v>
      </c>
      <c r="J1541" s="3" t="s">
        <v>67</v>
      </c>
      <c r="K1541" s="5">
        <v>84</v>
      </c>
      <c r="L1541" s="5">
        <v>13</v>
      </c>
      <c r="M1541" s="3" t="s">
        <v>50</v>
      </c>
      <c r="P1541" s="3" t="s">
        <v>80</v>
      </c>
      <c r="Q1541" s="2">
        <v>300.62</v>
      </c>
      <c r="R1541" s="3" t="s">
        <v>58</v>
      </c>
      <c r="S1541">
        <f>COUNTIF(A:A,A1541)</f>
        <v>1</v>
      </c>
      <c r="T1541" t="str">
        <f>IF(OR(H1541="",LOWER(TRIM(H1541&amp;""))="missing",LOWER(TRIM(H1541&amp;""))=""),"Missing/",IFERROR(IF(OR(VALUE(H1541)&lt;0,VALUE(H1541)&gt;110),"Invalid","Valid"),"Check Format"))</f>
        <v>Invalid</v>
      </c>
      <c r="U1541" t="str">
        <f>IF(Raw_Data[[#This Row],[Age_Check]]="Valid",H1541,"")</f>
        <v/>
      </c>
      <c r="V1541" t="str">
        <f>IF(OR(K1541="",UPPER(TRIM(K1541&amp;""))="",LOWER(TRIM(K1541&amp;""))="",LOWER(TRIM(K1541&amp;""))="",LOWER(TRIM(K1541&amp;""))="missing"),"Missing/",IFERROR(IF(VALUE(K1541)&lt;0,"Invalid","Valid"),"Check Format"))</f>
        <v>Valid</v>
      </c>
      <c r="W1541" t="str">
        <f>IF(OR(E1541="",F1541=""),"Missing Date/Time",IFERROR(IF(F1541&gt;E1541,"Arrival After Appointment","OK"),"Check Format"))</f>
        <v>OK</v>
      </c>
      <c r="X1541" t="str">
        <f>IF(OR(F1541="",G1541=""),"Missing Date/Time",IFERROR(IF(G1541&lt;F1541,"Discharge Before Arrival","OK"),"Check Format"))</f>
        <v>OK</v>
      </c>
    </row>
    <row r="1542" spans="1:24" x14ac:dyDescent="0.25">
      <c r="A1542" s="2" t="s">
        <v>2274</v>
      </c>
      <c r="B1542" s="2" t="s">
        <v>620</v>
      </c>
      <c r="C1542" s="3" t="s">
        <v>94</v>
      </c>
      <c r="D1542" s="3" t="s">
        <v>99</v>
      </c>
      <c r="E1542" s="4">
        <v>45574.71875</v>
      </c>
      <c r="F1542" s="4">
        <v>45545.717361111114</v>
      </c>
      <c r="G1542" s="4">
        <v>45545.73333333333</v>
      </c>
      <c r="I1542" s="3" t="s">
        <v>95</v>
      </c>
      <c r="K1542" s="5">
        <v>0</v>
      </c>
      <c r="L1542" s="5">
        <v>21</v>
      </c>
      <c r="M1542" s="3" t="s">
        <v>87</v>
      </c>
      <c r="N1542" t="s">
        <v>100</v>
      </c>
      <c r="P1542" s="3" t="s">
        <v>25</v>
      </c>
      <c r="Q1542" s="2">
        <v>174.62</v>
      </c>
      <c r="R1542" s="3" t="s">
        <v>58</v>
      </c>
      <c r="S1542">
        <f>COUNTIF(A:A,A1542)</f>
        <v>1</v>
      </c>
      <c r="T1542" t="str">
        <f>IF(OR(H1542="",LOWER(TRIM(H1542&amp;""))="missing",LOWER(TRIM(H1542&amp;""))=""),"Missing/",IFERROR(IF(OR(VALUE(H1542)&lt;0,VALUE(H1542)&gt;110),"Invalid","Valid"),"Check Format"))</f>
        <v>Missing/</v>
      </c>
      <c r="U1542" t="str">
        <f>IF(Raw_Data[[#This Row],[Age_Check]]="Valid",H1542,"")</f>
        <v/>
      </c>
      <c r="V1542" t="str">
        <f>IF(OR(K1542="",UPPER(TRIM(K1542&amp;""))="",LOWER(TRIM(K1542&amp;""))="",LOWER(TRIM(K1542&amp;""))="",LOWER(TRIM(K1542&amp;""))="missing"),"Missing/",IFERROR(IF(VALUE(K1542)&lt;0,"Invalid","Valid"),"Check Format"))</f>
        <v>Valid</v>
      </c>
      <c r="W1542" t="str">
        <f>IF(OR(E1542="",F1542=""),"Missing Date/Time",IFERROR(IF(F1542&gt;E1542,"Arrival After Appointment","OK"),"Check Format"))</f>
        <v>OK</v>
      </c>
      <c r="X1542" t="str">
        <f>IF(OR(F1542="",G1542=""),"Missing Date/Time",IFERROR(IF(G1542&lt;F1542,"Discharge Before Arrival","OK"),"Check Format"))</f>
        <v>OK</v>
      </c>
    </row>
    <row r="1543" spans="1:24" x14ac:dyDescent="0.25">
      <c r="A1543" s="2" t="s">
        <v>2275</v>
      </c>
      <c r="B1543" s="2" t="s">
        <v>1254</v>
      </c>
      <c r="C1543" s="3" t="s">
        <v>94</v>
      </c>
      <c r="D1543" s="3" t="s">
        <v>99</v>
      </c>
      <c r="E1543" s="4">
        <v>45605.732638888891</v>
      </c>
      <c r="F1543" s="4">
        <v>45605.718055555553</v>
      </c>
      <c r="G1543" s="4">
        <v>45605.807638888888</v>
      </c>
      <c r="J1543" s="3" t="s">
        <v>67</v>
      </c>
      <c r="K1543" s="5">
        <v>78</v>
      </c>
      <c r="L1543" s="5">
        <v>30</v>
      </c>
      <c r="M1543" s="3" t="s">
        <v>41</v>
      </c>
      <c r="N1543" t="s">
        <v>100</v>
      </c>
      <c r="O1543" s="5">
        <v>0</v>
      </c>
      <c r="P1543" s="3" t="s">
        <v>80</v>
      </c>
      <c r="Q1543" s="2">
        <v>140.41</v>
      </c>
      <c r="R1543" s="3" t="s">
        <v>26</v>
      </c>
      <c r="S1543">
        <f>COUNTIF(A:A,A1543)</f>
        <v>1</v>
      </c>
      <c r="T1543" t="str">
        <f>IF(OR(H1543="",LOWER(TRIM(H1543&amp;""))="missing",LOWER(TRIM(H1543&amp;""))=""),"Missing/",IFERROR(IF(OR(VALUE(H1543)&lt;0,VALUE(H1543)&gt;110),"Invalid","Valid"),"Check Format"))</f>
        <v>Missing/</v>
      </c>
      <c r="U1543" t="str">
        <f>IF(Raw_Data[[#This Row],[Age_Check]]="Valid",H1543,"")</f>
        <v/>
      </c>
      <c r="V1543" t="str">
        <f>IF(OR(K1543="",UPPER(TRIM(K1543&amp;""))="",LOWER(TRIM(K1543&amp;""))="",LOWER(TRIM(K1543&amp;""))="",LOWER(TRIM(K1543&amp;""))="missing"),"Missing/",IFERROR(IF(VALUE(K1543)&lt;0,"Invalid","Valid"),"Check Format"))</f>
        <v>Valid</v>
      </c>
      <c r="W1543" t="str">
        <f>IF(OR(E1543="",F1543=""),"Missing Date/Time",IFERROR(IF(F1543&gt;E1543,"Arrival After Appointment","OK"),"Check Format"))</f>
        <v>OK</v>
      </c>
      <c r="X1543" t="str">
        <f>IF(OR(F1543="",G1543=""),"Missing Date/Time",IFERROR(IF(G1543&lt;F1543,"Discharge Before Arrival","OK"),"Check Format"))</f>
        <v>OK</v>
      </c>
    </row>
    <row r="1544" spans="1:24" x14ac:dyDescent="0.25">
      <c r="A1544" s="2" t="s">
        <v>2276</v>
      </c>
      <c r="B1544" s="2" t="s">
        <v>542</v>
      </c>
      <c r="C1544" s="3" t="s">
        <v>46</v>
      </c>
      <c r="D1544" s="3" t="s">
        <v>106</v>
      </c>
      <c r="E1544" s="4">
        <v>45384.298611111109</v>
      </c>
      <c r="F1544" s="4">
        <v>45384.285416666666</v>
      </c>
      <c r="G1544" s="4">
        <v>45384.367361111108</v>
      </c>
      <c r="I1544" s="3" t="s">
        <v>95</v>
      </c>
      <c r="J1544" s="3" t="s">
        <v>62</v>
      </c>
      <c r="K1544" s="5">
        <v>72</v>
      </c>
      <c r="L1544" s="5">
        <v>27</v>
      </c>
      <c r="M1544" s="3" t="s">
        <v>87</v>
      </c>
      <c r="N1544" t="s">
        <v>24</v>
      </c>
      <c r="O1544" s="5">
        <v>4</v>
      </c>
      <c r="P1544" s="3" t="s">
        <v>25</v>
      </c>
      <c r="Q1544" s="2">
        <v>256.45</v>
      </c>
      <c r="R1544" s="3" t="s">
        <v>58</v>
      </c>
      <c r="S1544">
        <f>COUNTIF(A:A,A1544)</f>
        <v>1</v>
      </c>
      <c r="T1544" t="str">
        <f>IF(OR(H1544="",LOWER(TRIM(H1544&amp;""))="missing",LOWER(TRIM(H1544&amp;""))=""),"Missing/",IFERROR(IF(OR(VALUE(H1544)&lt;0,VALUE(H1544)&gt;110),"Invalid","Valid"),"Check Format"))</f>
        <v>Missing/</v>
      </c>
      <c r="U1544" t="str">
        <f>IF(Raw_Data[[#This Row],[Age_Check]]="Valid",H1544,"")</f>
        <v/>
      </c>
      <c r="V1544" t="str">
        <f>IF(OR(K1544="",UPPER(TRIM(K1544&amp;""))="",LOWER(TRIM(K1544&amp;""))="",LOWER(TRIM(K1544&amp;""))="",LOWER(TRIM(K1544&amp;""))="missing"),"Missing/",IFERROR(IF(VALUE(K1544)&lt;0,"Invalid","Valid"),"Check Format"))</f>
        <v>Valid</v>
      </c>
      <c r="W1544" t="str">
        <f>IF(OR(E1544="",F1544=""),"Missing Date/Time",IFERROR(IF(F1544&gt;E1544,"Arrival After Appointment","OK"),"Check Format"))</f>
        <v>OK</v>
      </c>
      <c r="X1544" t="str">
        <f>IF(OR(F1544="",G1544=""),"Missing Date/Time",IFERROR(IF(G1544&lt;F1544,"Discharge Before Arrival","OK"),"Check Format"))</f>
        <v>OK</v>
      </c>
    </row>
    <row r="1545" spans="1:24" x14ac:dyDescent="0.25">
      <c r="A1545" s="2" t="s">
        <v>2277</v>
      </c>
      <c r="B1545" s="2" t="s">
        <v>281</v>
      </c>
      <c r="C1545" s="3" t="s">
        <v>94</v>
      </c>
      <c r="D1545" s="3" t="s">
        <v>209</v>
      </c>
      <c r="E1545" s="4">
        <v>45877.326388888891</v>
      </c>
      <c r="F1545" s="4">
        <v>45877.320138888892</v>
      </c>
      <c r="G1545" s="4">
        <v>45877.419444444444</v>
      </c>
      <c r="I1545" s="3" t="s">
        <v>95</v>
      </c>
      <c r="J1545" s="3" t="s">
        <v>22</v>
      </c>
      <c r="K1545" s="5">
        <v>87</v>
      </c>
      <c r="L1545" s="5">
        <v>47</v>
      </c>
      <c r="M1545" s="3" t="s">
        <v>68</v>
      </c>
      <c r="N1545" t="s">
        <v>74</v>
      </c>
      <c r="P1545" s="3" t="s">
        <v>80</v>
      </c>
      <c r="Q1545" s="2">
        <v>67.709999999999994</v>
      </c>
      <c r="R1545" s="3" t="s">
        <v>43</v>
      </c>
      <c r="S1545">
        <f>COUNTIF(A:A,A1545)</f>
        <v>1</v>
      </c>
      <c r="T1545" t="str">
        <f>IF(OR(H1545="",LOWER(TRIM(H1545&amp;""))="missing",LOWER(TRIM(H1545&amp;""))=""),"Missing/",IFERROR(IF(OR(VALUE(H1545)&lt;0,VALUE(H1545)&gt;110),"Invalid","Valid"),"Check Format"))</f>
        <v>Missing/</v>
      </c>
      <c r="U1545" t="str">
        <f>IF(Raw_Data[[#This Row],[Age_Check]]="Valid",H1545,"")</f>
        <v/>
      </c>
      <c r="V1545" t="str">
        <f>IF(OR(K1545="",UPPER(TRIM(K1545&amp;""))="",LOWER(TRIM(K1545&amp;""))="",LOWER(TRIM(K1545&amp;""))="",LOWER(TRIM(K1545&amp;""))="missing"),"Missing/",IFERROR(IF(VALUE(K1545)&lt;0,"Invalid","Valid"),"Check Format"))</f>
        <v>Valid</v>
      </c>
      <c r="W1545" t="str">
        <f>IF(OR(E1545="",F1545=""),"Missing Date/Time",IFERROR(IF(F1545&gt;E1545,"Arrival After Appointment","OK"),"Check Format"))</f>
        <v>OK</v>
      </c>
      <c r="X1545" t="str">
        <f>IF(OR(F1545="",G1545=""),"Missing Date/Time",IFERROR(IF(G1545&lt;F1545,"Discharge Before Arrival","OK"),"Check Format"))</f>
        <v>OK</v>
      </c>
    </row>
    <row r="1546" spans="1:24" x14ac:dyDescent="0.25">
      <c r="A1546" s="2" t="s">
        <v>2278</v>
      </c>
      <c r="B1546" s="2" t="s">
        <v>1782</v>
      </c>
      <c r="C1546" s="3" t="s">
        <v>29</v>
      </c>
      <c r="D1546" s="3" t="s">
        <v>99</v>
      </c>
      <c r="E1546" s="4">
        <v>45826.388888888891</v>
      </c>
      <c r="F1546" s="4">
        <v>45826.377083333333</v>
      </c>
      <c r="H1546" s="5">
        <v>1</v>
      </c>
      <c r="I1546" s="3" t="s">
        <v>95</v>
      </c>
      <c r="J1546" s="3" t="s">
        <v>2639</v>
      </c>
      <c r="K1546" s="5">
        <v>55</v>
      </c>
      <c r="L1546" s="5">
        <v>26</v>
      </c>
      <c r="M1546" s="3" t="s">
        <v>32</v>
      </c>
      <c r="N1546" t="s">
        <v>91</v>
      </c>
      <c r="O1546" s="5">
        <v>6</v>
      </c>
      <c r="Q1546" s="2">
        <v>64.55</v>
      </c>
      <c r="R1546" s="3" t="s">
        <v>75</v>
      </c>
      <c r="S1546">
        <f>COUNTIF(A:A,A1546)</f>
        <v>1</v>
      </c>
      <c r="T1546" t="str">
        <f>IF(OR(H1546="",LOWER(TRIM(H1546&amp;""))="missing",LOWER(TRIM(H1546&amp;""))=""),"Missing/",IFERROR(IF(OR(VALUE(H1546)&lt;0,VALUE(H1546)&gt;110),"Invalid","Valid"),"Check Format"))</f>
        <v>Valid</v>
      </c>
      <c r="U1546">
        <f>IF(Raw_Data[[#This Row],[Age_Check]]="Valid",H1546,"")</f>
        <v>1</v>
      </c>
      <c r="V1546" t="str">
        <f>IF(OR(K1546="",UPPER(TRIM(K1546&amp;""))="",LOWER(TRIM(K1546&amp;""))="",LOWER(TRIM(K1546&amp;""))="",LOWER(TRIM(K1546&amp;""))="missing"),"Missing/",IFERROR(IF(VALUE(K1546)&lt;0,"Invalid","Valid"),"Check Format"))</f>
        <v>Valid</v>
      </c>
      <c r="W1546" t="str">
        <f>IF(OR(E1546="",F1546=""),"Missing Date/Time",IFERROR(IF(F1546&gt;E1546,"Arrival After Appointment","OK"),"Check Format"))</f>
        <v>OK</v>
      </c>
      <c r="X1546" t="str">
        <f>IF(OR(F1546="",G1546=""),"Missing Date/Time",IFERROR(IF(G1546&lt;F1546,"Discharge Before Arrival","OK"),"Check Format"))</f>
        <v>Missing Date/Time</v>
      </c>
    </row>
    <row r="1547" spans="1:24" x14ac:dyDescent="0.25">
      <c r="A1547" s="2" t="s">
        <v>2279</v>
      </c>
      <c r="B1547" s="2" t="s">
        <v>976</v>
      </c>
      <c r="C1547" s="3" t="s">
        <v>46</v>
      </c>
      <c r="D1547" s="3" t="s">
        <v>23</v>
      </c>
      <c r="E1547" s="4">
        <v>45833.46875</v>
      </c>
      <c r="F1547" s="4">
        <v>45833.452777777777</v>
      </c>
      <c r="G1547" s="4">
        <v>45833.532638888886</v>
      </c>
      <c r="H1547" s="5">
        <v>31</v>
      </c>
      <c r="J1547" s="3" t="s">
        <v>150</v>
      </c>
      <c r="K1547" s="5">
        <v>999</v>
      </c>
      <c r="L1547" s="5">
        <v>22</v>
      </c>
      <c r="M1547" s="3" t="s">
        <v>87</v>
      </c>
      <c r="O1547" s="5">
        <v>0</v>
      </c>
      <c r="P1547" s="3" t="s">
        <v>25</v>
      </c>
      <c r="Q1547" s="2">
        <v>197.43</v>
      </c>
      <c r="R1547" s="3" t="s">
        <v>75</v>
      </c>
      <c r="S1547">
        <f>COUNTIF(A:A,A1547)</f>
        <v>1</v>
      </c>
      <c r="T1547" t="str">
        <f>IF(OR(H1547="",LOWER(TRIM(H1547&amp;""))="missing",LOWER(TRIM(H1547&amp;""))=""),"Missing/",IFERROR(IF(OR(VALUE(H1547)&lt;0,VALUE(H1547)&gt;110),"Invalid","Valid"),"Check Format"))</f>
        <v>Valid</v>
      </c>
      <c r="U1547">
        <f>IF(Raw_Data[[#This Row],[Age_Check]]="Valid",H1547,"")</f>
        <v>31</v>
      </c>
      <c r="V1547" t="str">
        <f>IF(OR(K1547="",UPPER(TRIM(K1547&amp;""))="",LOWER(TRIM(K1547&amp;""))="",LOWER(TRIM(K1547&amp;""))="",LOWER(TRIM(K1547&amp;""))="missing"),"Missing/",IFERROR(IF(VALUE(K1547)&lt;0,"Invalid","Valid"),"Check Format"))</f>
        <v>Valid</v>
      </c>
      <c r="W1547" t="str">
        <f>IF(OR(E1547="",F1547=""),"Missing Date/Time",IFERROR(IF(F1547&gt;E1547,"Arrival After Appointment","OK"),"Check Format"))</f>
        <v>OK</v>
      </c>
      <c r="X1547" t="str">
        <f>IF(OR(F1547="",G1547=""),"Missing Date/Time",IFERROR(IF(G1547&lt;F1547,"Discharge Before Arrival","OK"),"Check Format"))</f>
        <v>OK</v>
      </c>
    </row>
    <row r="1548" spans="1:24" x14ac:dyDescent="0.25">
      <c r="A1548" s="2" t="s">
        <v>2280</v>
      </c>
      <c r="B1548" s="2" t="s">
        <v>1968</v>
      </c>
      <c r="C1548" s="3" t="s">
        <v>29</v>
      </c>
      <c r="D1548" s="3" t="s">
        <v>47</v>
      </c>
      <c r="E1548" s="4">
        <v>45304.607638888891</v>
      </c>
      <c r="F1548" s="4">
        <v>45304.602777777778</v>
      </c>
      <c r="G1548" s="4">
        <v>45304.664583333331</v>
      </c>
      <c r="I1548" s="3" t="s">
        <v>73</v>
      </c>
      <c r="J1548" s="3" t="s">
        <v>62</v>
      </c>
      <c r="K1548" s="5">
        <v>20</v>
      </c>
      <c r="L1548" s="5">
        <v>62</v>
      </c>
      <c r="M1548" s="3" t="s">
        <v>32</v>
      </c>
      <c r="N1548" t="s">
        <v>69</v>
      </c>
      <c r="P1548" s="3" t="s">
        <v>80</v>
      </c>
      <c r="Q1548" s="2">
        <v>73.290000000000006</v>
      </c>
      <c r="R1548" s="3" t="s">
        <v>58</v>
      </c>
      <c r="S1548">
        <f>COUNTIF(A:A,A1548)</f>
        <v>1</v>
      </c>
      <c r="T1548" t="str">
        <f>IF(OR(H1548="",LOWER(TRIM(H1548&amp;""))="missing",LOWER(TRIM(H1548&amp;""))=""),"Missing/",IFERROR(IF(OR(VALUE(H1548)&lt;0,VALUE(H1548)&gt;110),"Invalid","Valid"),"Check Format"))</f>
        <v>Missing/</v>
      </c>
      <c r="U1548" t="str">
        <f>IF(Raw_Data[[#This Row],[Age_Check]]="Valid",H1548,"")</f>
        <v/>
      </c>
      <c r="V1548" t="str">
        <f>IF(OR(K1548="",UPPER(TRIM(K1548&amp;""))="",LOWER(TRIM(K1548&amp;""))="",LOWER(TRIM(K1548&amp;""))="",LOWER(TRIM(K1548&amp;""))="missing"),"Missing/",IFERROR(IF(VALUE(K1548)&lt;0,"Invalid","Valid"),"Check Format"))</f>
        <v>Valid</v>
      </c>
      <c r="W1548" t="str">
        <f>IF(OR(E1548="",F1548=""),"Missing Date/Time",IFERROR(IF(F1548&gt;E1548,"Arrival After Appointment","OK"),"Check Format"))</f>
        <v>OK</v>
      </c>
      <c r="X1548" t="str">
        <f>IF(OR(F1548="",G1548=""),"Missing Date/Time",IFERROR(IF(G1548&lt;F1548,"Discharge Before Arrival","OK"),"Check Format"))</f>
        <v>OK</v>
      </c>
    </row>
    <row r="1549" spans="1:24" x14ac:dyDescent="0.25">
      <c r="A1549" s="2" t="s">
        <v>2281</v>
      </c>
      <c r="B1549" s="2" t="s">
        <v>259</v>
      </c>
      <c r="C1549" s="3" t="s">
        <v>19</v>
      </c>
      <c r="D1549" s="3" t="s">
        <v>209</v>
      </c>
      <c r="E1549" s="4">
        <v>45637.513888888891</v>
      </c>
      <c r="F1549" s="4">
        <v>45637.505555555559</v>
      </c>
      <c r="G1549" s="4">
        <v>45637.59097222222</v>
      </c>
      <c r="I1549" s="3" t="s">
        <v>73</v>
      </c>
      <c r="K1549" s="5">
        <v>65</v>
      </c>
      <c r="L1549" s="5">
        <v>46</v>
      </c>
      <c r="M1549" s="3" t="s">
        <v>50</v>
      </c>
      <c r="P1549" s="3" t="s">
        <v>80</v>
      </c>
      <c r="Q1549" s="2">
        <v>99.35</v>
      </c>
      <c r="R1549" s="3" t="s">
        <v>58</v>
      </c>
      <c r="S1549">
        <f>COUNTIF(A:A,A1549)</f>
        <v>1</v>
      </c>
      <c r="T1549" t="str">
        <f>IF(OR(H1549="",LOWER(TRIM(H1549&amp;""))="missing",LOWER(TRIM(H1549&amp;""))=""),"Missing/",IFERROR(IF(OR(VALUE(H1549)&lt;0,VALUE(H1549)&gt;110),"Invalid","Valid"),"Check Format"))</f>
        <v>Missing/</v>
      </c>
      <c r="U1549" t="str">
        <f>IF(Raw_Data[[#This Row],[Age_Check]]="Valid",H1549,"")</f>
        <v/>
      </c>
      <c r="V1549" t="str">
        <f>IF(OR(K1549="",UPPER(TRIM(K1549&amp;""))="",LOWER(TRIM(K1549&amp;""))="",LOWER(TRIM(K1549&amp;""))="",LOWER(TRIM(K1549&amp;""))="missing"),"Missing/",IFERROR(IF(VALUE(K1549)&lt;0,"Invalid","Valid"),"Check Format"))</f>
        <v>Valid</v>
      </c>
      <c r="W1549" t="str">
        <f>IF(OR(E1549="",F1549=""),"Missing Date/Time",IFERROR(IF(F1549&gt;E1549,"Arrival After Appointment","OK"),"Check Format"))</f>
        <v>OK</v>
      </c>
      <c r="X1549" t="str">
        <f>IF(OR(F1549="",G1549=""),"Missing Date/Time",IFERROR(IF(G1549&lt;F1549,"Discharge Before Arrival","OK"),"Check Format"))</f>
        <v>OK</v>
      </c>
    </row>
    <row r="1550" spans="1:24" x14ac:dyDescent="0.25">
      <c r="A1550" s="2" t="s">
        <v>2282</v>
      </c>
      <c r="B1550" s="2" t="s">
        <v>741</v>
      </c>
      <c r="C1550" s="3" t="s">
        <v>46</v>
      </c>
      <c r="D1550" s="3" t="s">
        <v>106</v>
      </c>
      <c r="E1550" s="4">
        <v>45949.34375</v>
      </c>
      <c r="F1550" s="4">
        <v>45949.333333333336</v>
      </c>
      <c r="G1550" s="4">
        <v>45949.410416666666</v>
      </c>
      <c r="H1550" s="5">
        <v>145</v>
      </c>
      <c r="I1550" s="3" t="s">
        <v>39</v>
      </c>
      <c r="J1550" s="3" t="s">
        <v>22</v>
      </c>
      <c r="K1550" s="5">
        <v>87</v>
      </c>
      <c r="L1550" s="5">
        <v>9</v>
      </c>
      <c r="M1550" s="3" t="s">
        <v>68</v>
      </c>
      <c r="N1550" t="s">
        <v>103</v>
      </c>
      <c r="O1550" s="5">
        <v>4</v>
      </c>
      <c r="P1550" s="3" t="s">
        <v>80</v>
      </c>
      <c r="Q1550" s="2">
        <v>261.17</v>
      </c>
      <c r="R1550" s="3" t="s">
        <v>26</v>
      </c>
      <c r="S1550">
        <f>COUNTIF(A:A,A1550)</f>
        <v>1</v>
      </c>
      <c r="T1550" t="str">
        <f>IF(OR(H1550="",LOWER(TRIM(H1550&amp;""))="missing",LOWER(TRIM(H1550&amp;""))=""),"Missing/",IFERROR(IF(OR(VALUE(H1550)&lt;0,VALUE(H1550)&gt;110),"Invalid","Valid"),"Check Format"))</f>
        <v>Invalid</v>
      </c>
      <c r="U1550" t="str">
        <f>IF(Raw_Data[[#This Row],[Age_Check]]="Valid",H1550,"")</f>
        <v/>
      </c>
      <c r="V1550" t="str">
        <f>IF(OR(K1550="",UPPER(TRIM(K1550&amp;""))="",LOWER(TRIM(K1550&amp;""))="",LOWER(TRIM(K1550&amp;""))="",LOWER(TRIM(K1550&amp;""))="missing"),"Missing/",IFERROR(IF(VALUE(K1550)&lt;0,"Invalid","Valid"),"Check Format"))</f>
        <v>Valid</v>
      </c>
      <c r="W1550" t="str">
        <f>IF(OR(E1550="",F1550=""),"Missing Date/Time",IFERROR(IF(F1550&gt;E1550,"Arrival After Appointment","OK"),"Check Format"))</f>
        <v>OK</v>
      </c>
      <c r="X1550" t="str">
        <f>IF(OR(F1550="",G1550=""),"Missing Date/Time",IFERROR(IF(G1550&lt;F1550,"Discharge Before Arrival","OK"),"Check Format"))</f>
        <v>OK</v>
      </c>
    </row>
    <row r="1551" spans="1:24" x14ac:dyDescent="0.25">
      <c r="A1551" s="2" t="s">
        <v>2283</v>
      </c>
      <c r="B1551" s="2" t="s">
        <v>376</v>
      </c>
      <c r="C1551" s="3" t="s">
        <v>29</v>
      </c>
      <c r="D1551" s="3" t="s">
        <v>99</v>
      </c>
      <c r="E1551" s="4">
        <v>45336.440972222219</v>
      </c>
      <c r="F1551" s="4">
        <v>45336.428472222222</v>
      </c>
      <c r="G1551" s="4">
        <v>45336.495833333334</v>
      </c>
      <c r="I1551" s="3" t="s">
        <v>73</v>
      </c>
      <c r="J1551" s="3" t="s">
        <v>62</v>
      </c>
      <c r="K1551" s="5">
        <v>58</v>
      </c>
      <c r="L1551" s="5">
        <v>21</v>
      </c>
      <c r="M1551" s="3" t="s">
        <v>63</v>
      </c>
      <c r="N1551" t="s">
        <v>69</v>
      </c>
      <c r="O1551" s="5">
        <v>0</v>
      </c>
      <c r="P1551" s="3" t="s">
        <v>42</v>
      </c>
      <c r="Q1551" s="2">
        <v>121.07</v>
      </c>
      <c r="R1551" s="3" t="s">
        <v>43</v>
      </c>
      <c r="S1551">
        <f>COUNTIF(A:A,A1551)</f>
        <v>1</v>
      </c>
      <c r="T1551" t="str">
        <f>IF(OR(H1551="",LOWER(TRIM(H1551&amp;""))="missing",LOWER(TRIM(H1551&amp;""))=""),"Missing/",IFERROR(IF(OR(VALUE(H1551)&lt;0,VALUE(H1551)&gt;110),"Invalid","Valid"),"Check Format"))</f>
        <v>Missing/</v>
      </c>
      <c r="U1551" t="str">
        <f>IF(Raw_Data[[#This Row],[Age_Check]]="Valid",H1551,"")</f>
        <v/>
      </c>
      <c r="V1551" t="str">
        <f>IF(OR(K1551="",UPPER(TRIM(K1551&amp;""))="",LOWER(TRIM(K1551&amp;""))="",LOWER(TRIM(K1551&amp;""))="",LOWER(TRIM(K1551&amp;""))="missing"),"Missing/",IFERROR(IF(VALUE(K1551)&lt;0,"Invalid","Valid"),"Check Format"))</f>
        <v>Valid</v>
      </c>
      <c r="W1551" t="str">
        <f>IF(OR(E1551="",F1551=""),"Missing Date/Time",IFERROR(IF(F1551&gt;E1551,"Arrival After Appointment","OK"),"Check Format"))</f>
        <v>OK</v>
      </c>
      <c r="X1551" t="str">
        <f>IF(OR(F1551="",G1551=""),"Missing Date/Time",IFERROR(IF(G1551&lt;F1551,"Discharge Before Arrival","OK"),"Check Format"))</f>
        <v>OK</v>
      </c>
    </row>
    <row r="1552" spans="1:24" x14ac:dyDescent="0.25">
      <c r="A1552" s="2" t="s">
        <v>2284</v>
      </c>
      <c r="B1552" s="2" t="s">
        <v>769</v>
      </c>
      <c r="C1552" s="3" t="s">
        <v>46</v>
      </c>
      <c r="D1552" s="3" t="s">
        <v>149</v>
      </c>
      <c r="E1552" s="4">
        <v>45961.784722222219</v>
      </c>
      <c r="F1552" s="4">
        <v>45961.780555555553</v>
      </c>
      <c r="G1552" s="4">
        <v>45961.859027777777</v>
      </c>
      <c r="I1552" s="3" t="s">
        <v>90</v>
      </c>
      <c r="J1552" s="3" t="s">
        <v>150</v>
      </c>
      <c r="K1552" s="5">
        <v>86</v>
      </c>
      <c r="L1552" s="5">
        <v>21</v>
      </c>
      <c r="M1552" s="3" t="s">
        <v>63</v>
      </c>
      <c r="N1552" t="s">
        <v>24</v>
      </c>
      <c r="O1552" s="5">
        <v>0</v>
      </c>
      <c r="P1552" s="3" t="s">
        <v>25</v>
      </c>
      <c r="Q1552" s="2">
        <v>85.05</v>
      </c>
      <c r="R1552" s="3" t="s">
        <v>43</v>
      </c>
      <c r="S1552">
        <f>COUNTIF(A:A,A1552)</f>
        <v>1</v>
      </c>
      <c r="T1552" t="str">
        <f>IF(OR(H1552="",LOWER(TRIM(H1552&amp;""))="missing",LOWER(TRIM(H1552&amp;""))=""),"Missing/",IFERROR(IF(OR(VALUE(H1552)&lt;0,VALUE(H1552)&gt;110),"Invalid","Valid"),"Check Format"))</f>
        <v>Missing/</v>
      </c>
      <c r="U1552" t="str">
        <f>IF(Raw_Data[[#This Row],[Age_Check]]="Valid",H1552,"")</f>
        <v/>
      </c>
      <c r="V1552" t="str">
        <f>IF(OR(K1552="",UPPER(TRIM(K1552&amp;""))="",LOWER(TRIM(K1552&amp;""))="",LOWER(TRIM(K1552&amp;""))="",LOWER(TRIM(K1552&amp;""))="missing"),"Missing/",IFERROR(IF(VALUE(K1552)&lt;0,"Invalid","Valid"),"Check Format"))</f>
        <v>Valid</v>
      </c>
      <c r="W1552" t="str">
        <f>IF(OR(E1552="",F1552=""),"Missing Date/Time",IFERROR(IF(F1552&gt;E1552,"Arrival After Appointment","OK"),"Check Format"))</f>
        <v>OK</v>
      </c>
      <c r="X1552" t="str">
        <f>IF(OR(F1552="",G1552=""),"Missing Date/Time",IFERROR(IF(G1552&lt;F1552,"Discharge Before Arrival","OK"),"Check Format"))</f>
        <v>OK</v>
      </c>
    </row>
    <row r="1553" spans="1:24" x14ac:dyDescent="0.25">
      <c r="A1553" s="2" t="s">
        <v>2285</v>
      </c>
      <c r="B1553" s="2" t="s">
        <v>376</v>
      </c>
      <c r="C1553" s="3" t="s">
        <v>94</v>
      </c>
      <c r="D1553" s="3" t="s">
        <v>47</v>
      </c>
      <c r="E1553" s="4">
        <v>45299.708333333336</v>
      </c>
      <c r="F1553" s="4">
        <v>45299.703472222223</v>
      </c>
      <c r="G1553" s="4">
        <v>45299.75</v>
      </c>
      <c r="H1553" s="5">
        <v>59</v>
      </c>
      <c r="J1553" s="3" t="s">
        <v>62</v>
      </c>
      <c r="K1553" s="5">
        <v>50</v>
      </c>
      <c r="L1553" s="5">
        <v>10</v>
      </c>
      <c r="M1553" s="3" t="s">
        <v>32</v>
      </c>
      <c r="O1553" s="5">
        <v>3</v>
      </c>
      <c r="P1553" s="3" t="s">
        <v>25</v>
      </c>
      <c r="Q1553" s="2">
        <v>290.64</v>
      </c>
      <c r="R1553" s="3" t="s">
        <v>43</v>
      </c>
      <c r="S1553">
        <f>COUNTIF(A:A,A1553)</f>
        <v>1</v>
      </c>
      <c r="T1553" t="str">
        <f>IF(OR(H1553="",LOWER(TRIM(H1553&amp;""))="missing",LOWER(TRIM(H1553&amp;""))=""),"Missing/",IFERROR(IF(OR(VALUE(H1553)&lt;0,VALUE(H1553)&gt;110),"Invalid","Valid"),"Check Format"))</f>
        <v>Valid</v>
      </c>
      <c r="U1553">
        <f>IF(Raw_Data[[#This Row],[Age_Check]]="Valid",H1553,"")</f>
        <v>59</v>
      </c>
      <c r="V1553" t="str">
        <f>IF(OR(K1553="",UPPER(TRIM(K1553&amp;""))="",LOWER(TRIM(K1553&amp;""))="",LOWER(TRIM(K1553&amp;""))="",LOWER(TRIM(K1553&amp;""))="missing"),"Missing/",IFERROR(IF(VALUE(K1553)&lt;0,"Invalid","Valid"),"Check Format"))</f>
        <v>Valid</v>
      </c>
      <c r="W1553" t="str">
        <f>IF(OR(E1553="",F1553=""),"Missing Date/Time",IFERROR(IF(F1553&gt;E1553,"Arrival After Appointment","OK"),"Check Format"))</f>
        <v>OK</v>
      </c>
      <c r="X1553" t="str">
        <f>IF(OR(F1553="",G1553=""),"Missing Date/Time",IFERROR(IF(G1553&lt;F1553,"Discharge Before Arrival","OK"),"Check Format"))</f>
        <v>OK</v>
      </c>
    </row>
    <row r="1554" spans="1:24" x14ac:dyDescent="0.25">
      <c r="A1554" s="2" t="s">
        <v>2286</v>
      </c>
      <c r="B1554" s="2" t="s">
        <v>1761</v>
      </c>
      <c r="C1554" s="3" t="s">
        <v>37</v>
      </c>
      <c r="D1554" s="3" t="s">
        <v>209</v>
      </c>
      <c r="E1554" s="4">
        <v>45306.322916666664</v>
      </c>
      <c r="F1554" s="4">
        <v>45306.320138888892</v>
      </c>
      <c r="G1554" s="4">
        <v>45306.381249999999</v>
      </c>
      <c r="I1554" s="3" t="s">
        <v>73</v>
      </c>
      <c r="J1554" s="3" t="s">
        <v>67</v>
      </c>
      <c r="K1554" s="5">
        <v>38</v>
      </c>
      <c r="L1554" s="5">
        <v>46</v>
      </c>
      <c r="M1554" s="3" t="s">
        <v>32</v>
      </c>
      <c r="N1554" t="s">
        <v>91</v>
      </c>
      <c r="P1554" s="3" t="s">
        <v>25</v>
      </c>
      <c r="Q1554" s="2">
        <v>161.76</v>
      </c>
      <c r="R1554" s="3" t="s">
        <v>58</v>
      </c>
      <c r="S1554">
        <f>COUNTIF(A:A,A1554)</f>
        <v>1</v>
      </c>
      <c r="T1554" t="str">
        <f>IF(OR(H1554="",LOWER(TRIM(H1554&amp;""))="missing",LOWER(TRIM(H1554&amp;""))=""),"Missing/",IFERROR(IF(OR(VALUE(H1554)&lt;0,VALUE(H1554)&gt;110),"Invalid","Valid"),"Check Format"))</f>
        <v>Missing/</v>
      </c>
      <c r="U1554" t="str">
        <f>IF(Raw_Data[[#This Row],[Age_Check]]="Valid",H1554,"")</f>
        <v/>
      </c>
      <c r="V1554" t="str">
        <f>IF(OR(K1554="",UPPER(TRIM(K1554&amp;""))="",LOWER(TRIM(K1554&amp;""))="",LOWER(TRIM(K1554&amp;""))="",LOWER(TRIM(K1554&amp;""))="missing"),"Missing/",IFERROR(IF(VALUE(K1554)&lt;0,"Invalid","Valid"),"Check Format"))</f>
        <v>Valid</v>
      </c>
      <c r="W1554" t="str">
        <f>IF(OR(E1554="",F1554=""),"Missing Date/Time",IFERROR(IF(F1554&gt;E1554,"Arrival After Appointment","OK"),"Check Format"))</f>
        <v>OK</v>
      </c>
      <c r="X1554" t="str">
        <f>IF(OR(F1554="",G1554=""),"Missing Date/Time",IFERROR(IF(G1554&lt;F1554,"Discharge Before Arrival","OK"),"Check Format"))</f>
        <v>OK</v>
      </c>
    </row>
    <row r="1555" spans="1:24" x14ac:dyDescent="0.25">
      <c r="A1555" s="2" t="s">
        <v>2287</v>
      </c>
      <c r="B1555" s="2" t="s">
        <v>28</v>
      </c>
      <c r="C1555" s="3" t="s">
        <v>37</v>
      </c>
      <c r="D1555" s="3" t="s">
        <v>61</v>
      </c>
      <c r="E1555" s="4">
        <v>45961.302083333336</v>
      </c>
      <c r="F1555" s="4">
        <v>45961.29583333333</v>
      </c>
      <c r="G1555" s="4">
        <v>45961.339583333334</v>
      </c>
      <c r="I1555" s="3" t="s">
        <v>95</v>
      </c>
      <c r="J1555" s="3" t="s">
        <v>22</v>
      </c>
      <c r="K1555" s="5">
        <v>23</v>
      </c>
      <c r="L1555" s="5">
        <v>31</v>
      </c>
      <c r="M1555" s="3" t="s">
        <v>63</v>
      </c>
      <c r="N1555" t="s">
        <v>100</v>
      </c>
      <c r="P1555" s="3" t="s">
        <v>80</v>
      </c>
      <c r="Q1555" s="2">
        <v>207.72</v>
      </c>
      <c r="R1555" s="3" t="s">
        <v>75</v>
      </c>
      <c r="S1555">
        <f>COUNTIF(A:A,A1555)</f>
        <v>1</v>
      </c>
      <c r="T1555" t="str">
        <f>IF(OR(H1555="",LOWER(TRIM(H1555&amp;""))="missing",LOWER(TRIM(H1555&amp;""))=""),"Missing/",IFERROR(IF(OR(VALUE(H1555)&lt;0,VALUE(H1555)&gt;110),"Invalid","Valid"),"Check Format"))</f>
        <v>Missing/</v>
      </c>
      <c r="U1555" t="str">
        <f>IF(Raw_Data[[#This Row],[Age_Check]]="Valid",H1555,"")</f>
        <v/>
      </c>
      <c r="V1555" t="str">
        <f>IF(OR(K1555="",UPPER(TRIM(K1555&amp;""))="",LOWER(TRIM(K1555&amp;""))="",LOWER(TRIM(K1555&amp;""))="",LOWER(TRIM(K1555&amp;""))="missing"),"Missing/",IFERROR(IF(VALUE(K1555)&lt;0,"Invalid","Valid"),"Check Format"))</f>
        <v>Valid</v>
      </c>
      <c r="W1555" t="str">
        <f>IF(OR(E1555="",F1555=""),"Missing Date/Time",IFERROR(IF(F1555&gt;E1555,"Arrival After Appointment","OK"),"Check Format"))</f>
        <v>OK</v>
      </c>
      <c r="X1555" t="str">
        <f>IF(OR(F1555="",G1555=""),"Missing Date/Time",IFERROR(IF(G1555&lt;F1555,"Discharge Before Arrival","OK"),"Check Format"))</f>
        <v>OK</v>
      </c>
    </row>
    <row r="1556" spans="1:24" x14ac:dyDescent="0.25">
      <c r="A1556" s="2" t="s">
        <v>2288</v>
      </c>
      <c r="B1556" s="2" t="s">
        <v>530</v>
      </c>
      <c r="C1556" s="3" t="s">
        <v>94</v>
      </c>
      <c r="D1556" s="3" t="s">
        <v>38</v>
      </c>
      <c r="E1556" s="4">
        <v>45361.642361111109</v>
      </c>
      <c r="F1556" s="4">
        <v>45361.624305555553</v>
      </c>
      <c r="G1556" s="4">
        <v>45361.714583333334</v>
      </c>
      <c r="I1556" s="3" t="s">
        <v>95</v>
      </c>
      <c r="J1556" s="3" t="s">
        <v>62</v>
      </c>
      <c r="K1556" s="5">
        <v>51</v>
      </c>
      <c r="L1556" s="5">
        <v>53</v>
      </c>
      <c r="M1556" s="3" t="s">
        <v>87</v>
      </c>
      <c r="N1556" t="s">
        <v>74</v>
      </c>
      <c r="O1556" s="5">
        <v>0</v>
      </c>
      <c r="P1556" s="3" t="s">
        <v>42</v>
      </c>
      <c r="Q1556" s="2">
        <v>226.72</v>
      </c>
      <c r="R1556" s="3" t="s">
        <v>43</v>
      </c>
      <c r="S1556">
        <f>COUNTIF(A:A,A1556)</f>
        <v>1</v>
      </c>
      <c r="T1556" t="str">
        <f>IF(OR(H1556="",LOWER(TRIM(H1556&amp;""))="missing",LOWER(TRIM(H1556&amp;""))=""),"Missing/",IFERROR(IF(OR(VALUE(H1556)&lt;0,VALUE(H1556)&gt;110),"Invalid","Valid"),"Check Format"))</f>
        <v>Missing/</v>
      </c>
      <c r="U1556" t="str">
        <f>IF(Raw_Data[[#This Row],[Age_Check]]="Valid",H1556,"")</f>
        <v/>
      </c>
      <c r="V1556" t="str">
        <f>IF(OR(K1556="",UPPER(TRIM(K1556&amp;""))="",LOWER(TRIM(K1556&amp;""))="",LOWER(TRIM(K1556&amp;""))="",LOWER(TRIM(K1556&amp;""))="missing"),"Missing/",IFERROR(IF(VALUE(K1556)&lt;0,"Invalid","Valid"),"Check Format"))</f>
        <v>Valid</v>
      </c>
      <c r="W1556" t="str">
        <f>IF(OR(E1556="",F1556=""),"Missing Date/Time",IFERROR(IF(F1556&gt;E1556,"Arrival After Appointment","OK"),"Check Format"))</f>
        <v>OK</v>
      </c>
      <c r="X1556" t="str">
        <f>IF(OR(F1556="",G1556=""),"Missing Date/Time",IFERROR(IF(G1556&lt;F1556,"Discharge Before Arrival","OK"),"Check Format"))</f>
        <v>OK</v>
      </c>
    </row>
    <row r="1557" spans="1:24" x14ac:dyDescent="0.25">
      <c r="A1557" s="2" t="s">
        <v>2289</v>
      </c>
      <c r="B1557" s="2" t="s">
        <v>1782</v>
      </c>
      <c r="C1557" s="3" t="s">
        <v>29</v>
      </c>
      <c r="D1557" s="3" t="s">
        <v>23</v>
      </c>
      <c r="E1557" s="4">
        <v>45554.715277777781</v>
      </c>
      <c r="F1557" s="4">
        <v>45554.709722222222</v>
      </c>
      <c r="G1557" s="4">
        <v>45554.793749999997</v>
      </c>
      <c r="I1557" s="3" t="s">
        <v>39</v>
      </c>
      <c r="J1557" s="3" t="s">
        <v>62</v>
      </c>
      <c r="K1557" s="5">
        <v>90</v>
      </c>
      <c r="L1557" s="5">
        <v>23</v>
      </c>
      <c r="M1557" s="3" t="s">
        <v>50</v>
      </c>
      <c r="N1557" t="s">
        <v>24</v>
      </c>
      <c r="O1557" s="5">
        <v>0</v>
      </c>
      <c r="P1557" s="3" t="s">
        <v>80</v>
      </c>
      <c r="Q1557" s="2">
        <v>58.61</v>
      </c>
      <c r="R1557" s="3" t="s">
        <v>75</v>
      </c>
      <c r="S1557">
        <f>COUNTIF(A:A,A1557)</f>
        <v>1</v>
      </c>
      <c r="T1557" t="str">
        <f>IF(OR(H1557="",LOWER(TRIM(H1557&amp;""))="missing",LOWER(TRIM(H1557&amp;""))=""),"Missing/",IFERROR(IF(OR(VALUE(H1557)&lt;0,VALUE(H1557)&gt;110),"Invalid","Valid"),"Check Format"))</f>
        <v>Missing/</v>
      </c>
      <c r="U1557" t="str">
        <f>IF(Raw_Data[[#This Row],[Age_Check]]="Valid",H1557,"")</f>
        <v/>
      </c>
      <c r="V1557" t="str">
        <f>IF(OR(K1557="",UPPER(TRIM(K1557&amp;""))="",LOWER(TRIM(K1557&amp;""))="",LOWER(TRIM(K1557&amp;""))="",LOWER(TRIM(K1557&amp;""))="missing"),"Missing/",IFERROR(IF(VALUE(K1557)&lt;0,"Invalid","Valid"),"Check Format"))</f>
        <v>Valid</v>
      </c>
      <c r="W1557" t="str">
        <f>IF(OR(E1557="",F1557=""),"Missing Date/Time",IFERROR(IF(F1557&gt;E1557,"Arrival After Appointment","OK"),"Check Format"))</f>
        <v>OK</v>
      </c>
      <c r="X1557" t="str">
        <f>IF(OR(F1557="",G1557=""),"Missing Date/Time",IFERROR(IF(G1557&lt;F1557,"Discharge Before Arrival","OK"),"Check Format"))</f>
        <v>OK</v>
      </c>
    </row>
    <row r="1558" spans="1:24" x14ac:dyDescent="0.25">
      <c r="A1558" s="2" t="s">
        <v>2290</v>
      </c>
      <c r="B1558" s="2" t="s">
        <v>1083</v>
      </c>
      <c r="D1558" s="3" t="s">
        <v>23</v>
      </c>
      <c r="E1558" s="4">
        <v>45511.298611111109</v>
      </c>
      <c r="F1558" s="4">
        <v>45511.286111111112</v>
      </c>
      <c r="G1558" s="4">
        <v>45511.347916666666</v>
      </c>
      <c r="H1558" s="5">
        <v>145</v>
      </c>
      <c r="I1558" s="3" t="s">
        <v>73</v>
      </c>
      <c r="J1558" s="3" t="s">
        <v>62</v>
      </c>
      <c r="K1558" s="5">
        <v>36</v>
      </c>
      <c r="L1558" s="5">
        <v>35</v>
      </c>
      <c r="M1558" s="3" t="s">
        <v>41</v>
      </c>
      <c r="N1558" t="s">
        <v>69</v>
      </c>
      <c r="O1558" s="5">
        <v>6</v>
      </c>
      <c r="P1558" s="3" t="s">
        <v>80</v>
      </c>
      <c r="Q1558" s="2">
        <v>188.66</v>
      </c>
      <c r="R1558" s="3" t="s">
        <v>75</v>
      </c>
      <c r="S1558">
        <f>COUNTIF(A:A,A1558)</f>
        <v>1</v>
      </c>
      <c r="T1558" t="str">
        <f>IF(OR(H1558="",LOWER(TRIM(H1558&amp;""))="missing",LOWER(TRIM(H1558&amp;""))=""),"Missing/",IFERROR(IF(OR(VALUE(H1558)&lt;0,VALUE(H1558)&gt;110),"Invalid","Valid"),"Check Format"))</f>
        <v>Invalid</v>
      </c>
      <c r="U1558" t="str">
        <f>IF(Raw_Data[[#This Row],[Age_Check]]="Valid",H1558,"")</f>
        <v/>
      </c>
      <c r="V1558" t="str">
        <f>IF(OR(K1558="",UPPER(TRIM(K1558&amp;""))="",LOWER(TRIM(K1558&amp;""))="",LOWER(TRIM(K1558&amp;""))="",LOWER(TRIM(K1558&amp;""))="missing"),"Missing/",IFERROR(IF(VALUE(K1558)&lt;0,"Invalid","Valid"),"Check Format"))</f>
        <v>Valid</v>
      </c>
      <c r="W1558" t="str">
        <f>IF(OR(E1558="",F1558=""),"Missing Date/Time",IFERROR(IF(F1558&gt;E1558,"Arrival After Appointment","OK"),"Check Format"))</f>
        <v>OK</v>
      </c>
      <c r="X1558" t="str">
        <f>IF(OR(F1558="",G1558=""),"Missing Date/Time",IFERROR(IF(G1558&lt;F1558,"Discharge Before Arrival","OK"),"Check Format"))</f>
        <v>OK</v>
      </c>
    </row>
    <row r="1559" spans="1:24" x14ac:dyDescent="0.25">
      <c r="A1559" s="2" t="s">
        <v>2291</v>
      </c>
      <c r="B1559" s="2" t="s">
        <v>381</v>
      </c>
      <c r="C1559" s="3" t="s">
        <v>94</v>
      </c>
      <c r="D1559" s="3" t="s">
        <v>115</v>
      </c>
      <c r="E1559" s="4">
        <v>45515.6875</v>
      </c>
      <c r="F1559" s="4">
        <v>45604.67291666667</v>
      </c>
      <c r="G1559" s="4">
        <v>45604.709027777775</v>
      </c>
      <c r="H1559" s="5">
        <v>145</v>
      </c>
      <c r="I1559" s="3" t="s">
        <v>95</v>
      </c>
      <c r="J1559" s="3" t="s">
        <v>171</v>
      </c>
      <c r="K1559" s="5">
        <v>0</v>
      </c>
      <c r="L1559" s="5">
        <v>31</v>
      </c>
      <c r="M1559" s="3" t="s">
        <v>32</v>
      </c>
      <c r="O1559" s="5">
        <v>0</v>
      </c>
      <c r="P1559" s="3" t="s">
        <v>80</v>
      </c>
      <c r="Q1559" s="2">
        <v>157.65</v>
      </c>
      <c r="R1559" s="3" t="s">
        <v>26</v>
      </c>
      <c r="S1559">
        <f>COUNTIF(A:A,A1559)</f>
        <v>1</v>
      </c>
      <c r="T1559" t="str">
        <f>IF(OR(H1559="",LOWER(TRIM(H1559&amp;""))="missing",LOWER(TRIM(H1559&amp;""))=""),"Missing/",IFERROR(IF(OR(VALUE(H1559)&lt;0,VALUE(H1559)&gt;110),"Invalid","Valid"),"Check Format"))</f>
        <v>Invalid</v>
      </c>
      <c r="U1559" t="str">
        <f>IF(Raw_Data[[#This Row],[Age_Check]]="Valid",H1559,"")</f>
        <v/>
      </c>
      <c r="V1559" t="str">
        <f>IF(OR(K1559="",UPPER(TRIM(K1559&amp;""))="",LOWER(TRIM(K1559&amp;""))="",LOWER(TRIM(K1559&amp;""))="",LOWER(TRIM(K1559&amp;""))="missing"),"Missing/",IFERROR(IF(VALUE(K1559)&lt;0,"Invalid","Valid"),"Check Format"))</f>
        <v>Valid</v>
      </c>
      <c r="W1559" t="str">
        <f>IF(OR(E1559="",F1559=""),"Missing Date/Time",IFERROR(IF(F1559&gt;E1559,"Arrival After Appointment","OK"),"Check Format"))</f>
        <v>Arrival After Appointment</v>
      </c>
      <c r="X1559" t="str">
        <f>IF(OR(F1559="",G1559=""),"Missing Date/Time",IFERROR(IF(G1559&lt;F1559,"Discharge Before Arrival","OK"),"Check Format"))</f>
        <v>OK</v>
      </c>
    </row>
    <row r="1560" spans="1:24" x14ac:dyDescent="0.25">
      <c r="A1560" s="2" t="s">
        <v>2292</v>
      </c>
      <c r="B1560" s="2" t="s">
        <v>1753</v>
      </c>
      <c r="C1560" s="3" t="s">
        <v>46</v>
      </c>
      <c r="D1560" s="3" t="s">
        <v>72</v>
      </c>
      <c r="E1560" s="4">
        <v>45451.472222222219</v>
      </c>
      <c r="F1560" s="4">
        <v>45451.467361111114</v>
      </c>
      <c r="G1560" s="4">
        <v>45451.543749999997</v>
      </c>
      <c r="J1560" s="3" t="s">
        <v>67</v>
      </c>
      <c r="K1560" s="5">
        <v>48</v>
      </c>
      <c r="L1560" s="5">
        <v>55</v>
      </c>
      <c r="M1560" s="3" t="s">
        <v>63</v>
      </c>
      <c r="N1560" t="s">
        <v>24</v>
      </c>
      <c r="O1560" s="5">
        <v>6</v>
      </c>
      <c r="P1560" s="3" t="s">
        <v>80</v>
      </c>
      <c r="Q1560" s="2">
        <v>178.74</v>
      </c>
      <c r="R1560" s="3" t="s">
        <v>75</v>
      </c>
      <c r="S1560">
        <f>COUNTIF(A:A,A1560)</f>
        <v>1</v>
      </c>
      <c r="T1560" t="str">
        <f>IF(OR(H1560="",LOWER(TRIM(H1560&amp;""))="missing",LOWER(TRIM(H1560&amp;""))=""),"Missing/",IFERROR(IF(OR(VALUE(H1560)&lt;0,VALUE(H1560)&gt;110),"Invalid","Valid"),"Check Format"))</f>
        <v>Missing/</v>
      </c>
      <c r="U1560" t="str">
        <f>IF(Raw_Data[[#This Row],[Age_Check]]="Valid",H1560,"")</f>
        <v/>
      </c>
      <c r="V1560" t="str">
        <f>IF(OR(K1560="",UPPER(TRIM(K1560&amp;""))="",LOWER(TRIM(K1560&amp;""))="",LOWER(TRIM(K1560&amp;""))="",LOWER(TRIM(K1560&amp;""))="missing"),"Missing/",IFERROR(IF(VALUE(K1560)&lt;0,"Invalid","Valid"),"Check Format"))</f>
        <v>Valid</v>
      </c>
      <c r="W1560" t="str">
        <f>IF(OR(E1560="",F1560=""),"Missing Date/Time",IFERROR(IF(F1560&gt;E1560,"Arrival After Appointment","OK"),"Check Format"))</f>
        <v>OK</v>
      </c>
      <c r="X1560" t="str">
        <f>IF(OR(F1560="",G1560=""),"Missing Date/Time",IFERROR(IF(G1560&lt;F1560,"Discharge Before Arrival","OK"),"Check Format"))</f>
        <v>OK</v>
      </c>
    </row>
    <row r="1561" spans="1:24" x14ac:dyDescent="0.25">
      <c r="A1561" s="2" t="s">
        <v>2293</v>
      </c>
      <c r="B1561" s="2" t="s">
        <v>850</v>
      </c>
      <c r="C1561" s="3" t="s">
        <v>94</v>
      </c>
      <c r="D1561" s="3" t="s">
        <v>55</v>
      </c>
      <c r="E1561" s="4">
        <v>45885.392361111109</v>
      </c>
      <c r="F1561" s="4">
        <v>45885.373611111114</v>
      </c>
      <c r="G1561" s="4">
        <v>45885.48333333333</v>
      </c>
      <c r="I1561" s="3" t="s">
        <v>95</v>
      </c>
      <c r="J1561" s="3" t="s">
        <v>67</v>
      </c>
      <c r="K1561" s="5">
        <v>103</v>
      </c>
      <c r="L1561" s="5">
        <v>28</v>
      </c>
      <c r="M1561" s="3" t="s">
        <v>32</v>
      </c>
      <c r="N1561" t="s">
        <v>24</v>
      </c>
      <c r="O1561" s="5">
        <v>6</v>
      </c>
      <c r="Q1561" s="2">
        <v>220</v>
      </c>
      <c r="R1561" s="3" t="s">
        <v>43</v>
      </c>
      <c r="S1561">
        <f>COUNTIF(A:A,A1561)</f>
        <v>1</v>
      </c>
      <c r="T1561" t="str">
        <f>IF(OR(H1561="",LOWER(TRIM(H1561&amp;""))="missing",LOWER(TRIM(H1561&amp;""))=""),"Missing/",IFERROR(IF(OR(VALUE(H1561)&lt;0,VALUE(H1561)&gt;110),"Invalid","Valid"),"Check Format"))</f>
        <v>Missing/</v>
      </c>
      <c r="U1561" t="str">
        <f>IF(Raw_Data[[#This Row],[Age_Check]]="Valid",H1561,"")</f>
        <v/>
      </c>
      <c r="V1561" t="str">
        <f>IF(OR(K1561="",UPPER(TRIM(K1561&amp;""))="",LOWER(TRIM(K1561&amp;""))="",LOWER(TRIM(K1561&amp;""))="",LOWER(TRIM(K1561&amp;""))="missing"),"Missing/",IFERROR(IF(VALUE(K1561)&lt;0,"Invalid","Valid"),"Check Format"))</f>
        <v>Valid</v>
      </c>
      <c r="W1561" t="str">
        <f>IF(OR(E1561="",F1561=""),"Missing Date/Time",IFERROR(IF(F1561&gt;E1561,"Arrival After Appointment","OK"),"Check Format"))</f>
        <v>OK</v>
      </c>
      <c r="X1561" t="str">
        <f>IF(OR(F1561="",G1561=""),"Missing Date/Time",IFERROR(IF(G1561&lt;F1561,"Discharge Before Arrival","OK"),"Check Format"))</f>
        <v>OK</v>
      </c>
    </row>
    <row r="1562" spans="1:24" x14ac:dyDescent="0.25">
      <c r="A1562" s="2" t="s">
        <v>2294</v>
      </c>
      <c r="B1562" s="2" t="s">
        <v>339</v>
      </c>
      <c r="C1562" s="3" t="s">
        <v>94</v>
      </c>
      <c r="D1562" s="3" t="s">
        <v>61</v>
      </c>
      <c r="E1562" s="4" t="s">
        <v>2295</v>
      </c>
      <c r="F1562" s="4">
        <v>45770.37777777778</v>
      </c>
      <c r="I1562" s="3" t="s">
        <v>95</v>
      </c>
      <c r="J1562" s="3" t="s">
        <v>2639</v>
      </c>
      <c r="K1562" s="5">
        <v>115</v>
      </c>
      <c r="L1562" s="5">
        <v>55</v>
      </c>
      <c r="M1562" s="3" t="s">
        <v>23</v>
      </c>
      <c r="O1562" s="5">
        <v>6</v>
      </c>
      <c r="P1562" s="3" t="s">
        <v>80</v>
      </c>
      <c r="Q1562" s="2">
        <v>57.63</v>
      </c>
      <c r="R1562" s="3" t="s">
        <v>26</v>
      </c>
      <c r="S1562">
        <f>COUNTIF(A:A,A1562)</f>
        <v>1</v>
      </c>
      <c r="T1562" t="str">
        <f>IF(OR(H1562="",LOWER(TRIM(H1562&amp;""))="missing",LOWER(TRIM(H1562&amp;""))=""),"Missing/",IFERROR(IF(OR(VALUE(H1562)&lt;0,VALUE(H1562)&gt;110),"Invalid","Valid"),"Check Format"))</f>
        <v>Missing/</v>
      </c>
      <c r="U1562" t="str">
        <f>IF(Raw_Data[[#This Row],[Age_Check]]="Valid",H1562,"")</f>
        <v/>
      </c>
      <c r="V1562" t="str">
        <f>IF(OR(K1562="",UPPER(TRIM(K1562&amp;""))="",LOWER(TRIM(K1562&amp;""))="",LOWER(TRIM(K1562&amp;""))="",LOWER(TRIM(K1562&amp;""))="missing"),"Missing/",IFERROR(IF(VALUE(K1562)&lt;0,"Invalid","Valid"),"Check Format"))</f>
        <v>Valid</v>
      </c>
      <c r="W1562" t="str">
        <f>IF(OR(E1562="",F1562=""),"Missing Date/Time",IFERROR(IF(F1562&gt;E1562,"Arrival After Appointment","OK"),"Check Format"))</f>
        <v>OK</v>
      </c>
      <c r="X1562" t="str">
        <f>IF(OR(F1562="",G1562=""),"Missing Date/Time",IFERROR(IF(G1562&lt;F1562,"Discharge Before Arrival","OK"),"Check Format"))</f>
        <v>Missing Date/Time</v>
      </c>
    </row>
    <row r="1563" spans="1:24" x14ac:dyDescent="0.25">
      <c r="A1563" s="2" t="s">
        <v>2296</v>
      </c>
      <c r="B1563" s="2" t="s">
        <v>2058</v>
      </c>
      <c r="C1563" s="3" t="s">
        <v>46</v>
      </c>
      <c r="D1563" s="3" t="s">
        <v>61</v>
      </c>
      <c r="E1563" s="4" t="s">
        <v>2297</v>
      </c>
      <c r="F1563" s="4">
        <v>45826.6</v>
      </c>
      <c r="G1563" s="4">
        <v>45826.665972222225</v>
      </c>
      <c r="H1563" s="5">
        <v>145</v>
      </c>
      <c r="I1563" s="3" t="s">
        <v>39</v>
      </c>
      <c r="J1563" s="3" t="s">
        <v>171</v>
      </c>
      <c r="K1563" s="5">
        <v>49</v>
      </c>
      <c r="L1563" s="5">
        <v>25</v>
      </c>
      <c r="M1563" s="3" t="s">
        <v>23</v>
      </c>
      <c r="P1563" s="3" t="s">
        <v>25</v>
      </c>
      <c r="Q1563" s="2">
        <v>184.14</v>
      </c>
      <c r="R1563" s="3" t="s">
        <v>58</v>
      </c>
      <c r="S1563">
        <f>COUNTIF(A:A,A1563)</f>
        <v>1</v>
      </c>
      <c r="T1563" t="str">
        <f>IF(OR(H1563="",LOWER(TRIM(H1563&amp;""))="missing",LOWER(TRIM(H1563&amp;""))=""),"Missing/",IFERROR(IF(OR(VALUE(H1563)&lt;0,VALUE(H1563)&gt;110),"Invalid","Valid"),"Check Format"))</f>
        <v>Invalid</v>
      </c>
      <c r="U1563" t="str">
        <f>IF(Raw_Data[[#This Row],[Age_Check]]="Valid",H1563,"")</f>
        <v/>
      </c>
      <c r="V1563" t="str">
        <f>IF(OR(K1563="",UPPER(TRIM(K1563&amp;""))="",LOWER(TRIM(K1563&amp;""))="",LOWER(TRIM(K1563&amp;""))="",LOWER(TRIM(K1563&amp;""))="missing"),"Missing/",IFERROR(IF(VALUE(K1563)&lt;0,"Invalid","Valid"),"Check Format"))</f>
        <v>Valid</v>
      </c>
      <c r="W1563" t="str">
        <f>IF(OR(E1563="",F1563=""),"Missing Date/Time",IFERROR(IF(F1563&gt;E1563,"Arrival After Appointment","OK"),"Check Format"))</f>
        <v>OK</v>
      </c>
      <c r="X1563" t="str">
        <f>IF(OR(F1563="",G1563=""),"Missing Date/Time",IFERROR(IF(G1563&lt;F1563,"Discharge Before Arrival","OK"),"Check Format"))</f>
        <v>OK</v>
      </c>
    </row>
    <row r="1564" spans="1:24" x14ac:dyDescent="0.25">
      <c r="A1564" s="2" t="s">
        <v>2298</v>
      </c>
      <c r="B1564" s="2" t="s">
        <v>89</v>
      </c>
      <c r="C1564" s="3" t="s">
        <v>46</v>
      </c>
      <c r="D1564" s="3" t="s">
        <v>106</v>
      </c>
      <c r="E1564" s="4">
        <v>45866.635416666664</v>
      </c>
      <c r="F1564" s="4">
        <v>45866.622916666667</v>
      </c>
      <c r="G1564" s="4">
        <v>45866.703472222223</v>
      </c>
      <c r="J1564" s="3" t="s">
        <v>2639</v>
      </c>
      <c r="K1564" s="5">
        <v>82</v>
      </c>
      <c r="L1564" s="5">
        <v>16</v>
      </c>
      <c r="M1564" s="3" t="s">
        <v>23</v>
      </c>
      <c r="N1564" t="s">
        <v>69</v>
      </c>
      <c r="O1564" s="5">
        <v>0</v>
      </c>
      <c r="P1564" s="3" t="s">
        <v>25</v>
      </c>
      <c r="Q1564" s="2">
        <v>150.43</v>
      </c>
      <c r="R1564" s="3" t="s">
        <v>43</v>
      </c>
      <c r="S1564">
        <f>COUNTIF(A:A,A1564)</f>
        <v>1</v>
      </c>
      <c r="T1564" t="str">
        <f>IF(OR(H1564="",LOWER(TRIM(H1564&amp;""))="missing",LOWER(TRIM(H1564&amp;""))=""),"Missing/",IFERROR(IF(OR(VALUE(H1564)&lt;0,VALUE(H1564)&gt;110),"Invalid","Valid"),"Check Format"))</f>
        <v>Missing/</v>
      </c>
      <c r="U1564" t="str">
        <f>IF(Raw_Data[[#This Row],[Age_Check]]="Valid",H1564,"")</f>
        <v/>
      </c>
      <c r="V1564" t="str">
        <f>IF(OR(K1564="",UPPER(TRIM(K1564&amp;""))="",LOWER(TRIM(K1564&amp;""))="",LOWER(TRIM(K1564&amp;""))="",LOWER(TRIM(K1564&amp;""))="missing"),"Missing/",IFERROR(IF(VALUE(K1564)&lt;0,"Invalid","Valid"),"Check Format"))</f>
        <v>Valid</v>
      </c>
      <c r="W1564" t="str">
        <f>IF(OR(E1564="",F1564=""),"Missing Date/Time",IFERROR(IF(F1564&gt;E1564,"Arrival After Appointment","OK"),"Check Format"))</f>
        <v>OK</v>
      </c>
      <c r="X1564" t="str">
        <f>IF(OR(F1564="",G1564=""),"Missing Date/Time",IFERROR(IF(G1564&lt;F1564,"Discharge Before Arrival","OK"),"Check Format"))</f>
        <v>OK</v>
      </c>
    </row>
    <row r="1565" spans="1:24" x14ac:dyDescent="0.25">
      <c r="A1565" s="2" t="s">
        <v>2299</v>
      </c>
      <c r="B1565" s="2" t="s">
        <v>735</v>
      </c>
      <c r="C1565" s="3" t="s">
        <v>37</v>
      </c>
      <c r="D1565" s="3" t="s">
        <v>209</v>
      </c>
      <c r="E1565" s="4">
        <v>45385.715277777781</v>
      </c>
      <c r="F1565" s="4">
        <v>45385.698611111111</v>
      </c>
      <c r="G1565" s="4">
        <v>45385.754861111112</v>
      </c>
      <c r="I1565" s="3" t="s">
        <v>95</v>
      </c>
      <c r="J1565" s="3" t="s">
        <v>171</v>
      </c>
      <c r="K1565" s="5">
        <v>0</v>
      </c>
      <c r="L1565" s="5">
        <v>57</v>
      </c>
      <c r="M1565" s="3" t="s">
        <v>50</v>
      </c>
      <c r="O1565" s="5">
        <v>3</v>
      </c>
      <c r="P1565" s="3" t="s">
        <v>80</v>
      </c>
      <c r="Q1565" s="2">
        <v>104.01</v>
      </c>
      <c r="R1565" s="3" t="s">
        <v>43</v>
      </c>
      <c r="S1565">
        <f>COUNTIF(A:A,A1565)</f>
        <v>1</v>
      </c>
      <c r="T1565" t="str">
        <f>IF(OR(H1565="",LOWER(TRIM(H1565&amp;""))="missing",LOWER(TRIM(H1565&amp;""))=""),"Missing/",IFERROR(IF(OR(VALUE(H1565)&lt;0,VALUE(H1565)&gt;110),"Invalid","Valid"),"Check Format"))</f>
        <v>Missing/</v>
      </c>
      <c r="U1565" t="str">
        <f>IF(Raw_Data[[#This Row],[Age_Check]]="Valid",H1565,"")</f>
        <v/>
      </c>
      <c r="V1565" t="str">
        <f>IF(OR(K1565="",UPPER(TRIM(K1565&amp;""))="",LOWER(TRIM(K1565&amp;""))="",LOWER(TRIM(K1565&amp;""))="",LOWER(TRIM(K1565&amp;""))="missing"),"Missing/",IFERROR(IF(VALUE(K1565)&lt;0,"Invalid","Valid"),"Check Format"))</f>
        <v>Valid</v>
      </c>
      <c r="W1565" t="str">
        <f>IF(OR(E1565="",F1565=""),"Missing Date/Time",IFERROR(IF(F1565&gt;E1565,"Arrival After Appointment","OK"),"Check Format"))</f>
        <v>OK</v>
      </c>
      <c r="X1565" t="str">
        <f>IF(OR(F1565="",G1565=""),"Missing Date/Time",IFERROR(IF(G1565&lt;F1565,"Discharge Before Arrival","OK"),"Check Format"))</f>
        <v>OK</v>
      </c>
    </row>
    <row r="1566" spans="1:24" x14ac:dyDescent="0.25">
      <c r="A1566" s="2" t="s">
        <v>2300</v>
      </c>
      <c r="B1566" s="2" t="s">
        <v>1528</v>
      </c>
      <c r="C1566" s="3" t="s">
        <v>94</v>
      </c>
      <c r="D1566" s="3" t="s">
        <v>61</v>
      </c>
      <c r="E1566" s="4">
        <v>45994.451388888891</v>
      </c>
      <c r="F1566" s="4">
        <v>45994.440972222219</v>
      </c>
      <c r="H1566" s="5">
        <v>145</v>
      </c>
      <c r="J1566" s="3" t="s">
        <v>62</v>
      </c>
      <c r="K1566" s="5">
        <v>59</v>
      </c>
      <c r="L1566" s="5">
        <v>26</v>
      </c>
      <c r="N1566" t="s">
        <v>24</v>
      </c>
      <c r="O1566" s="5">
        <v>2</v>
      </c>
      <c r="P1566" s="3" t="s">
        <v>80</v>
      </c>
      <c r="Q1566" s="2">
        <v>236.68</v>
      </c>
      <c r="R1566" s="3" t="s">
        <v>26</v>
      </c>
      <c r="S1566">
        <f>COUNTIF(A:A,A1566)</f>
        <v>1</v>
      </c>
      <c r="T1566" t="str">
        <f>IF(OR(H1566="",LOWER(TRIM(H1566&amp;""))="missing",LOWER(TRIM(H1566&amp;""))=""),"Missing/",IFERROR(IF(OR(VALUE(H1566)&lt;0,VALUE(H1566)&gt;110),"Invalid","Valid"),"Check Format"))</f>
        <v>Invalid</v>
      </c>
      <c r="U1566" t="str">
        <f>IF(Raw_Data[[#This Row],[Age_Check]]="Valid",H1566,"")</f>
        <v/>
      </c>
      <c r="V1566" t="str">
        <f>IF(OR(K1566="",UPPER(TRIM(K1566&amp;""))="",LOWER(TRIM(K1566&amp;""))="",LOWER(TRIM(K1566&amp;""))="",LOWER(TRIM(K1566&amp;""))="missing"),"Missing/",IFERROR(IF(VALUE(K1566)&lt;0,"Invalid","Valid"),"Check Format"))</f>
        <v>Valid</v>
      </c>
      <c r="W1566" t="str">
        <f>IF(OR(E1566="",F1566=""),"Missing Date/Time",IFERROR(IF(F1566&gt;E1566,"Arrival After Appointment","OK"),"Check Format"))</f>
        <v>OK</v>
      </c>
      <c r="X1566" t="str">
        <f>IF(OR(F1566="",G1566=""),"Missing Date/Time",IFERROR(IF(G1566&lt;F1566,"Discharge Before Arrival","OK"),"Check Format"))</f>
        <v>Missing Date/Time</v>
      </c>
    </row>
    <row r="1567" spans="1:24" x14ac:dyDescent="0.25">
      <c r="A1567" s="2" t="s">
        <v>2301</v>
      </c>
      <c r="B1567" s="2" t="s">
        <v>966</v>
      </c>
      <c r="C1567" s="3" t="s">
        <v>46</v>
      </c>
      <c r="D1567" s="3" t="s">
        <v>72</v>
      </c>
      <c r="E1567" s="4">
        <v>45971.607638888891</v>
      </c>
      <c r="F1567" s="4">
        <v>45971.59375</v>
      </c>
      <c r="G1567" s="4">
        <v>45971.629166666666</v>
      </c>
      <c r="I1567" s="3" t="s">
        <v>95</v>
      </c>
      <c r="J1567" s="3" t="s">
        <v>150</v>
      </c>
      <c r="K1567" s="5">
        <v>0</v>
      </c>
      <c r="L1567" s="5">
        <v>31</v>
      </c>
      <c r="M1567" s="3" t="s">
        <v>41</v>
      </c>
      <c r="N1567" t="s">
        <v>24</v>
      </c>
      <c r="P1567" s="3" t="s">
        <v>25</v>
      </c>
      <c r="Q1567" s="2">
        <v>136.53</v>
      </c>
      <c r="R1567" s="3" t="s">
        <v>43</v>
      </c>
      <c r="S1567">
        <f>COUNTIF(A:A,A1567)</f>
        <v>1</v>
      </c>
      <c r="T1567" t="str">
        <f>IF(OR(H1567="",LOWER(TRIM(H1567&amp;""))="missing",LOWER(TRIM(H1567&amp;""))=""),"Missing/",IFERROR(IF(OR(VALUE(H1567)&lt;0,VALUE(H1567)&gt;110),"Invalid","Valid"),"Check Format"))</f>
        <v>Missing/</v>
      </c>
      <c r="U1567" t="str">
        <f>IF(Raw_Data[[#This Row],[Age_Check]]="Valid",H1567,"")</f>
        <v/>
      </c>
      <c r="V1567" t="str">
        <f>IF(OR(K1567="",UPPER(TRIM(K1567&amp;""))="",LOWER(TRIM(K1567&amp;""))="",LOWER(TRIM(K1567&amp;""))="",LOWER(TRIM(K1567&amp;""))="missing"),"Missing/",IFERROR(IF(VALUE(K1567)&lt;0,"Invalid","Valid"),"Check Format"))</f>
        <v>Valid</v>
      </c>
      <c r="W1567" t="str">
        <f>IF(OR(E1567="",F1567=""),"Missing Date/Time",IFERROR(IF(F1567&gt;E1567,"Arrival After Appointment","OK"),"Check Format"))</f>
        <v>OK</v>
      </c>
      <c r="X1567" t="str">
        <f>IF(OR(F1567="",G1567=""),"Missing Date/Time",IFERROR(IF(G1567&lt;F1567,"Discharge Before Arrival","OK"),"Check Format"))</f>
        <v>OK</v>
      </c>
    </row>
    <row r="1568" spans="1:24" x14ac:dyDescent="0.25">
      <c r="A1568" s="2" t="s">
        <v>2302</v>
      </c>
      <c r="B1568" s="2" t="s">
        <v>937</v>
      </c>
      <c r="C1568" s="3" t="s">
        <v>19</v>
      </c>
      <c r="D1568" s="3" t="s">
        <v>61</v>
      </c>
      <c r="E1568" s="4">
        <v>45408.503472222219</v>
      </c>
      <c r="F1568" s="4">
        <v>45408.489583333336</v>
      </c>
      <c r="H1568" s="5">
        <v>145</v>
      </c>
      <c r="I1568" s="3" t="s">
        <v>73</v>
      </c>
      <c r="J1568" s="3" t="s">
        <v>150</v>
      </c>
      <c r="K1568" s="5">
        <v>42</v>
      </c>
      <c r="L1568" s="5">
        <v>63</v>
      </c>
      <c r="M1568" s="3" t="s">
        <v>87</v>
      </c>
      <c r="N1568" t="s">
        <v>69</v>
      </c>
      <c r="O1568" s="5">
        <v>6</v>
      </c>
      <c r="P1568" s="3" t="s">
        <v>80</v>
      </c>
      <c r="Q1568" s="2">
        <v>74.010000000000005</v>
      </c>
      <c r="R1568" s="3" t="s">
        <v>75</v>
      </c>
      <c r="S1568">
        <f>COUNTIF(A:A,A1568)</f>
        <v>1</v>
      </c>
      <c r="T1568" t="str">
        <f>IF(OR(H1568="",LOWER(TRIM(H1568&amp;""))="missing",LOWER(TRIM(H1568&amp;""))=""),"Missing/",IFERROR(IF(OR(VALUE(H1568)&lt;0,VALUE(H1568)&gt;110),"Invalid","Valid"),"Check Format"))</f>
        <v>Invalid</v>
      </c>
      <c r="U1568" t="str">
        <f>IF(Raw_Data[[#This Row],[Age_Check]]="Valid",H1568,"")</f>
        <v/>
      </c>
      <c r="V1568" t="str">
        <f>IF(OR(K1568="",UPPER(TRIM(K1568&amp;""))="",LOWER(TRIM(K1568&amp;""))="",LOWER(TRIM(K1568&amp;""))="",LOWER(TRIM(K1568&amp;""))="missing"),"Missing/",IFERROR(IF(VALUE(K1568)&lt;0,"Invalid","Valid"),"Check Format"))</f>
        <v>Valid</v>
      </c>
      <c r="W1568" t="str">
        <f>IF(OR(E1568="",F1568=""),"Missing Date/Time",IFERROR(IF(F1568&gt;E1568,"Arrival After Appointment","OK"),"Check Format"))</f>
        <v>OK</v>
      </c>
      <c r="X1568" t="str">
        <f>IF(OR(F1568="",G1568=""),"Missing Date/Time",IFERROR(IF(G1568&lt;F1568,"Discharge Before Arrival","OK"),"Check Format"))</f>
        <v>Missing Date/Time</v>
      </c>
    </row>
    <row r="1569" spans="1:24" x14ac:dyDescent="0.25">
      <c r="A1569" s="2" t="s">
        <v>2303</v>
      </c>
      <c r="B1569" s="2" t="s">
        <v>996</v>
      </c>
      <c r="C1569" s="3" t="s">
        <v>37</v>
      </c>
      <c r="D1569" s="3" t="s">
        <v>61</v>
      </c>
      <c r="E1569" s="4">
        <v>45824.319444444445</v>
      </c>
      <c r="F1569" s="4">
        <v>45824.311111111114</v>
      </c>
      <c r="G1569" s="4">
        <v>45824.404861111114</v>
      </c>
      <c r="J1569" s="3" t="s">
        <v>2639</v>
      </c>
      <c r="K1569" s="5">
        <v>85</v>
      </c>
      <c r="L1569" s="5">
        <v>38</v>
      </c>
      <c r="M1569" s="3" t="s">
        <v>50</v>
      </c>
      <c r="N1569" t="s">
        <v>69</v>
      </c>
      <c r="O1569" s="5">
        <v>6</v>
      </c>
      <c r="P1569" s="3" t="s">
        <v>80</v>
      </c>
      <c r="Q1569" s="2">
        <v>245.92</v>
      </c>
      <c r="R1569" s="3" t="s">
        <v>75</v>
      </c>
      <c r="S1569">
        <f>COUNTIF(A:A,A1569)</f>
        <v>1</v>
      </c>
      <c r="T1569" t="str">
        <f>IF(OR(H1569="",LOWER(TRIM(H1569&amp;""))="missing",LOWER(TRIM(H1569&amp;""))=""),"Missing/",IFERROR(IF(OR(VALUE(H1569)&lt;0,VALUE(H1569)&gt;110),"Invalid","Valid"),"Check Format"))</f>
        <v>Missing/</v>
      </c>
      <c r="U1569" t="str">
        <f>IF(Raw_Data[[#This Row],[Age_Check]]="Valid",H1569,"")</f>
        <v/>
      </c>
      <c r="V1569" t="str">
        <f>IF(OR(K1569="",UPPER(TRIM(K1569&amp;""))="",LOWER(TRIM(K1569&amp;""))="",LOWER(TRIM(K1569&amp;""))="",LOWER(TRIM(K1569&amp;""))="missing"),"Missing/",IFERROR(IF(VALUE(K1569)&lt;0,"Invalid","Valid"),"Check Format"))</f>
        <v>Valid</v>
      </c>
      <c r="W1569" t="str">
        <f>IF(OR(E1569="",F1569=""),"Missing Date/Time",IFERROR(IF(F1569&gt;E1569,"Arrival After Appointment","OK"),"Check Format"))</f>
        <v>OK</v>
      </c>
      <c r="X1569" t="str">
        <f>IF(OR(F1569="",G1569=""),"Missing Date/Time",IFERROR(IF(G1569&lt;F1569,"Discharge Before Arrival","OK"),"Check Format"))</f>
        <v>OK</v>
      </c>
    </row>
    <row r="1570" spans="1:24" x14ac:dyDescent="0.25">
      <c r="A1570" s="2" t="s">
        <v>2304</v>
      </c>
      <c r="B1570" s="2" t="s">
        <v>629</v>
      </c>
      <c r="C1570" s="3" t="s">
        <v>94</v>
      </c>
      <c r="D1570" s="3" t="s">
        <v>66</v>
      </c>
      <c r="E1570" s="4">
        <v>45443.708333333336</v>
      </c>
      <c r="F1570" s="4">
        <v>45443.700694444444</v>
      </c>
      <c r="G1570" s="4">
        <v>45443.744444444441</v>
      </c>
      <c r="I1570" s="3" t="s">
        <v>73</v>
      </c>
      <c r="J1570" s="3" t="s">
        <v>171</v>
      </c>
      <c r="K1570" s="5">
        <v>34</v>
      </c>
      <c r="L1570" s="5">
        <v>18</v>
      </c>
      <c r="M1570" s="3" t="s">
        <v>68</v>
      </c>
      <c r="N1570" t="s">
        <v>69</v>
      </c>
      <c r="O1570" s="5">
        <v>4</v>
      </c>
      <c r="P1570" s="3" t="s">
        <v>42</v>
      </c>
      <c r="Q1570" s="2">
        <v>232.69</v>
      </c>
      <c r="R1570" s="3" t="s">
        <v>58</v>
      </c>
      <c r="S1570">
        <f>COUNTIF(A:A,A1570)</f>
        <v>1</v>
      </c>
      <c r="T1570" t="str">
        <f>IF(OR(H1570="",LOWER(TRIM(H1570&amp;""))="missing",LOWER(TRIM(H1570&amp;""))=""),"Missing/",IFERROR(IF(OR(VALUE(H1570)&lt;0,VALUE(H1570)&gt;110),"Invalid","Valid"),"Check Format"))</f>
        <v>Missing/</v>
      </c>
      <c r="U1570" t="str">
        <f>IF(Raw_Data[[#This Row],[Age_Check]]="Valid",H1570,"")</f>
        <v/>
      </c>
      <c r="V1570" t="str">
        <f>IF(OR(K1570="",UPPER(TRIM(K1570&amp;""))="",LOWER(TRIM(K1570&amp;""))="",LOWER(TRIM(K1570&amp;""))="",LOWER(TRIM(K1570&amp;""))="missing"),"Missing/",IFERROR(IF(VALUE(K1570)&lt;0,"Invalid","Valid"),"Check Format"))</f>
        <v>Valid</v>
      </c>
      <c r="W1570" t="str">
        <f>IF(OR(E1570="",F1570=""),"Missing Date/Time",IFERROR(IF(F1570&gt;E1570,"Arrival After Appointment","OK"),"Check Format"))</f>
        <v>OK</v>
      </c>
      <c r="X1570" t="str">
        <f>IF(OR(F1570="",G1570=""),"Missing Date/Time",IFERROR(IF(G1570&lt;F1570,"Discharge Before Arrival","OK"),"Check Format"))</f>
        <v>OK</v>
      </c>
    </row>
    <row r="1571" spans="1:24" x14ac:dyDescent="0.25">
      <c r="A1571" s="2" t="s">
        <v>2305</v>
      </c>
      <c r="B1571" s="2" t="s">
        <v>283</v>
      </c>
      <c r="C1571" s="3" t="s">
        <v>94</v>
      </c>
      <c r="D1571" s="3" t="s">
        <v>99</v>
      </c>
      <c r="E1571" s="4">
        <v>45771.777777777781</v>
      </c>
      <c r="F1571" s="4">
        <v>45771.770833333336</v>
      </c>
      <c r="G1571" s="4">
        <v>45771.831250000003</v>
      </c>
      <c r="H1571" s="5">
        <v>32</v>
      </c>
      <c r="I1571" s="3" t="s">
        <v>95</v>
      </c>
      <c r="J1571" s="3" t="s">
        <v>67</v>
      </c>
      <c r="K1571" s="5">
        <v>72</v>
      </c>
      <c r="L1571" s="5">
        <v>5</v>
      </c>
      <c r="M1571" s="3" t="s">
        <v>32</v>
      </c>
      <c r="N1571" t="s">
        <v>24</v>
      </c>
      <c r="O1571" s="5">
        <v>2</v>
      </c>
      <c r="P1571" s="3" t="s">
        <v>25</v>
      </c>
      <c r="Q1571" s="2">
        <v>101.86</v>
      </c>
      <c r="R1571" s="3" t="s">
        <v>75</v>
      </c>
      <c r="S1571">
        <f>COUNTIF(A:A,A1571)</f>
        <v>1</v>
      </c>
      <c r="T1571" t="str">
        <f>IF(OR(H1571="",LOWER(TRIM(H1571&amp;""))="missing",LOWER(TRIM(H1571&amp;""))=""),"Missing/",IFERROR(IF(OR(VALUE(H1571)&lt;0,VALUE(H1571)&gt;110),"Invalid","Valid"),"Check Format"))</f>
        <v>Valid</v>
      </c>
      <c r="U1571">
        <f>IF(Raw_Data[[#This Row],[Age_Check]]="Valid",H1571,"")</f>
        <v>32</v>
      </c>
      <c r="V1571" t="str">
        <f>IF(OR(K1571="",UPPER(TRIM(K1571&amp;""))="",LOWER(TRIM(K1571&amp;""))="",LOWER(TRIM(K1571&amp;""))="",LOWER(TRIM(K1571&amp;""))="missing"),"Missing/",IFERROR(IF(VALUE(K1571)&lt;0,"Invalid","Valid"),"Check Format"))</f>
        <v>Valid</v>
      </c>
      <c r="W1571" t="str">
        <f>IF(OR(E1571="",F1571=""),"Missing Date/Time",IFERROR(IF(F1571&gt;E1571,"Arrival After Appointment","OK"),"Check Format"))</f>
        <v>OK</v>
      </c>
      <c r="X1571" t="str">
        <f>IF(OR(F1571="",G1571=""),"Missing Date/Time",IFERROR(IF(G1571&lt;F1571,"Discharge Before Arrival","OK"),"Check Format"))</f>
        <v>OK</v>
      </c>
    </row>
    <row r="1572" spans="1:24" x14ac:dyDescent="0.25">
      <c r="A1572" s="2" t="s">
        <v>2306</v>
      </c>
      <c r="B1572" s="2" t="s">
        <v>579</v>
      </c>
      <c r="C1572" s="3" t="s">
        <v>37</v>
      </c>
      <c r="D1572" s="3" t="s">
        <v>61</v>
      </c>
      <c r="E1572" s="4">
        <v>45638.451388888891</v>
      </c>
      <c r="F1572" s="4">
        <v>45638.44027777778</v>
      </c>
      <c r="G1572" s="4">
        <v>45638.533333333333</v>
      </c>
      <c r="I1572" s="3" t="s">
        <v>39</v>
      </c>
      <c r="J1572" s="3" t="s">
        <v>67</v>
      </c>
      <c r="K1572" s="5">
        <v>71</v>
      </c>
      <c r="L1572" s="5">
        <v>47</v>
      </c>
      <c r="M1572" s="3" t="s">
        <v>87</v>
      </c>
      <c r="N1572" t="s">
        <v>24</v>
      </c>
      <c r="O1572" s="5">
        <v>3</v>
      </c>
      <c r="P1572" s="3" t="s">
        <v>25</v>
      </c>
      <c r="Q1572" s="2">
        <v>90.66</v>
      </c>
      <c r="R1572" s="3" t="s">
        <v>75</v>
      </c>
      <c r="S1572">
        <f>COUNTIF(A:A,A1572)</f>
        <v>1</v>
      </c>
      <c r="T1572" t="str">
        <f>IF(OR(H1572="",LOWER(TRIM(H1572&amp;""))="missing",LOWER(TRIM(H1572&amp;""))=""),"Missing/",IFERROR(IF(OR(VALUE(H1572)&lt;0,VALUE(H1572)&gt;110),"Invalid","Valid"),"Check Format"))</f>
        <v>Missing/</v>
      </c>
      <c r="U1572" t="str">
        <f>IF(Raw_Data[[#This Row],[Age_Check]]="Valid",H1572,"")</f>
        <v/>
      </c>
      <c r="V1572" t="str">
        <f>IF(OR(K1572="",UPPER(TRIM(K1572&amp;""))="",LOWER(TRIM(K1572&amp;""))="",LOWER(TRIM(K1572&amp;""))="",LOWER(TRIM(K1572&amp;""))="missing"),"Missing/",IFERROR(IF(VALUE(K1572)&lt;0,"Invalid","Valid"),"Check Format"))</f>
        <v>Valid</v>
      </c>
      <c r="W1572" t="str">
        <f>IF(OR(E1572="",F1572=""),"Missing Date/Time",IFERROR(IF(F1572&gt;E1572,"Arrival After Appointment","OK"),"Check Format"))</f>
        <v>OK</v>
      </c>
      <c r="X1572" t="str">
        <f>IF(OR(F1572="",G1572=""),"Missing Date/Time",IFERROR(IF(G1572&lt;F1572,"Discharge Before Arrival","OK"),"Check Format"))</f>
        <v>OK</v>
      </c>
    </row>
    <row r="1573" spans="1:24" x14ac:dyDescent="0.25">
      <c r="A1573" s="2" t="s">
        <v>2307</v>
      </c>
      <c r="B1573" s="2" t="s">
        <v>366</v>
      </c>
      <c r="D1573" s="3" t="s">
        <v>115</v>
      </c>
      <c r="H1573" s="5">
        <v>92</v>
      </c>
      <c r="I1573" s="3" t="s">
        <v>95</v>
      </c>
      <c r="J1573" s="3" t="s">
        <v>62</v>
      </c>
      <c r="K1573" s="5">
        <v>0</v>
      </c>
      <c r="L1573" s="5">
        <v>41</v>
      </c>
      <c r="M1573" s="3" t="s">
        <v>32</v>
      </c>
      <c r="N1573" t="s">
        <v>69</v>
      </c>
      <c r="O1573" s="5">
        <v>3</v>
      </c>
      <c r="P1573" s="3" t="s">
        <v>25</v>
      </c>
      <c r="Q1573" s="2">
        <v>47.37</v>
      </c>
      <c r="R1573" s="3" t="s">
        <v>43</v>
      </c>
      <c r="S1573">
        <f>COUNTIF(A:A,A1573)</f>
        <v>1</v>
      </c>
      <c r="T1573" t="str">
        <f>IF(OR(H1573="",LOWER(TRIM(H1573&amp;""))="missing",LOWER(TRIM(H1573&amp;""))=""),"Missing/",IFERROR(IF(OR(VALUE(H1573)&lt;0,VALUE(H1573)&gt;110),"Invalid","Valid"),"Check Format"))</f>
        <v>Valid</v>
      </c>
      <c r="U1573">
        <f>IF(Raw_Data[[#This Row],[Age_Check]]="Valid",H1573,"")</f>
        <v>92</v>
      </c>
      <c r="V1573" t="str">
        <f>IF(OR(K1573="",UPPER(TRIM(K1573&amp;""))="",LOWER(TRIM(K1573&amp;""))="",LOWER(TRIM(K1573&amp;""))="",LOWER(TRIM(K1573&amp;""))="missing"),"Missing/",IFERROR(IF(VALUE(K1573)&lt;0,"Invalid","Valid"),"Check Format"))</f>
        <v>Valid</v>
      </c>
      <c r="W1573" t="str">
        <f>IF(OR(E1573="",F1573=""),"Missing Date/Time",IFERROR(IF(F1573&gt;E1573,"Arrival After Appointment","OK"),"Check Format"))</f>
        <v>Missing Date/Time</v>
      </c>
      <c r="X1573" t="str">
        <f>IF(OR(F1573="",G1573=""),"Missing Date/Time",IFERROR(IF(G1573&lt;F1573,"Discharge Before Arrival","OK"),"Check Format"))</f>
        <v>Missing Date/Time</v>
      </c>
    </row>
    <row r="1574" spans="1:24" x14ac:dyDescent="0.25">
      <c r="A1574" s="2" t="s">
        <v>2308</v>
      </c>
      <c r="B1574" s="2" t="s">
        <v>685</v>
      </c>
      <c r="C1574" s="3" t="s">
        <v>94</v>
      </c>
      <c r="D1574" s="3" t="s">
        <v>174</v>
      </c>
      <c r="E1574" s="4">
        <v>45801.399305555555</v>
      </c>
      <c r="F1574" s="4">
        <v>45801.386805555558</v>
      </c>
      <c r="H1574" s="5">
        <v>70</v>
      </c>
      <c r="I1574" s="3" t="s">
        <v>95</v>
      </c>
      <c r="J1574" s="3" t="s">
        <v>171</v>
      </c>
      <c r="K1574" s="5">
        <v>0</v>
      </c>
      <c r="L1574" s="5">
        <v>5</v>
      </c>
      <c r="M1574" s="3" t="s">
        <v>87</v>
      </c>
      <c r="N1574" t="s">
        <v>91</v>
      </c>
      <c r="O1574" s="5">
        <v>1</v>
      </c>
      <c r="P1574" s="3" t="s">
        <v>25</v>
      </c>
      <c r="Q1574" s="2">
        <v>210.12</v>
      </c>
      <c r="R1574" s="3" t="s">
        <v>75</v>
      </c>
      <c r="S1574">
        <f>COUNTIF(A:A,A1574)</f>
        <v>1</v>
      </c>
      <c r="T1574" t="str">
        <f>IF(OR(H1574="",LOWER(TRIM(H1574&amp;""))="missing",LOWER(TRIM(H1574&amp;""))=""),"Missing/",IFERROR(IF(OR(VALUE(H1574)&lt;0,VALUE(H1574)&gt;110),"Invalid","Valid"),"Check Format"))</f>
        <v>Valid</v>
      </c>
      <c r="U1574">
        <f>IF(Raw_Data[[#This Row],[Age_Check]]="Valid",H1574,"")</f>
        <v>70</v>
      </c>
      <c r="V1574" t="str">
        <f>IF(OR(K1574="",UPPER(TRIM(K1574&amp;""))="",LOWER(TRIM(K1574&amp;""))="",LOWER(TRIM(K1574&amp;""))="",LOWER(TRIM(K1574&amp;""))="missing"),"Missing/",IFERROR(IF(VALUE(K1574)&lt;0,"Invalid","Valid"),"Check Format"))</f>
        <v>Valid</v>
      </c>
      <c r="W1574" t="str">
        <f>IF(OR(E1574="",F1574=""),"Missing Date/Time",IFERROR(IF(F1574&gt;E1574,"Arrival After Appointment","OK"),"Check Format"))</f>
        <v>OK</v>
      </c>
      <c r="X1574" t="str">
        <f>IF(OR(F1574="",G1574=""),"Missing Date/Time",IFERROR(IF(G1574&lt;F1574,"Discharge Before Arrival","OK"),"Check Format"))</f>
        <v>Missing Date/Time</v>
      </c>
    </row>
    <row r="1575" spans="1:24" x14ac:dyDescent="0.25">
      <c r="A1575" s="2" t="s">
        <v>2309</v>
      </c>
      <c r="B1575" s="2" t="s">
        <v>143</v>
      </c>
      <c r="C1575" s="3" t="s">
        <v>46</v>
      </c>
      <c r="D1575" s="3" t="s">
        <v>30</v>
      </c>
      <c r="E1575" s="4">
        <v>45838.295138888891</v>
      </c>
      <c r="F1575" s="4">
        <v>45838.293749999997</v>
      </c>
      <c r="I1575" s="3" t="s">
        <v>90</v>
      </c>
      <c r="J1575" s="3" t="s">
        <v>67</v>
      </c>
      <c r="K1575" s="5">
        <v>62</v>
      </c>
      <c r="L1575" s="5">
        <v>27</v>
      </c>
      <c r="M1575" s="3" t="s">
        <v>32</v>
      </c>
      <c r="N1575" t="s">
        <v>100</v>
      </c>
      <c r="O1575" s="5">
        <v>1</v>
      </c>
      <c r="P1575" s="3" t="s">
        <v>42</v>
      </c>
      <c r="Q1575" s="2">
        <v>256.12</v>
      </c>
      <c r="R1575" s="3" t="s">
        <v>26</v>
      </c>
      <c r="S1575">
        <f>COUNTIF(A:A,A1575)</f>
        <v>1</v>
      </c>
      <c r="T1575" t="str">
        <f>IF(OR(H1575="",LOWER(TRIM(H1575&amp;""))="missing",LOWER(TRIM(H1575&amp;""))=""),"Missing/",IFERROR(IF(OR(VALUE(H1575)&lt;0,VALUE(H1575)&gt;110),"Invalid","Valid"),"Check Format"))</f>
        <v>Missing/</v>
      </c>
      <c r="U1575" t="str">
        <f>IF(Raw_Data[[#This Row],[Age_Check]]="Valid",H1575,"")</f>
        <v/>
      </c>
      <c r="V1575" t="str">
        <f>IF(OR(K1575="",UPPER(TRIM(K1575&amp;""))="",LOWER(TRIM(K1575&amp;""))="",LOWER(TRIM(K1575&amp;""))="",LOWER(TRIM(K1575&amp;""))="missing"),"Missing/",IFERROR(IF(VALUE(K1575)&lt;0,"Invalid","Valid"),"Check Format"))</f>
        <v>Valid</v>
      </c>
      <c r="W1575" t="str">
        <f>IF(OR(E1575="",F1575=""),"Missing Date/Time",IFERROR(IF(F1575&gt;E1575,"Arrival After Appointment","OK"),"Check Format"))</f>
        <v>OK</v>
      </c>
      <c r="X1575" t="str">
        <f>IF(OR(F1575="",G1575=""),"Missing Date/Time",IFERROR(IF(G1575&lt;F1575,"Discharge Before Arrival","OK"),"Check Format"))</f>
        <v>Missing Date/Time</v>
      </c>
    </row>
    <row r="1576" spans="1:24" x14ac:dyDescent="0.25">
      <c r="A1576" s="2" t="s">
        <v>2310</v>
      </c>
      <c r="B1576" s="2" t="s">
        <v>695</v>
      </c>
      <c r="C1576" s="3" t="s">
        <v>46</v>
      </c>
      <c r="D1576" s="3" t="s">
        <v>20</v>
      </c>
      <c r="E1576" s="4">
        <v>45738.652777777781</v>
      </c>
      <c r="F1576" s="4">
        <v>45738.643055555556</v>
      </c>
      <c r="G1576" s="4">
        <v>45738.750694444447</v>
      </c>
      <c r="I1576" s="3" t="s">
        <v>90</v>
      </c>
      <c r="J1576" s="3" t="s">
        <v>67</v>
      </c>
      <c r="K1576" s="5">
        <v>80</v>
      </c>
      <c r="L1576" s="5">
        <v>61</v>
      </c>
      <c r="M1576" s="3" t="s">
        <v>23</v>
      </c>
      <c r="N1576" t="s">
        <v>24</v>
      </c>
      <c r="O1576" s="5">
        <v>5</v>
      </c>
      <c r="P1576" s="3" t="s">
        <v>25</v>
      </c>
      <c r="R1576" s="3" t="s">
        <v>58</v>
      </c>
      <c r="S1576">
        <f>COUNTIF(A:A,A1576)</f>
        <v>1</v>
      </c>
      <c r="T1576" t="str">
        <f>IF(OR(H1576="",LOWER(TRIM(H1576&amp;""))="missing",LOWER(TRIM(H1576&amp;""))=""),"Missing/",IFERROR(IF(OR(VALUE(H1576)&lt;0,VALUE(H1576)&gt;110),"Invalid","Valid"),"Check Format"))</f>
        <v>Missing/</v>
      </c>
      <c r="U1576" t="str">
        <f>IF(Raw_Data[[#This Row],[Age_Check]]="Valid",H1576,"")</f>
        <v/>
      </c>
      <c r="V1576" t="str">
        <f>IF(OR(K1576="",UPPER(TRIM(K1576&amp;""))="",LOWER(TRIM(K1576&amp;""))="",LOWER(TRIM(K1576&amp;""))="",LOWER(TRIM(K1576&amp;""))="missing"),"Missing/",IFERROR(IF(VALUE(K1576)&lt;0,"Invalid","Valid"),"Check Format"))</f>
        <v>Valid</v>
      </c>
      <c r="W1576" t="str">
        <f>IF(OR(E1576="",F1576=""),"Missing Date/Time",IFERROR(IF(F1576&gt;E1576,"Arrival After Appointment","OK"),"Check Format"))</f>
        <v>OK</v>
      </c>
      <c r="X1576" t="str">
        <f>IF(OR(F1576="",G1576=""),"Missing Date/Time",IFERROR(IF(G1576&lt;F1576,"Discharge Before Arrival","OK"),"Check Format"))</f>
        <v>OK</v>
      </c>
    </row>
    <row r="1577" spans="1:24" x14ac:dyDescent="0.25">
      <c r="A1577" s="2" t="s">
        <v>2311</v>
      </c>
      <c r="B1577" s="2" t="s">
        <v>1023</v>
      </c>
      <c r="C1577" s="3" t="s">
        <v>94</v>
      </c>
      <c r="D1577" s="3" t="s">
        <v>38</v>
      </c>
      <c r="E1577" s="4">
        <v>45635.770833333336</v>
      </c>
      <c r="F1577" s="4">
        <v>45635.758333333331</v>
      </c>
      <c r="G1577" s="4">
        <v>45635.798611111109</v>
      </c>
      <c r="H1577" s="5">
        <v>145</v>
      </c>
      <c r="I1577" s="3" t="s">
        <v>95</v>
      </c>
      <c r="J1577" s="3" t="s">
        <v>62</v>
      </c>
      <c r="K1577" s="5">
        <v>9</v>
      </c>
      <c r="L1577" s="5">
        <v>31</v>
      </c>
      <c r="M1577" s="3" t="s">
        <v>87</v>
      </c>
      <c r="N1577" t="s">
        <v>100</v>
      </c>
      <c r="O1577" s="5">
        <v>6</v>
      </c>
      <c r="P1577" s="3" t="s">
        <v>80</v>
      </c>
      <c r="Q1577" s="2">
        <v>15.66</v>
      </c>
      <c r="R1577" s="3" t="s">
        <v>58</v>
      </c>
      <c r="S1577">
        <f>COUNTIF(A:A,A1577)</f>
        <v>1</v>
      </c>
      <c r="T1577" t="str">
        <f>IF(OR(H1577="",LOWER(TRIM(H1577&amp;""))="missing",LOWER(TRIM(H1577&amp;""))=""),"Missing/",IFERROR(IF(OR(VALUE(H1577)&lt;0,VALUE(H1577)&gt;110),"Invalid","Valid"),"Check Format"))</f>
        <v>Invalid</v>
      </c>
      <c r="U1577" t="str">
        <f>IF(Raw_Data[[#This Row],[Age_Check]]="Valid",H1577,"")</f>
        <v/>
      </c>
      <c r="V1577" t="str">
        <f>IF(OR(K1577="",UPPER(TRIM(K1577&amp;""))="",LOWER(TRIM(K1577&amp;""))="",LOWER(TRIM(K1577&amp;""))="",LOWER(TRIM(K1577&amp;""))="missing"),"Missing/",IFERROR(IF(VALUE(K1577)&lt;0,"Invalid","Valid"),"Check Format"))</f>
        <v>Valid</v>
      </c>
      <c r="W1577" t="str">
        <f>IF(OR(E1577="",F1577=""),"Missing Date/Time",IFERROR(IF(F1577&gt;E1577,"Arrival After Appointment","OK"),"Check Format"))</f>
        <v>OK</v>
      </c>
      <c r="X1577" t="str">
        <f>IF(OR(F1577="",G1577=""),"Missing Date/Time",IFERROR(IF(G1577&lt;F1577,"Discharge Before Arrival","OK"),"Check Format"))</f>
        <v>OK</v>
      </c>
    </row>
    <row r="1578" spans="1:24" x14ac:dyDescent="0.25">
      <c r="A1578" s="2" t="s">
        <v>2312</v>
      </c>
      <c r="B1578" s="2" t="s">
        <v>369</v>
      </c>
      <c r="C1578" s="3" t="s">
        <v>46</v>
      </c>
      <c r="D1578" s="3" t="s">
        <v>209</v>
      </c>
      <c r="E1578" s="4">
        <v>45786.583333333336</v>
      </c>
      <c r="F1578" s="4">
        <v>45786.575694444444</v>
      </c>
      <c r="G1578" s="4">
        <v>45786.636111111111</v>
      </c>
      <c r="H1578" s="5">
        <v>145</v>
      </c>
      <c r="I1578" s="3" t="s">
        <v>95</v>
      </c>
      <c r="J1578" s="3" t="s">
        <v>171</v>
      </c>
      <c r="K1578" s="5">
        <v>49</v>
      </c>
      <c r="L1578" s="5">
        <v>27</v>
      </c>
      <c r="M1578" s="3" t="s">
        <v>32</v>
      </c>
      <c r="N1578" t="s">
        <v>24</v>
      </c>
      <c r="O1578" s="5">
        <v>3</v>
      </c>
      <c r="P1578" s="3" t="s">
        <v>42</v>
      </c>
      <c r="Q1578" s="2">
        <v>195.13</v>
      </c>
      <c r="R1578" s="3" t="s">
        <v>26</v>
      </c>
      <c r="S1578">
        <f>COUNTIF(A:A,A1578)</f>
        <v>1</v>
      </c>
      <c r="T1578" t="str">
        <f>IF(OR(H1578="",LOWER(TRIM(H1578&amp;""))="missing",LOWER(TRIM(H1578&amp;""))=""),"Missing/",IFERROR(IF(OR(VALUE(H1578)&lt;0,VALUE(H1578)&gt;110),"Invalid","Valid"),"Check Format"))</f>
        <v>Invalid</v>
      </c>
      <c r="U1578" t="str">
        <f>IF(Raw_Data[[#This Row],[Age_Check]]="Valid",H1578,"")</f>
        <v/>
      </c>
      <c r="V1578" t="str">
        <f>IF(OR(K1578="",UPPER(TRIM(K1578&amp;""))="",LOWER(TRIM(K1578&amp;""))="",LOWER(TRIM(K1578&amp;""))="",LOWER(TRIM(K1578&amp;""))="missing"),"Missing/",IFERROR(IF(VALUE(K1578)&lt;0,"Invalid","Valid"),"Check Format"))</f>
        <v>Valid</v>
      </c>
      <c r="W1578" t="str">
        <f>IF(OR(E1578="",F1578=""),"Missing Date/Time",IFERROR(IF(F1578&gt;E1578,"Arrival After Appointment","OK"),"Check Format"))</f>
        <v>OK</v>
      </c>
      <c r="X1578" t="str">
        <f>IF(OR(F1578="",G1578=""),"Missing Date/Time",IFERROR(IF(G1578&lt;F1578,"Discharge Before Arrival","OK"),"Check Format"))</f>
        <v>OK</v>
      </c>
    </row>
    <row r="1579" spans="1:24" x14ac:dyDescent="0.25">
      <c r="A1579" s="2" t="s">
        <v>2313</v>
      </c>
      <c r="B1579" s="2" t="s">
        <v>611</v>
      </c>
      <c r="D1579" s="3" t="s">
        <v>149</v>
      </c>
      <c r="E1579" s="4">
        <v>45478.638888888891</v>
      </c>
      <c r="F1579" s="4">
        <v>45478.629166666666</v>
      </c>
      <c r="G1579" s="4">
        <v>45478.709722222222</v>
      </c>
      <c r="H1579" s="5">
        <v>77</v>
      </c>
      <c r="I1579" s="3" t="s">
        <v>73</v>
      </c>
      <c r="K1579" s="5">
        <v>59</v>
      </c>
      <c r="L1579" s="5">
        <v>43</v>
      </c>
      <c r="M1579" s="3" t="s">
        <v>41</v>
      </c>
      <c r="N1579" t="s">
        <v>24</v>
      </c>
      <c r="P1579" s="3" t="s">
        <v>25</v>
      </c>
      <c r="R1579" s="3" t="s">
        <v>26</v>
      </c>
      <c r="S1579">
        <f>COUNTIF(A:A,A1579)</f>
        <v>1</v>
      </c>
      <c r="T1579" t="str">
        <f>IF(OR(H1579="",LOWER(TRIM(H1579&amp;""))="missing",LOWER(TRIM(H1579&amp;""))=""),"Missing/",IFERROR(IF(OR(VALUE(H1579)&lt;0,VALUE(H1579)&gt;110),"Invalid","Valid"),"Check Format"))</f>
        <v>Valid</v>
      </c>
      <c r="U1579">
        <f>IF(Raw_Data[[#This Row],[Age_Check]]="Valid",H1579,"")</f>
        <v>77</v>
      </c>
      <c r="V1579" t="str">
        <f>IF(OR(K1579="",UPPER(TRIM(K1579&amp;""))="",LOWER(TRIM(K1579&amp;""))="",LOWER(TRIM(K1579&amp;""))="",LOWER(TRIM(K1579&amp;""))="missing"),"Missing/",IFERROR(IF(VALUE(K1579)&lt;0,"Invalid","Valid"),"Check Format"))</f>
        <v>Valid</v>
      </c>
      <c r="W1579" t="str">
        <f>IF(OR(E1579="",F1579=""),"Missing Date/Time",IFERROR(IF(F1579&gt;E1579,"Arrival After Appointment","OK"),"Check Format"))</f>
        <v>OK</v>
      </c>
      <c r="X1579" t="str">
        <f>IF(OR(F1579="",G1579=""),"Missing Date/Time",IFERROR(IF(G1579&lt;F1579,"Discharge Before Arrival","OK"),"Check Format"))</f>
        <v>OK</v>
      </c>
    </row>
    <row r="1580" spans="1:24" x14ac:dyDescent="0.25">
      <c r="A1580" s="2" t="s">
        <v>2314</v>
      </c>
      <c r="B1580" s="2" t="s">
        <v>559</v>
      </c>
      <c r="C1580" s="3" t="s">
        <v>46</v>
      </c>
      <c r="D1580" s="3" t="s">
        <v>61</v>
      </c>
      <c r="E1580" s="4">
        <v>45492.78125</v>
      </c>
      <c r="F1580" s="4">
        <v>45492.76666666667</v>
      </c>
      <c r="G1580" s="4">
        <v>45492.886805555558</v>
      </c>
      <c r="H1580" s="5">
        <v>71</v>
      </c>
      <c r="I1580" s="3" t="s">
        <v>39</v>
      </c>
      <c r="K1580" s="5">
        <v>82</v>
      </c>
      <c r="L1580" s="5">
        <v>70</v>
      </c>
      <c r="N1580" t="s">
        <v>91</v>
      </c>
      <c r="O1580" s="5">
        <v>6</v>
      </c>
      <c r="P1580" s="3" t="s">
        <v>25</v>
      </c>
      <c r="Q1580" s="2">
        <v>119.78</v>
      </c>
      <c r="R1580" s="3" t="s">
        <v>26</v>
      </c>
      <c r="S1580">
        <f>COUNTIF(A:A,A1580)</f>
        <v>1</v>
      </c>
      <c r="T1580" t="str">
        <f>IF(OR(H1580="",LOWER(TRIM(H1580&amp;""))="missing",LOWER(TRIM(H1580&amp;""))=""),"Missing/",IFERROR(IF(OR(VALUE(H1580)&lt;0,VALUE(H1580)&gt;110),"Invalid","Valid"),"Check Format"))</f>
        <v>Valid</v>
      </c>
      <c r="U1580">
        <f>IF(Raw_Data[[#This Row],[Age_Check]]="Valid",H1580,"")</f>
        <v>71</v>
      </c>
      <c r="V1580" t="str">
        <f>IF(OR(K1580="",UPPER(TRIM(K1580&amp;""))="",LOWER(TRIM(K1580&amp;""))="",LOWER(TRIM(K1580&amp;""))="",LOWER(TRIM(K1580&amp;""))="missing"),"Missing/",IFERROR(IF(VALUE(K1580)&lt;0,"Invalid","Valid"),"Check Format"))</f>
        <v>Valid</v>
      </c>
      <c r="W1580" t="str">
        <f>IF(OR(E1580="",F1580=""),"Missing Date/Time",IFERROR(IF(F1580&gt;E1580,"Arrival After Appointment","OK"),"Check Format"))</f>
        <v>OK</v>
      </c>
      <c r="X1580" t="str">
        <f>IF(OR(F1580="",G1580=""),"Missing Date/Time",IFERROR(IF(G1580&lt;F1580,"Discharge Before Arrival","OK"),"Check Format"))</f>
        <v>OK</v>
      </c>
    </row>
    <row r="1581" spans="1:24" x14ac:dyDescent="0.25">
      <c r="A1581" s="2" t="s">
        <v>2315</v>
      </c>
      <c r="B1581" s="2" t="s">
        <v>1618</v>
      </c>
      <c r="C1581" s="3" t="s">
        <v>46</v>
      </c>
      <c r="D1581" s="3" t="s">
        <v>106</v>
      </c>
      <c r="E1581" s="4">
        <v>45451.59375</v>
      </c>
      <c r="F1581" s="4">
        <v>45451.572916666664</v>
      </c>
      <c r="G1581" s="4">
        <v>45451.636111111111</v>
      </c>
      <c r="H1581" s="5">
        <v>20</v>
      </c>
      <c r="I1581" s="3" t="s">
        <v>95</v>
      </c>
      <c r="J1581" s="3" t="s">
        <v>150</v>
      </c>
      <c r="K1581" s="5">
        <v>25</v>
      </c>
      <c r="L1581" s="5">
        <v>36</v>
      </c>
      <c r="N1581" t="s">
        <v>24</v>
      </c>
      <c r="O1581" s="5">
        <v>2</v>
      </c>
      <c r="P1581" s="3" t="s">
        <v>25</v>
      </c>
      <c r="Q1581" s="2">
        <v>80.819999999999993</v>
      </c>
      <c r="R1581" s="3" t="s">
        <v>43</v>
      </c>
      <c r="S1581">
        <f>COUNTIF(A:A,A1581)</f>
        <v>1</v>
      </c>
      <c r="T1581" t="str">
        <f>IF(OR(H1581="",LOWER(TRIM(H1581&amp;""))="missing",LOWER(TRIM(H1581&amp;""))=""),"Missing/",IFERROR(IF(OR(VALUE(H1581)&lt;0,VALUE(H1581)&gt;110),"Invalid","Valid"),"Check Format"))</f>
        <v>Valid</v>
      </c>
      <c r="U1581">
        <f>IF(Raw_Data[[#This Row],[Age_Check]]="Valid",H1581,"")</f>
        <v>20</v>
      </c>
      <c r="V1581" t="str">
        <f>IF(OR(K1581="",UPPER(TRIM(K1581&amp;""))="",LOWER(TRIM(K1581&amp;""))="",LOWER(TRIM(K1581&amp;""))="",LOWER(TRIM(K1581&amp;""))="missing"),"Missing/",IFERROR(IF(VALUE(K1581)&lt;0,"Invalid","Valid"),"Check Format"))</f>
        <v>Valid</v>
      </c>
      <c r="W1581" t="str">
        <f>IF(OR(E1581="",F1581=""),"Missing Date/Time",IFERROR(IF(F1581&gt;E1581,"Arrival After Appointment","OK"),"Check Format"))</f>
        <v>OK</v>
      </c>
      <c r="X1581" t="str">
        <f>IF(OR(F1581="",G1581=""),"Missing Date/Time",IFERROR(IF(G1581&lt;F1581,"Discharge Before Arrival","OK"),"Check Format"))</f>
        <v>OK</v>
      </c>
    </row>
    <row r="1582" spans="1:24" x14ac:dyDescent="0.25">
      <c r="A1582" s="2" t="s">
        <v>2316</v>
      </c>
      <c r="B1582" s="2" t="s">
        <v>1818</v>
      </c>
      <c r="C1582" s="3" t="s">
        <v>94</v>
      </c>
      <c r="D1582" s="3" t="s">
        <v>20</v>
      </c>
      <c r="E1582" s="4">
        <v>45997.506944444445</v>
      </c>
      <c r="F1582" s="4">
        <v>45997.50277777778</v>
      </c>
      <c r="G1582" s="4">
        <v>45997.600694444445</v>
      </c>
      <c r="I1582" s="3" t="s">
        <v>90</v>
      </c>
      <c r="J1582" s="3" t="s">
        <v>67</v>
      </c>
      <c r="K1582" s="5">
        <v>109</v>
      </c>
      <c r="L1582" s="5">
        <v>26</v>
      </c>
      <c r="M1582" s="3" t="s">
        <v>63</v>
      </c>
      <c r="N1582" t="s">
        <v>91</v>
      </c>
      <c r="P1582" s="3" t="s">
        <v>42</v>
      </c>
      <c r="Q1582" s="2">
        <v>99.75</v>
      </c>
      <c r="R1582" s="3" t="s">
        <v>43</v>
      </c>
      <c r="S1582">
        <f>COUNTIF(A:A,A1582)</f>
        <v>1</v>
      </c>
      <c r="T1582" t="str">
        <f>IF(OR(H1582="",LOWER(TRIM(H1582&amp;""))="missing",LOWER(TRIM(H1582&amp;""))=""),"Missing/",IFERROR(IF(OR(VALUE(H1582)&lt;0,VALUE(H1582)&gt;110),"Invalid","Valid"),"Check Format"))</f>
        <v>Missing/</v>
      </c>
      <c r="U1582" t="str">
        <f>IF(Raw_Data[[#This Row],[Age_Check]]="Valid",H1582,"")</f>
        <v/>
      </c>
      <c r="V1582" t="str">
        <f>IF(OR(K1582="",UPPER(TRIM(K1582&amp;""))="",LOWER(TRIM(K1582&amp;""))="",LOWER(TRIM(K1582&amp;""))="",LOWER(TRIM(K1582&amp;""))="missing"),"Missing/",IFERROR(IF(VALUE(K1582)&lt;0,"Invalid","Valid"),"Check Format"))</f>
        <v>Valid</v>
      </c>
      <c r="W1582" t="str">
        <f>IF(OR(E1582="",F1582=""),"Missing Date/Time",IFERROR(IF(F1582&gt;E1582,"Arrival After Appointment","OK"),"Check Format"))</f>
        <v>OK</v>
      </c>
      <c r="X1582" t="str">
        <f>IF(OR(F1582="",G1582=""),"Missing Date/Time",IFERROR(IF(G1582&lt;F1582,"Discharge Before Arrival","OK"),"Check Format"))</f>
        <v>OK</v>
      </c>
    </row>
    <row r="1583" spans="1:24" x14ac:dyDescent="0.25">
      <c r="A1583" s="2" t="s">
        <v>2317</v>
      </c>
      <c r="B1583" s="2" t="s">
        <v>701</v>
      </c>
      <c r="C1583" s="3" t="s">
        <v>29</v>
      </c>
      <c r="D1583" s="3" t="s">
        <v>61</v>
      </c>
      <c r="E1583" s="4" t="s">
        <v>2318</v>
      </c>
      <c r="F1583" s="4">
        <v>45371.351388888892</v>
      </c>
      <c r="G1583" s="4">
        <v>45371.416666666664</v>
      </c>
      <c r="H1583" s="5">
        <v>145</v>
      </c>
      <c r="J1583" s="3" t="s">
        <v>150</v>
      </c>
      <c r="K1583" s="5">
        <v>41</v>
      </c>
      <c r="L1583" s="5">
        <v>44</v>
      </c>
      <c r="M1583" s="3" t="s">
        <v>63</v>
      </c>
      <c r="N1583" t="s">
        <v>69</v>
      </c>
      <c r="O1583" s="5">
        <v>4</v>
      </c>
      <c r="P1583" s="3" t="s">
        <v>25</v>
      </c>
      <c r="Q1583" s="2">
        <v>132.38</v>
      </c>
      <c r="R1583" s="3" t="s">
        <v>75</v>
      </c>
      <c r="S1583">
        <f>COUNTIF(A:A,A1583)</f>
        <v>1</v>
      </c>
      <c r="T1583" t="str">
        <f>IF(OR(H1583="",LOWER(TRIM(H1583&amp;""))="missing",LOWER(TRIM(H1583&amp;""))=""),"Missing/",IFERROR(IF(OR(VALUE(H1583)&lt;0,VALUE(H1583)&gt;110),"Invalid","Valid"),"Check Format"))</f>
        <v>Invalid</v>
      </c>
      <c r="U1583" t="str">
        <f>IF(Raw_Data[[#This Row],[Age_Check]]="Valid",H1583,"")</f>
        <v/>
      </c>
      <c r="V1583" t="str">
        <f>IF(OR(K1583="",UPPER(TRIM(K1583&amp;""))="",LOWER(TRIM(K1583&amp;""))="",LOWER(TRIM(K1583&amp;""))="",LOWER(TRIM(K1583&amp;""))="missing"),"Missing/",IFERROR(IF(VALUE(K1583)&lt;0,"Invalid","Valid"),"Check Format"))</f>
        <v>Valid</v>
      </c>
      <c r="W1583" t="str">
        <f>IF(OR(E1583="",F1583=""),"Missing Date/Time",IFERROR(IF(F1583&gt;E1583,"Arrival After Appointment","OK"),"Check Format"))</f>
        <v>OK</v>
      </c>
      <c r="X1583" t="str">
        <f>IF(OR(F1583="",G1583=""),"Missing Date/Time",IFERROR(IF(G1583&lt;F1583,"Discharge Before Arrival","OK"),"Check Format"))</f>
        <v>OK</v>
      </c>
    </row>
    <row r="1584" spans="1:24" x14ac:dyDescent="0.25">
      <c r="A1584" s="2" t="s">
        <v>2319</v>
      </c>
      <c r="B1584" s="2" t="s">
        <v>410</v>
      </c>
      <c r="C1584" s="3" t="s">
        <v>46</v>
      </c>
      <c r="D1584" s="3" t="s">
        <v>209</v>
      </c>
      <c r="E1584" s="4" t="s">
        <v>2320</v>
      </c>
      <c r="F1584" s="4">
        <v>45709.469444444447</v>
      </c>
      <c r="G1584" s="4">
        <v>45709.549305555556</v>
      </c>
      <c r="I1584" s="3" t="s">
        <v>73</v>
      </c>
      <c r="J1584" s="3" t="s">
        <v>171</v>
      </c>
      <c r="K1584" s="5">
        <v>35</v>
      </c>
      <c r="L1584" s="5">
        <v>61</v>
      </c>
      <c r="M1584" s="3" t="s">
        <v>50</v>
      </c>
      <c r="N1584" t="s">
        <v>91</v>
      </c>
      <c r="O1584" s="5">
        <v>6</v>
      </c>
      <c r="P1584" s="3" t="s">
        <v>25</v>
      </c>
      <c r="Q1584" s="2">
        <v>76.510000000000005</v>
      </c>
      <c r="R1584" s="3" t="s">
        <v>75</v>
      </c>
      <c r="S1584">
        <f>COUNTIF(A:A,A1584)</f>
        <v>1</v>
      </c>
      <c r="T1584" t="str">
        <f>IF(OR(H1584="",LOWER(TRIM(H1584&amp;""))="missing",LOWER(TRIM(H1584&amp;""))=""),"Missing/",IFERROR(IF(OR(VALUE(H1584)&lt;0,VALUE(H1584)&gt;110),"Invalid","Valid"),"Check Format"))</f>
        <v>Missing/</v>
      </c>
      <c r="U1584" t="str">
        <f>IF(Raw_Data[[#This Row],[Age_Check]]="Valid",H1584,"")</f>
        <v/>
      </c>
      <c r="V1584" t="str">
        <f>IF(OR(K1584="",UPPER(TRIM(K1584&amp;""))="",LOWER(TRIM(K1584&amp;""))="",LOWER(TRIM(K1584&amp;""))="",LOWER(TRIM(K1584&amp;""))="missing"),"Missing/",IFERROR(IF(VALUE(K1584)&lt;0,"Invalid","Valid"),"Check Format"))</f>
        <v>Valid</v>
      </c>
      <c r="W1584" t="str">
        <f>IF(OR(E1584="",F1584=""),"Missing Date/Time",IFERROR(IF(F1584&gt;E1584,"Arrival After Appointment","OK"),"Check Format"))</f>
        <v>OK</v>
      </c>
      <c r="X1584" t="str">
        <f>IF(OR(F1584="",G1584=""),"Missing Date/Time",IFERROR(IF(G1584&lt;F1584,"Discharge Before Arrival","OK"),"Check Format"))</f>
        <v>OK</v>
      </c>
    </row>
    <row r="1585" spans="1:24" x14ac:dyDescent="0.25">
      <c r="A1585" s="2" t="s">
        <v>2321</v>
      </c>
      <c r="B1585" s="2" t="s">
        <v>976</v>
      </c>
      <c r="C1585" s="3" t="s">
        <v>19</v>
      </c>
      <c r="D1585" s="3" t="s">
        <v>30</v>
      </c>
      <c r="E1585" s="4">
        <v>45537.291666666664</v>
      </c>
      <c r="F1585" s="4">
        <v>45537.286805555559</v>
      </c>
      <c r="G1585" s="4">
        <v>45537.362500000003</v>
      </c>
      <c r="H1585" s="5">
        <v>72</v>
      </c>
      <c r="I1585" s="3" t="s">
        <v>73</v>
      </c>
      <c r="J1585" s="3" t="s">
        <v>62</v>
      </c>
      <c r="K1585" s="5">
        <v>59</v>
      </c>
      <c r="L1585" s="5">
        <v>43</v>
      </c>
      <c r="M1585" s="3" t="s">
        <v>87</v>
      </c>
      <c r="N1585" t="s">
        <v>91</v>
      </c>
      <c r="O1585" s="5">
        <v>5</v>
      </c>
      <c r="P1585" s="3" t="s">
        <v>25</v>
      </c>
      <c r="Q1585" s="2">
        <v>14.49</v>
      </c>
      <c r="R1585" s="3" t="s">
        <v>43</v>
      </c>
      <c r="S1585">
        <f>COUNTIF(A:A,A1585)</f>
        <v>1</v>
      </c>
      <c r="T1585" t="str">
        <f>IF(OR(H1585="",LOWER(TRIM(H1585&amp;""))="missing",LOWER(TRIM(H1585&amp;""))=""),"Missing/",IFERROR(IF(OR(VALUE(H1585)&lt;0,VALUE(H1585)&gt;110),"Invalid","Valid"),"Check Format"))</f>
        <v>Valid</v>
      </c>
      <c r="U1585">
        <f>IF(Raw_Data[[#This Row],[Age_Check]]="Valid",H1585,"")</f>
        <v>72</v>
      </c>
      <c r="V1585" t="str">
        <f>IF(OR(K1585="",UPPER(TRIM(K1585&amp;""))="",LOWER(TRIM(K1585&amp;""))="",LOWER(TRIM(K1585&amp;""))="",LOWER(TRIM(K1585&amp;""))="missing"),"Missing/",IFERROR(IF(VALUE(K1585)&lt;0,"Invalid","Valid"),"Check Format"))</f>
        <v>Valid</v>
      </c>
      <c r="W1585" t="str">
        <f>IF(OR(E1585="",F1585=""),"Missing Date/Time",IFERROR(IF(F1585&gt;E1585,"Arrival After Appointment","OK"),"Check Format"))</f>
        <v>OK</v>
      </c>
      <c r="X1585" t="str">
        <f>IF(OR(F1585="",G1585=""),"Missing Date/Time",IFERROR(IF(G1585&lt;F1585,"Discharge Before Arrival","OK"),"Check Format"))</f>
        <v>OK</v>
      </c>
    </row>
    <row r="1586" spans="1:24" x14ac:dyDescent="0.25">
      <c r="A1586" s="2" t="s">
        <v>2322</v>
      </c>
      <c r="B1586" s="2" t="s">
        <v>1759</v>
      </c>
      <c r="C1586" s="3" t="s">
        <v>94</v>
      </c>
      <c r="D1586" s="3" t="s">
        <v>209</v>
      </c>
      <c r="E1586" s="4">
        <v>45435.479166666664</v>
      </c>
      <c r="F1586" s="4">
        <v>45435.472916666666</v>
      </c>
      <c r="G1586" s="4">
        <v>45435.539583333331</v>
      </c>
      <c r="H1586" s="5">
        <v>6</v>
      </c>
      <c r="I1586" s="3" t="s">
        <v>90</v>
      </c>
      <c r="J1586" s="3" t="s">
        <v>22</v>
      </c>
      <c r="K1586" s="5">
        <v>74</v>
      </c>
      <c r="L1586" s="5">
        <v>13</v>
      </c>
      <c r="N1586" t="s">
        <v>74</v>
      </c>
      <c r="P1586" s="3" t="s">
        <v>42</v>
      </c>
      <c r="Q1586" s="2">
        <v>210.82</v>
      </c>
      <c r="R1586" s="3" t="s">
        <v>58</v>
      </c>
      <c r="S1586">
        <f>COUNTIF(A:A,A1586)</f>
        <v>1</v>
      </c>
      <c r="T1586" t="str">
        <f>IF(OR(H1586="",LOWER(TRIM(H1586&amp;""))="missing",LOWER(TRIM(H1586&amp;""))=""),"Missing/",IFERROR(IF(OR(VALUE(H1586)&lt;0,VALUE(H1586)&gt;110),"Invalid","Valid"),"Check Format"))</f>
        <v>Valid</v>
      </c>
      <c r="U1586">
        <f>IF(Raw_Data[[#This Row],[Age_Check]]="Valid",H1586,"")</f>
        <v>6</v>
      </c>
      <c r="V1586" t="str">
        <f>IF(OR(K1586="",UPPER(TRIM(K1586&amp;""))="",LOWER(TRIM(K1586&amp;""))="",LOWER(TRIM(K1586&amp;""))="",LOWER(TRIM(K1586&amp;""))="missing"),"Missing/",IFERROR(IF(VALUE(K1586)&lt;0,"Invalid","Valid"),"Check Format"))</f>
        <v>Valid</v>
      </c>
      <c r="W1586" t="str">
        <f>IF(OR(E1586="",F1586=""),"Missing Date/Time",IFERROR(IF(F1586&gt;E1586,"Arrival After Appointment","OK"),"Check Format"))</f>
        <v>OK</v>
      </c>
      <c r="X1586" t="str">
        <f>IF(OR(F1586="",G1586=""),"Missing Date/Time",IFERROR(IF(G1586&lt;F1586,"Discharge Before Arrival","OK"),"Check Format"))</f>
        <v>OK</v>
      </c>
    </row>
    <row r="1587" spans="1:24" x14ac:dyDescent="0.25">
      <c r="A1587" s="2" t="s">
        <v>2323</v>
      </c>
      <c r="B1587" s="2" t="s">
        <v>197</v>
      </c>
      <c r="C1587" s="3" t="s">
        <v>94</v>
      </c>
      <c r="D1587" s="3" t="s">
        <v>209</v>
      </c>
      <c r="E1587" s="4">
        <v>45726.552083333336</v>
      </c>
      <c r="F1587" s="4">
        <v>45933.534722222219</v>
      </c>
      <c r="I1587" s="3" t="s">
        <v>95</v>
      </c>
      <c r="J1587" s="3" t="s">
        <v>62</v>
      </c>
      <c r="K1587" s="5">
        <v>24</v>
      </c>
      <c r="L1587" s="5">
        <v>44</v>
      </c>
      <c r="N1587" t="s">
        <v>91</v>
      </c>
      <c r="O1587" s="5">
        <v>1</v>
      </c>
      <c r="Q1587" s="2">
        <v>233.47</v>
      </c>
      <c r="R1587" s="3" t="s">
        <v>58</v>
      </c>
      <c r="S1587">
        <f>COUNTIF(A:A,A1587)</f>
        <v>1</v>
      </c>
      <c r="T1587" t="str">
        <f>IF(OR(H1587="",LOWER(TRIM(H1587&amp;""))="missing",LOWER(TRIM(H1587&amp;""))=""),"Missing/",IFERROR(IF(OR(VALUE(H1587)&lt;0,VALUE(H1587)&gt;110),"Invalid","Valid"),"Check Format"))</f>
        <v>Missing/</v>
      </c>
      <c r="U1587" t="str">
        <f>IF(Raw_Data[[#This Row],[Age_Check]]="Valid",H1587,"")</f>
        <v/>
      </c>
      <c r="V1587" t="str">
        <f>IF(OR(K1587="",UPPER(TRIM(K1587&amp;""))="",LOWER(TRIM(K1587&amp;""))="",LOWER(TRIM(K1587&amp;""))="",LOWER(TRIM(K1587&amp;""))="missing"),"Missing/",IFERROR(IF(VALUE(K1587)&lt;0,"Invalid","Valid"),"Check Format"))</f>
        <v>Valid</v>
      </c>
      <c r="W1587" t="str">
        <f>IF(OR(E1587="",F1587=""),"Missing Date/Time",IFERROR(IF(F1587&gt;E1587,"Arrival After Appointment","OK"),"Check Format"))</f>
        <v>Arrival After Appointment</v>
      </c>
      <c r="X1587" t="str">
        <f>IF(OR(F1587="",G1587=""),"Missing Date/Time",IFERROR(IF(G1587&lt;F1587,"Discharge Before Arrival","OK"),"Check Format"))</f>
        <v>Missing Date/Time</v>
      </c>
    </row>
    <row r="1588" spans="1:24" x14ac:dyDescent="0.25">
      <c r="A1588" s="2" t="s">
        <v>2324</v>
      </c>
      <c r="B1588" s="2" t="s">
        <v>318</v>
      </c>
      <c r="C1588" s="3" t="s">
        <v>46</v>
      </c>
      <c r="D1588" s="3" t="s">
        <v>99</v>
      </c>
      <c r="E1588" s="4">
        <v>45460.5</v>
      </c>
      <c r="G1588" s="4">
        <v>45460.586111111108</v>
      </c>
      <c r="I1588" s="3" t="s">
        <v>95</v>
      </c>
      <c r="J1588" s="3" t="s">
        <v>171</v>
      </c>
      <c r="K1588" s="5">
        <v>88</v>
      </c>
      <c r="L1588" s="5">
        <v>36</v>
      </c>
      <c r="O1588" s="5">
        <v>2</v>
      </c>
      <c r="P1588" s="3" t="s">
        <v>80</v>
      </c>
      <c r="R1588" s="3" t="s">
        <v>58</v>
      </c>
      <c r="S1588">
        <f>COUNTIF(A:A,A1588)</f>
        <v>1</v>
      </c>
      <c r="T1588" t="str">
        <f>IF(OR(H1588="",LOWER(TRIM(H1588&amp;""))="missing",LOWER(TRIM(H1588&amp;""))=""),"Missing/",IFERROR(IF(OR(VALUE(H1588)&lt;0,VALUE(H1588)&gt;110),"Invalid","Valid"),"Check Format"))</f>
        <v>Missing/</v>
      </c>
      <c r="U1588" t="str">
        <f>IF(Raw_Data[[#This Row],[Age_Check]]="Valid",H1588,"")</f>
        <v/>
      </c>
      <c r="V1588" t="str">
        <f>IF(OR(K1588="",UPPER(TRIM(K1588&amp;""))="",LOWER(TRIM(K1588&amp;""))="",LOWER(TRIM(K1588&amp;""))="",LOWER(TRIM(K1588&amp;""))="missing"),"Missing/",IFERROR(IF(VALUE(K1588)&lt;0,"Invalid","Valid"),"Check Format"))</f>
        <v>Valid</v>
      </c>
      <c r="W1588" t="str">
        <f>IF(OR(E1588="",F1588=""),"Missing Date/Time",IFERROR(IF(F1588&gt;E1588,"Arrival After Appointment","OK"),"Check Format"))</f>
        <v>Missing Date/Time</v>
      </c>
      <c r="X1588" t="str">
        <f>IF(OR(F1588="",G1588=""),"Missing Date/Time",IFERROR(IF(G1588&lt;F1588,"Discharge Before Arrival","OK"),"Check Format"))</f>
        <v>Missing Date/Time</v>
      </c>
    </row>
    <row r="1589" spans="1:24" x14ac:dyDescent="0.25">
      <c r="A1589" s="2" t="s">
        <v>2325</v>
      </c>
      <c r="B1589" s="2" t="s">
        <v>353</v>
      </c>
      <c r="C1589" s="3" t="s">
        <v>94</v>
      </c>
      <c r="D1589" s="3" t="s">
        <v>23</v>
      </c>
      <c r="E1589" s="4">
        <v>45853.465277777781</v>
      </c>
      <c r="F1589" s="4">
        <v>45853.447222222225</v>
      </c>
      <c r="G1589" s="4">
        <v>45853.513888888891</v>
      </c>
      <c r="I1589" s="3" t="s">
        <v>95</v>
      </c>
      <c r="J1589" s="3" t="s">
        <v>150</v>
      </c>
      <c r="K1589" s="5">
        <v>49</v>
      </c>
      <c r="L1589" s="5">
        <v>21</v>
      </c>
      <c r="M1589" s="3" t="s">
        <v>87</v>
      </c>
      <c r="N1589" t="s">
        <v>74</v>
      </c>
      <c r="O1589" s="5">
        <v>1</v>
      </c>
      <c r="P1589" s="3" t="s">
        <v>25</v>
      </c>
      <c r="Q1589" s="2">
        <v>262.68</v>
      </c>
      <c r="R1589" s="3" t="s">
        <v>43</v>
      </c>
      <c r="S1589">
        <f>COUNTIF(A:A,A1589)</f>
        <v>1</v>
      </c>
      <c r="T1589" t="str">
        <f>IF(OR(H1589="",LOWER(TRIM(H1589&amp;""))="missing",LOWER(TRIM(H1589&amp;""))=""),"Missing/",IFERROR(IF(OR(VALUE(H1589)&lt;0,VALUE(H1589)&gt;110),"Invalid","Valid"),"Check Format"))</f>
        <v>Missing/</v>
      </c>
      <c r="U1589" t="str">
        <f>IF(Raw_Data[[#This Row],[Age_Check]]="Valid",H1589,"")</f>
        <v/>
      </c>
      <c r="V1589" t="str">
        <f>IF(OR(K1589="",UPPER(TRIM(K1589&amp;""))="",LOWER(TRIM(K1589&amp;""))="",LOWER(TRIM(K1589&amp;""))="",LOWER(TRIM(K1589&amp;""))="missing"),"Missing/",IFERROR(IF(VALUE(K1589)&lt;0,"Invalid","Valid"),"Check Format"))</f>
        <v>Valid</v>
      </c>
      <c r="W1589" t="str">
        <f>IF(OR(E1589="",F1589=""),"Missing Date/Time",IFERROR(IF(F1589&gt;E1589,"Arrival After Appointment","OK"),"Check Format"))</f>
        <v>OK</v>
      </c>
      <c r="X1589" t="str">
        <f>IF(OR(F1589="",G1589=""),"Missing Date/Time",IFERROR(IF(G1589&lt;F1589,"Discharge Before Arrival","OK"),"Check Format"))</f>
        <v>OK</v>
      </c>
    </row>
    <row r="1590" spans="1:24" x14ac:dyDescent="0.25">
      <c r="A1590" s="2" t="s">
        <v>2326</v>
      </c>
      <c r="B1590" s="2" t="s">
        <v>232</v>
      </c>
      <c r="C1590" s="3" t="s">
        <v>29</v>
      </c>
      <c r="D1590" s="3" t="s">
        <v>209</v>
      </c>
      <c r="E1590" s="4">
        <v>45792.385416666664</v>
      </c>
      <c r="F1590" s="4">
        <v>45792.381944444445</v>
      </c>
      <c r="G1590" s="4">
        <v>45792.417361111111</v>
      </c>
      <c r="H1590" s="5">
        <v>145</v>
      </c>
      <c r="K1590" s="5">
        <v>33</v>
      </c>
      <c r="L1590" s="5">
        <v>13</v>
      </c>
      <c r="M1590" s="3" t="s">
        <v>63</v>
      </c>
      <c r="N1590" t="s">
        <v>24</v>
      </c>
      <c r="P1590" s="3" t="s">
        <v>80</v>
      </c>
      <c r="Q1590" s="2">
        <v>198.23</v>
      </c>
      <c r="R1590" s="3" t="s">
        <v>58</v>
      </c>
      <c r="S1590">
        <f>COUNTIF(A:A,A1590)</f>
        <v>1</v>
      </c>
      <c r="T1590" t="str">
        <f>IF(OR(H1590="",LOWER(TRIM(H1590&amp;""))="missing",LOWER(TRIM(H1590&amp;""))=""),"Missing/",IFERROR(IF(OR(VALUE(H1590)&lt;0,VALUE(H1590)&gt;110),"Invalid","Valid"),"Check Format"))</f>
        <v>Invalid</v>
      </c>
      <c r="U1590" t="str">
        <f>IF(Raw_Data[[#This Row],[Age_Check]]="Valid",H1590,"")</f>
        <v/>
      </c>
      <c r="V1590" t="str">
        <f>IF(OR(K1590="",UPPER(TRIM(K1590&amp;""))="",LOWER(TRIM(K1590&amp;""))="",LOWER(TRIM(K1590&amp;""))="",LOWER(TRIM(K1590&amp;""))="missing"),"Missing/",IFERROR(IF(VALUE(K1590)&lt;0,"Invalid","Valid"),"Check Format"))</f>
        <v>Valid</v>
      </c>
      <c r="W1590" t="str">
        <f>IF(OR(E1590="",F1590=""),"Missing Date/Time",IFERROR(IF(F1590&gt;E1590,"Arrival After Appointment","OK"),"Check Format"))</f>
        <v>OK</v>
      </c>
      <c r="X1590" t="str">
        <f>IF(OR(F1590="",G1590=""),"Missing Date/Time",IFERROR(IF(G1590&lt;F1590,"Discharge Before Arrival","OK"),"Check Format"))</f>
        <v>OK</v>
      </c>
    </row>
    <row r="1591" spans="1:24" x14ac:dyDescent="0.25">
      <c r="A1591" s="2" t="s">
        <v>2327</v>
      </c>
      <c r="B1591" s="2" t="s">
        <v>758</v>
      </c>
      <c r="C1591" s="3" t="s">
        <v>37</v>
      </c>
      <c r="D1591" s="3" t="s">
        <v>174</v>
      </c>
      <c r="E1591" s="4">
        <v>45527.309027777781</v>
      </c>
      <c r="F1591" s="4">
        <v>45527.3</v>
      </c>
      <c r="I1591" s="3" t="s">
        <v>73</v>
      </c>
      <c r="J1591" s="3" t="s">
        <v>150</v>
      </c>
      <c r="K1591" s="5">
        <v>30</v>
      </c>
      <c r="L1591" s="5">
        <v>600</v>
      </c>
      <c r="M1591" s="3" t="s">
        <v>87</v>
      </c>
      <c r="N1591" t="s">
        <v>91</v>
      </c>
      <c r="O1591" s="5">
        <v>6</v>
      </c>
      <c r="P1591" s="3" t="s">
        <v>25</v>
      </c>
      <c r="Q1591" s="2">
        <v>29.51</v>
      </c>
      <c r="R1591" s="3" t="s">
        <v>26</v>
      </c>
      <c r="S1591">
        <f>COUNTIF(A:A,A1591)</f>
        <v>1</v>
      </c>
      <c r="T1591" t="str">
        <f>IF(OR(H1591="",LOWER(TRIM(H1591&amp;""))="missing",LOWER(TRIM(H1591&amp;""))=""),"Missing/",IFERROR(IF(OR(VALUE(H1591)&lt;0,VALUE(H1591)&gt;110),"Invalid","Valid"),"Check Format"))</f>
        <v>Missing/</v>
      </c>
      <c r="U1591" t="str">
        <f>IF(Raw_Data[[#This Row],[Age_Check]]="Valid",H1591,"")</f>
        <v/>
      </c>
      <c r="V1591" t="str">
        <f>IF(OR(K1591="",UPPER(TRIM(K1591&amp;""))="",LOWER(TRIM(K1591&amp;""))="",LOWER(TRIM(K1591&amp;""))="",LOWER(TRIM(K1591&amp;""))="missing"),"Missing/",IFERROR(IF(VALUE(K1591)&lt;0,"Invalid","Valid"),"Check Format"))</f>
        <v>Valid</v>
      </c>
      <c r="W1591" t="str">
        <f>IF(OR(E1591="",F1591=""),"Missing Date/Time",IFERROR(IF(F1591&gt;E1591,"Arrival After Appointment","OK"),"Check Format"))</f>
        <v>OK</v>
      </c>
      <c r="X1591" t="str">
        <f>IF(OR(F1591="",G1591=""),"Missing Date/Time",IFERROR(IF(G1591&lt;F1591,"Discharge Before Arrival","OK"),"Check Format"))</f>
        <v>Missing Date/Time</v>
      </c>
    </row>
    <row r="1592" spans="1:24" x14ac:dyDescent="0.25">
      <c r="A1592" s="2" t="s">
        <v>2328</v>
      </c>
      <c r="B1592" s="2" t="s">
        <v>1646</v>
      </c>
      <c r="C1592" s="3" t="s">
        <v>94</v>
      </c>
      <c r="D1592" s="3" t="s">
        <v>30</v>
      </c>
      <c r="E1592" s="4">
        <v>45527.666666666664</v>
      </c>
      <c r="F1592" s="4">
        <v>45527.65</v>
      </c>
      <c r="G1592" s="4">
        <v>45527.71597222222</v>
      </c>
      <c r="I1592" s="3" t="s">
        <v>95</v>
      </c>
      <c r="J1592" s="3" t="s">
        <v>2639</v>
      </c>
      <c r="K1592" s="5">
        <v>41</v>
      </c>
      <c r="L1592" s="5">
        <v>30</v>
      </c>
      <c r="N1592" t="s">
        <v>74</v>
      </c>
      <c r="O1592" s="5">
        <v>4</v>
      </c>
      <c r="P1592" s="3" t="s">
        <v>25</v>
      </c>
      <c r="Q1592" s="2">
        <v>164.45</v>
      </c>
      <c r="R1592" s="3" t="s">
        <v>58</v>
      </c>
      <c r="S1592">
        <f>COUNTIF(A:A,A1592)</f>
        <v>1</v>
      </c>
      <c r="T1592" t="str">
        <f>IF(OR(H1592="",LOWER(TRIM(H1592&amp;""))="missing",LOWER(TRIM(H1592&amp;""))=""),"Missing/",IFERROR(IF(OR(VALUE(H1592)&lt;0,VALUE(H1592)&gt;110),"Invalid","Valid"),"Check Format"))</f>
        <v>Missing/</v>
      </c>
      <c r="U1592" t="str">
        <f>IF(Raw_Data[[#This Row],[Age_Check]]="Valid",H1592,"")</f>
        <v/>
      </c>
      <c r="V1592" t="str">
        <f>IF(OR(K1592="",UPPER(TRIM(K1592&amp;""))="",LOWER(TRIM(K1592&amp;""))="",LOWER(TRIM(K1592&amp;""))="",LOWER(TRIM(K1592&amp;""))="missing"),"Missing/",IFERROR(IF(VALUE(K1592)&lt;0,"Invalid","Valid"),"Check Format"))</f>
        <v>Valid</v>
      </c>
      <c r="W1592" t="str">
        <f>IF(OR(E1592="",F1592=""),"Missing Date/Time",IFERROR(IF(F1592&gt;E1592,"Arrival After Appointment","OK"),"Check Format"))</f>
        <v>OK</v>
      </c>
      <c r="X1592" t="str">
        <f>IF(OR(F1592="",G1592=""),"Missing Date/Time",IFERROR(IF(G1592&lt;F1592,"Discharge Before Arrival","OK"),"Check Format"))</f>
        <v>OK</v>
      </c>
    </row>
    <row r="1593" spans="1:24" x14ac:dyDescent="0.25">
      <c r="A1593" s="2" t="s">
        <v>2329</v>
      </c>
      <c r="B1593" s="2" t="s">
        <v>941</v>
      </c>
      <c r="C1593" s="3" t="s">
        <v>94</v>
      </c>
      <c r="D1593" s="3" t="s">
        <v>23</v>
      </c>
      <c r="E1593" s="4">
        <v>45626.340277777781</v>
      </c>
      <c r="F1593" s="4">
        <v>45626.325694444444</v>
      </c>
      <c r="G1593" s="4">
        <v>45626.431944444441</v>
      </c>
      <c r="I1593" s="3" t="s">
        <v>73</v>
      </c>
      <c r="J1593" s="3" t="s">
        <v>62</v>
      </c>
      <c r="K1593" s="5">
        <v>91</v>
      </c>
      <c r="L1593" s="5">
        <v>41</v>
      </c>
      <c r="M1593" s="3" t="s">
        <v>87</v>
      </c>
      <c r="N1593" t="s">
        <v>69</v>
      </c>
      <c r="O1593" s="5">
        <v>6</v>
      </c>
      <c r="P1593" s="3" t="s">
        <v>25</v>
      </c>
      <c r="R1593" s="3" t="s">
        <v>75</v>
      </c>
      <c r="S1593">
        <f>COUNTIF(A:A,A1593)</f>
        <v>1</v>
      </c>
      <c r="T1593" t="str">
        <f>IF(OR(H1593="",LOWER(TRIM(H1593&amp;""))="missing",LOWER(TRIM(H1593&amp;""))=""),"Missing/",IFERROR(IF(OR(VALUE(H1593)&lt;0,VALUE(H1593)&gt;110),"Invalid","Valid"),"Check Format"))</f>
        <v>Missing/</v>
      </c>
      <c r="U1593" t="str">
        <f>IF(Raw_Data[[#This Row],[Age_Check]]="Valid",H1593,"")</f>
        <v/>
      </c>
      <c r="V1593" t="str">
        <f>IF(OR(K1593="",UPPER(TRIM(K1593&amp;""))="",LOWER(TRIM(K1593&amp;""))="",LOWER(TRIM(K1593&amp;""))="",LOWER(TRIM(K1593&amp;""))="missing"),"Missing/",IFERROR(IF(VALUE(K1593)&lt;0,"Invalid","Valid"),"Check Format"))</f>
        <v>Valid</v>
      </c>
      <c r="W1593" t="str">
        <f>IF(OR(E1593="",F1593=""),"Missing Date/Time",IFERROR(IF(F1593&gt;E1593,"Arrival After Appointment","OK"),"Check Format"))</f>
        <v>OK</v>
      </c>
      <c r="X1593" t="str">
        <f>IF(OR(F1593="",G1593=""),"Missing Date/Time",IFERROR(IF(G1593&lt;F1593,"Discharge Before Arrival","OK"),"Check Format"))</f>
        <v>OK</v>
      </c>
    </row>
    <row r="1594" spans="1:24" x14ac:dyDescent="0.25">
      <c r="A1594" s="2" t="s">
        <v>2330</v>
      </c>
      <c r="B1594" s="2" t="s">
        <v>1135</v>
      </c>
      <c r="D1594" s="3" t="s">
        <v>55</v>
      </c>
      <c r="E1594" s="4" t="s">
        <v>2331</v>
      </c>
      <c r="F1594" s="4">
        <v>45707.493750000001</v>
      </c>
      <c r="G1594" s="4">
        <v>45707.56527777778</v>
      </c>
      <c r="H1594" s="5">
        <v>75</v>
      </c>
      <c r="I1594" s="3" t="s">
        <v>73</v>
      </c>
      <c r="J1594" s="3" t="s">
        <v>150</v>
      </c>
      <c r="K1594" s="5">
        <v>51</v>
      </c>
      <c r="L1594" s="5">
        <v>28</v>
      </c>
      <c r="N1594" t="s">
        <v>91</v>
      </c>
      <c r="O1594" s="5">
        <v>4</v>
      </c>
      <c r="P1594" s="3" t="s">
        <v>80</v>
      </c>
      <c r="Q1594" s="2">
        <v>185.81</v>
      </c>
      <c r="R1594" s="3" t="s">
        <v>75</v>
      </c>
      <c r="S1594">
        <f>COUNTIF(A:A,A1594)</f>
        <v>1</v>
      </c>
      <c r="T1594" t="str">
        <f>IF(OR(H1594="",LOWER(TRIM(H1594&amp;""))="missing",LOWER(TRIM(H1594&amp;""))=""),"Missing/",IFERROR(IF(OR(VALUE(H1594)&lt;0,VALUE(H1594)&gt;110),"Invalid","Valid"),"Check Format"))</f>
        <v>Valid</v>
      </c>
      <c r="U1594">
        <f>IF(Raw_Data[[#This Row],[Age_Check]]="Valid",H1594,"")</f>
        <v>75</v>
      </c>
      <c r="V1594" t="str">
        <f>IF(OR(K1594="",UPPER(TRIM(K1594&amp;""))="",LOWER(TRIM(K1594&amp;""))="",LOWER(TRIM(K1594&amp;""))="",LOWER(TRIM(K1594&amp;""))="missing"),"Missing/",IFERROR(IF(VALUE(K1594)&lt;0,"Invalid","Valid"),"Check Format"))</f>
        <v>Valid</v>
      </c>
      <c r="W1594" t="str">
        <f>IF(OR(E1594="",F1594=""),"Missing Date/Time",IFERROR(IF(F1594&gt;E1594,"Arrival After Appointment","OK"),"Check Format"))</f>
        <v>OK</v>
      </c>
      <c r="X1594" t="str">
        <f>IF(OR(F1594="",G1594=""),"Missing Date/Time",IFERROR(IF(G1594&lt;F1594,"Discharge Before Arrival","OK"),"Check Format"))</f>
        <v>OK</v>
      </c>
    </row>
    <row r="1595" spans="1:24" x14ac:dyDescent="0.25">
      <c r="A1595" s="2" t="s">
        <v>2332</v>
      </c>
      <c r="B1595" s="2" t="s">
        <v>433</v>
      </c>
      <c r="C1595" s="3" t="s">
        <v>46</v>
      </c>
      <c r="D1595" s="3" t="s">
        <v>55</v>
      </c>
      <c r="E1595" s="4">
        <v>45479.503472222219</v>
      </c>
      <c r="F1595" s="4">
        <v>45450.486111111109</v>
      </c>
      <c r="G1595" s="4">
        <v>45450.597916666666</v>
      </c>
      <c r="H1595" s="5">
        <v>81</v>
      </c>
      <c r="I1595" s="3" t="s">
        <v>73</v>
      </c>
      <c r="J1595" s="3" t="s">
        <v>171</v>
      </c>
      <c r="K1595" s="5">
        <v>102</v>
      </c>
      <c r="L1595" s="5">
        <v>34</v>
      </c>
      <c r="M1595" s="3" t="s">
        <v>41</v>
      </c>
      <c r="N1595" t="s">
        <v>69</v>
      </c>
      <c r="O1595" s="5">
        <v>6</v>
      </c>
      <c r="Q1595" s="2">
        <v>107.47</v>
      </c>
      <c r="R1595" s="3" t="s">
        <v>43</v>
      </c>
      <c r="S1595">
        <f>COUNTIF(A:A,A1595)</f>
        <v>1</v>
      </c>
      <c r="T1595" t="str">
        <f>IF(OR(H1595="",LOWER(TRIM(H1595&amp;""))="missing",LOWER(TRIM(H1595&amp;""))=""),"Missing/",IFERROR(IF(OR(VALUE(H1595)&lt;0,VALUE(H1595)&gt;110),"Invalid","Valid"),"Check Format"))</f>
        <v>Valid</v>
      </c>
      <c r="U1595">
        <f>IF(Raw_Data[[#This Row],[Age_Check]]="Valid",H1595,"")</f>
        <v>81</v>
      </c>
      <c r="V1595" t="str">
        <f>IF(OR(K1595="",UPPER(TRIM(K1595&amp;""))="",LOWER(TRIM(K1595&amp;""))="",LOWER(TRIM(K1595&amp;""))="",LOWER(TRIM(K1595&amp;""))="missing"),"Missing/",IFERROR(IF(VALUE(K1595)&lt;0,"Invalid","Valid"),"Check Format"))</f>
        <v>Valid</v>
      </c>
      <c r="W1595" t="str">
        <f>IF(OR(E1595="",F1595=""),"Missing Date/Time",IFERROR(IF(F1595&gt;E1595,"Arrival After Appointment","OK"),"Check Format"))</f>
        <v>OK</v>
      </c>
      <c r="X1595" t="str">
        <f>IF(OR(F1595="",G1595=""),"Missing Date/Time",IFERROR(IF(G1595&lt;F1595,"Discharge Before Arrival","OK"),"Check Format"))</f>
        <v>OK</v>
      </c>
    </row>
    <row r="1596" spans="1:24" x14ac:dyDescent="0.25">
      <c r="A1596" s="2" t="s">
        <v>2333</v>
      </c>
      <c r="B1596" s="2" t="s">
        <v>2058</v>
      </c>
      <c r="C1596" s="3" t="s">
        <v>46</v>
      </c>
      <c r="D1596" s="3" t="s">
        <v>38</v>
      </c>
      <c r="E1596" s="4">
        <v>45730.506944444445</v>
      </c>
      <c r="F1596" s="4">
        <v>45730.488888888889</v>
      </c>
      <c r="G1596" s="4">
        <v>45730.526388888888</v>
      </c>
      <c r="I1596" s="3" t="s">
        <v>95</v>
      </c>
      <c r="J1596" s="3" t="s">
        <v>2639</v>
      </c>
      <c r="K1596" s="5">
        <v>23</v>
      </c>
      <c r="L1596" s="5">
        <v>5</v>
      </c>
      <c r="M1596" s="3" t="s">
        <v>32</v>
      </c>
      <c r="N1596" t="s">
        <v>74</v>
      </c>
      <c r="Q1596" s="2">
        <v>198.3</v>
      </c>
      <c r="R1596" s="3" t="s">
        <v>26</v>
      </c>
      <c r="S1596">
        <f>COUNTIF(A:A,A1596)</f>
        <v>1</v>
      </c>
      <c r="T1596" t="str">
        <f>IF(OR(H1596="",LOWER(TRIM(H1596&amp;""))="missing",LOWER(TRIM(H1596&amp;""))=""),"Missing/",IFERROR(IF(OR(VALUE(H1596)&lt;0,VALUE(H1596)&gt;110),"Invalid","Valid"),"Check Format"))</f>
        <v>Missing/</v>
      </c>
      <c r="U1596" t="str">
        <f>IF(Raw_Data[[#This Row],[Age_Check]]="Valid",H1596,"")</f>
        <v/>
      </c>
      <c r="V1596" t="str">
        <f>IF(OR(K1596="",UPPER(TRIM(K1596&amp;""))="",LOWER(TRIM(K1596&amp;""))="",LOWER(TRIM(K1596&amp;""))="",LOWER(TRIM(K1596&amp;""))="missing"),"Missing/",IFERROR(IF(VALUE(K1596)&lt;0,"Invalid","Valid"),"Check Format"))</f>
        <v>Valid</v>
      </c>
      <c r="W1596" t="str">
        <f>IF(OR(E1596="",F1596=""),"Missing Date/Time",IFERROR(IF(F1596&gt;E1596,"Arrival After Appointment","OK"),"Check Format"))</f>
        <v>OK</v>
      </c>
      <c r="X1596" t="str">
        <f>IF(OR(F1596="",G1596=""),"Missing Date/Time",IFERROR(IF(G1596&lt;F1596,"Discharge Before Arrival","OK"),"Check Format"))</f>
        <v>OK</v>
      </c>
    </row>
    <row r="1597" spans="1:24" x14ac:dyDescent="0.25">
      <c r="A1597" s="2" t="s">
        <v>2334</v>
      </c>
      <c r="B1597" s="2" t="s">
        <v>996</v>
      </c>
      <c r="C1597" s="3" t="s">
        <v>29</v>
      </c>
      <c r="D1597" s="3" t="s">
        <v>174</v>
      </c>
      <c r="E1597" s="4" t="s">
        <v>2335</v>
      </c>
      <c r="F1597" s="4">
        <v>45716.700694444444</v>
      </c>
      <c r="G1597" s="4">
        <v>45716.788194444445</v>
      </c>
      <c r="I1597" s="3" t="s">
        <v>73</v>
      </c>
      <c r="J1597" s="3" t="s">
        <v>150</v>
      </c>
      <c r="K1597" s="5">
        <v>78</v>
      </c>
      <c r="L1597" s="5">
        <v>42</v>
      </c>
      <c r="M1597" s="3" t="s">
        <v>41</v>
      </c>
      <c r="N1597" t="s">
        <v>69</v>
      </c>
      <c r="O1597" s="5">
        <v>0</v>
      </c>
      <c r="P1597" s="3" t="s">
        <v>25</v>
      </c>
      <c r="Q1597" s="2">
        <v>134.71</v>
      </c>
      <c r="R1597" s="3" t="s">
        <v>58</v>
      </c>
      <c r="S1597">
        <f>COUNTIF(A:A,A1597)</f>
        <v>1</v>
      </c>
      <c r="T1597" t="str">
        <f>IF(OR(H1597="",LOWER(TRIM(H1597&amp;""))="missing",LOWER(TRIM(H1597&amp;""))=""),"Missing/",IFERROR(IF(OR(VALUE(H1597)&lt;0,VALUE(H1597)&gt;110),"Invalid","Valid"),"Check Format"))</f>
        <v>Missing/</v>
      </c>
      <c r="U1597" t="str">
        <f>IF(Raw_Data[[#This Row],[Age_Check]]="Valid",H1597,"")</f>
        <v/>
      </c>
      <c r="V1597" t="str">
        <f>IF(OR(K1597="",UPPER(TRIM(K1597&amp;""))="",LOWER(TRIM(K1597&amp;""))="",LOWER(TRIM(K1597&amp;""))="",LOWER(TRIM(K1597&amp;""))="missing"),"Missing/",IFERROR(IF(VALUE(K1597)&lt;0,"Invalid","Valid"),"Check Format"))</f>
        <v>Valid</v>
      </c>
      <c r="W1597" t="str">
        <f>IF(OR(E1597="",F1597=""),"Missing Date/Time",IFERROR(IF(F1597&gt;E1597,"Arrival After Appointment","OK"),"Check Format"))</f>
        <v>OK</v>
      </c>
      <c r="X1597" t="str">
        <f>IF(OR(F1597="",G1597=""),"Missing Date/Time",IFERROR(IF(G1597&lt;F1597,"Discharge Before Arrival","OK"),"Check Format"))</f>
        <v>OK</v>
      </c>
    </row>
    <row r="1598" spans="1:24" x14ac:dyDescent="0.25">
      <c r="A1598" s="2" t="s">
        <v>2336</v>
      </c>
      <c r="B1598" s="2" t="s">
        <v>437</v>
      </c>
      <c r="C1598" s="3" t="s">
        <v>94</v>
      </c>
      <c r="D1598" s="3" t="s">
        <v>38</v>
      </c>
      <c r="E1598" s="4">
        <v>45654.375</v>
      </c>
      <c r="F1598" s="4">
        <v>45654.363888888889</v>
      </c>
      <c r="G1598" s="4">
        <v>45654.465277777781</v>
      </c>
      <c r="H1598" s="5">
        <v>63</v>
      </c>
      <c r="I1598" s="3" t="s">
        <v>73</v>
      </c>
      <c r="J1598" s="3" t="s">
        <v>67</v>
      </c>
      <c r="K1598" s="5">
        <v>107</v>
      </c>
      <c r="L1598" s="5">
        <v>23</v>
      </c>
      <c r="M1598" s="3" t="s">
        <v>68</v>
      </c>
      <c r="P1598" s="3" t="s">
        <v>25</v>
      </c>
      <c r="Q1598" s="2">
        <v>221.42</v>
      </c>
      <c r="R1598" s="3" t="s">
        <v>43</v>
      </c>
      <c r="S1598">
        <f>COUNTIF(A:A,A1598)</f>
        <v>1</v>
      </c>
      <c r="T1598" t="str">
        <f>IF(OR(H1598="",LOWER(TRIM(H1598&amp;""))="missing",LOWER(TRIM(H1598&amp;""))=""),"Missing/",IFERROR(IF(OR(VALUE(H1598)&lt;0,VALUE(H1598)&gt;110),"Invalid","Valid"),"Check Format"))</f>
        <v>Valid</v>
      </c>
      <c r="U1598">
        <f>IF(Raw_Data[[#This Row],[Age_Check]]="Valid",H1598,"")</f>
        <v>63</v>
      </c>
      <c r="V1598" t="str">
        <f>IF(OR(K1598="",UPPER(TRIM(K1598&amp;""))="",LOWER(TRIM(K1598&amp;""))="",LOWER(TRIM(K1598&amp;""))="",LOWER(TRIM(K1598&amp;""))="missing"),"Missing/",IFERROR(IF(VALUE(K1598)&lt;0,"Invalid","Valid"),"Check Format"))</f>
        <v>Valid</v>
      </c>
      <c r="W1598" t="str">
        <f>IF(OR(E1598="",F1598=""),"Missing Date/Time",IFERROR(IF(F1598&gt;E1598,"Arrival After Appointment","OK"),"Check Format"))</f>
        <v>OK</v>
      </c>
      <c r="X1598" t="str">
        <f>IF(OR(F1598="",G1598=""),"Missing Date/Time",IFERROR(IF(G1598&lt;F1598,"Discharge Before Arrival","OK"),"Check Format"))</f>
        <v>OK</v>
      </c>
    </row>
    <row r="1599" spans="1:24" x14ac:dyDescent="0.25">
      <c r="A1599" s="2" t="s">
        <v>2337</v>
      </c>
      <c r="B1599" s="2" t="s">
        <v>395</v>
      </c>
      <c r="C1599" s="3" t="s">
        <v>37</v>
      </c>
      <c r="D1599" s="3" t="s">
        <v>174</v>
      </c>
      <c r="E1599" s="4">
        <v>45396.78125</v>
      </c>
      <c r="F1599" s="4">
        <v>45396.763194444444</v>
      </c>
      <c r="G1599" s="4">
        <v>45396.834722222222</v>
      </c>
      <c r="H1599" s="5">
        <v>86</v>
      </c>
      <c r="J1599" s="3" t="s">
        <v>62</v>
      </c>
      <c r="K1599" s="5">
        <v>56</v>
      </c>
      <c r="L1599" s="5">
        <v>21</v>
      </c>
      <c r="M1599" s="3" t="s">
        <v>41</v>
      </c>
      <c r="N1599" t="s">
        <v>103</v>
      </c>
      <c r="O1599" s="5">
        <v>6</v>
      </c>
      <c r="P1599" s="3" t="s">
        <v>42</v>
      </c>
      <c r="Q1599" s="2">
        <v>192.4</v>
      </c>
      <c r="R1599" s="3" t="s">
        <v>58</v>
      </c>
      <c r="S1599">
        <f>COUNTIF(A:A,A1599)</f>
        <v>1</v>
      </c>
      <c r="T1599" t="str">
        <f>IF(OR(H1599="",LOWER(TRIM(H1599&amp;""))="missing",LOWER(TRIM(H1599&amp;""))=""),"Missing/",IFERROR(IF(OR(VALUE(H1599)&lt;0,VALUE(H1599)&gt;110),"Invalid","Valid"),"Check Format"))</f>
        <v>Valid</v>
      </c>
      <c r="U1599">
        <f>IF(Raw_Data[[#This Row],[Age_Check]]="Valid",H1599,"")</f>
        <v>86</v>
      </c>
      <c r="V1599" t="str">
        <f>IF(OR(K1599="",UPPER(TRIM(K1599&amp;""))="",LOWER(TRIM(K1599&amp;""))="",LOWER(TRIM(K1599&amp;""))="",LOWER(TRIM(K1599&amp;""))="missing"),"Missing/",IFERROR(IF(VALUE(K1599)&lt;0,"Invalid","Valid"),"Check Format"))</f>
        <v>Valid</v>
      </c>
      <c r="W1599" t="str">
        <f>IF(OR(E1599="",F1599=""),"Missing Date/Time",IFERROR(IF(F1599&gt;E1599,"Arrival After Appointment","OK"),"Check Format"))</f>
        <v>OK</v>
      </c>
      <c r="X1599" t="str">
        <f>IF(OR(F1599="",G1599=""),"Missing Date/Time",IFERROR(IF(G1599&lt;F1599,"Discharge Before Arrival","OK"),"Check Format"))</f>
        <v>OK</v>
      </c>
    </row>
    <row r="1600" spans="1:24" x14ac:dyDescent="0.25">
      <c r="A1600" s="2" t="s">
        <v>2338</v>
      </c>
      <c r="B1600" s="2" t="s">
        <v>1528</v>
      </c>
      <c r="C1600" s="3" t="s">
        <v>46</v>
      </c>
      <c r="D1600" s="3" t="s">
        <v>66</v>
      </c>
      <c r="E1600" s="4">
        <v>45477.708333333336</v>
      </c>
      <c r="F1600" s="4">
        <v>45477.693749999999</v>
      </c>
      <c r="G1600" s="4">
        <v>45477.784722222219</v>
      </c>
      <c r="H1600" s="5">
        <v>74</v>
      </c>
      <c r="I1600" s="3" t="s">
        <v>95</v>
      </c>
      <c r="J1600" s="3" t="s">
        <v>2639</v>
      </c>
      <c r="K1600" s="5">
        <v>72</v>
      </c>
      <c r="L1600" s="5">
        <v>38</v>
      </c>
      <c r="M1600" s="3" t="s">
        <v>32</v>
      </c>
      <c r="N1600" t="s">
        <v>69</v>
      </c>
      <c r="O1600" s="5">
        <v>0</v>
      </c>
      <c r="P1600" s="3" t="s">
        <v>80</v>
      </c>
      <c r="Q1600" s="2">
        <v>151.5</v>
      </c>
      <c r="R1600" s="3" t="s">
        <v>58</v>
      </c>
      <c r="S1600">
        <f>COUNTIF(A:A,A1600)</f>
        <v>1</v>
      </c>
      <c r="T1600" t="str">
        <f>IF(OR(H1600="",LOWER(TRIM(H1600&amp;""))="missing",LOWER(TRIM(H1600&amp;""))=""),"Missing/",IFERROR(IF(OR(VALUE(H1600)&lt;0,VALUE(H1600)&gt;110),"Invalid","Valid"),"Check Format"))</f>
        <v>Valid</v>
      </c>
      <c r="U1600">
        <f>IF(Raw_Data[[#This Row],[Age_Check]]="Valid",H1600,"")</f>
        <v>74</v>
      </c>
      <c r="V1600" t="str">
        <f>IF(OR(K1600="",UPPER(TRIM(K1600&amp;""))="",LOWER(TRIM(K1600&amp;""))="",LOWER(TRIM(K1600&amp;""))="",LOWER(TRIM(K1600&amp;""))="missing"),"Missing/",IFERROR(IF(VALUE(K1600)&lt;0,"Invalid","Valid"),"Check Format"))</f>
        <v>Valid</v>
      </c>
      <c r="W1600" t="str">
        <f>IF(OR(E1600="",F1600=""),"Missing Date/Time",IFERROR(IF(F1600&gt;E1600,"Arrival After Appointment","OK"),"Check Format"))</f>
        <v>OK</v>
      </c>
      <c r="X1600" t="str">
        <f>IF(OR(F1600="",G1600=""),"Missing Date/Time",IFERROR(IF(G1600&lt;F1600,"Discharge Before Arrival","OK"),"Check Format"))</f>
        <v>OK</v>
      </c>
    </row>
    <row r="1601" spans="1:24" x14ac:dyDescent="0.25">
      <c r="A1601" s="2" t="s">
        <v>2339</v>
      </c>
      <c r="B1601" s="2" t="s">
        <v>167</v>
      </c>
      <c r="C1601" s="3" t="s">
        <v>19</v>
      </c>
      <c r="D1601" s="3" t="s">
        <v>149</v>
      </c>
      <c r="E1601" s="4">
        <v>45657.513888888891</v>
      </c>
      <c r="F1601" s="4">
        <v>45657.496527777781</v>
      </c>
      <c r="G1601" s="4">
        <v>45657.604166666664</v>
      </c>
      <c r="I1601" s="3" t="s">
        <v>73</v>
      </c>
      <c r="J1601" s="3" t="s">
        <v>150</v>
      </c>
      <c r="K1601" s="5">
        <v>56</v>
      </c>
      <c r="L1601" s="5">
        <v>74</v>
      </c>
      <c r="M1601" s="3" t="s">
        <v>23</v>
      </c>
      <c r="N1601" t="s">
        <v>74</v>
      </c>
      <c r="O1601" s="5">
        <v>6</v>
      </c>
      <c r="P1601" s="3" t="s">
        <v>80</v>
      </c>
      <c r="Q1601" s="2">
        <v>239.74</v>
      </c>
      <c r="R1601" s="3" t="s">
        <v>75</v>
      </c>
      <c r="S1601">
        <f>COUNTIF(A:A,A1601)</f>
        <v>1</v>
      </c>
      <c r="T1601" t="str">
        <f>IF(OR(H1601="",LOWER(TRIM(H1601&amp;""))="missing",LOWER(TRIM(H1601&amp;""))=""),"Missing/",IFERROR(IF(OR(VALUE(H1601)&lt;0,VALUE(H1601)&gt;110),"Invalid","Valid"),"Check Format"))</f>
        <v>Missing/</v>
      </c>
      <c r="U1601" t="str">
        <f>IF(Raw_Data[[#This Row],[Age_Check]]="Valid",H1601,"")</f>
        <v/>
      </c>
      <c r="V1601" t="str">
        <f>IF(OR(K1601="",UPPER(TRIM(K1601&amp;""))="",LOWER(TRIM(K1601&amp;""))="",LOWER(TRIM(K1601&amp;""))="",LOWER(TRIM(K1601&amp;""))="missing"),"Missing/",IFERROR(IF(VALUE(K1601)&lt;0,"Invalid","Valid"),"Check Format"))</f>
        <v>Valid</v>
      </c>
      <c r="W1601" t="str">
        <f>IF(OR(E1601="",F1601=""),"Missing Date/Time",IFERROR(IF(F1601&gt;E1601,"Arrival After Appointment","OK"),"Check Format"))</f>
        <v>OK</v>
      </c>
      <c r="X1601" t="str">
        <f>IF(OR(F1601="",G1601=""),"Missing Date/Time",IFERROR(IF(G1601&lt;F1601,"Discharge Before Arrival","OK"),"Check Format"))</f>
        <v>OK</v>
      </c>
    </row>
    <row r="1602" spans="1:24" x14ac:dyDescent="0.25">
      <c r="A1602" s="2" t="s">
        <v>2340</v>
      </c>
      <c r="B1602" s="2" t="s">
        <v>2341</v>
      </c>
      <c r="C1602" s="3" t="s">
        <v>19</v>
      </c>
      <c r="D1602" s="3" t="s">
        <v>20</v>
      </c>
      <c r="E1602" s="4">
        <v>45430.454861111109</v>
      </c>
      <c r="F1602" s="4">
        <v>45430.440972222219</v>
      </c>
      <c r="G1602" s="4">
        <v>45430.536111111112</v>
      </c>
      <c r="H1602" s="5">
        <v>43</v>
      </c>
      <c r="I1602" s="3" t="s">
        <v>73</v>
      </c>
      <c r="J1602" s="3" t="s">
        <v>2639</v>
      </c>
      <c r="L1602" s="5">
        <v>34</v>
      </c>
      <c r="M1602" s="3" t="s">
        <v>87</v>
      </c>
      <c r="N1602" t="s">
        <v>69</v>
      </c>
      <c r="O1602" s="5">
        <v>4</v>
      </c>
      <c r="P1602" s="3" t="s">
        <v>80</v>
      </c>
      <c r="Q1602" s="2">
        <v>225.57</v>
      </c>
      <c r="R1602" s="3" t="s">
        <v>58</v>
      </c>
      <c r="S1602">
        <f>COUNTIF(A:A,A1602)</f>
        <v>1</v>
      </c>
      <c r="T1602" t="str">
        <f>IF(OR(H1602="",LOWER(TRIM(H1602&amp;""))="missing",LOWER(TRIM(H1602&amp;""))=""),"Missing/",IFERROR(IF(OR(VALUE(H1602)&lt;0,VALUE(H1602)&gt;110),"Invalid","Valid"),"Check Format"))</f>
        <v>Valid</v>
      </c>
      <c r="U1602">
        <f>IF(Raw_Data[[#This Row],[Age_Check]]="Valid",H1602,"")</f>
        <v>43</v>
      </c>
      <c r="V1602" t="str">
        <f>IF(OR(K1602="",UPPER(TRIM(K1602&amp;""))="",LOWER(TRIM(K1602&amp;""))="",LOWER(TRIM(K1602&amp;""))="",LOWER(TRIM(K1602&amp;""))="missing"),"Missing/",IFERROR(IF(VALUE(K1602)&lt;0,"Invalid","Valid"),"Check Format"))</f>
        <v>Missing/</v>
      </c>
      <c r="W1602" t="str">
        <f>IF(OR(E1602="",F1602=""),"Missing Date/Time",IFERROR(IF(F1602&gt;E1602,"Arrival After Appointment","OK"),"Check Format"))</f>
        <v>OK</v>
      </c>
      <c r="X1602" t="str">
        <f>IF(OR(F1602="",G1602=""),"Missing Date/Time",IFERROR(IF(G1602&lt;F1602,"Discharge Before Arrival","OK"),"Check Format"))</f>
        <v>OK</v>
      </c>
    </row>
    <row r="1603" spans="1:24" x14ac:dyDescent="0.25">
      <c r="A1603" s="2" t="s">
        <v>2342</v>
      </c>
      <c r="B1603" s="2" t="s">
        <v>483</v>
      </c>
      <c r="C1603" s="3" t="s">
        <v>19</v>
      </c>
      <c r="D1603" s="3" t="s">
        <v>61</v>
      </c>
      <c r="E1603" s="4">
        <v>45939.371527777781</v>
      </c>
      <c r="F1603" s="4">
        <v>45939.352083333331</v>
      </c>
      <c r="G1603" s="4">
        <v>45939.446527777778</v>
      </c>
      <c r="H1603" s="5">
        <v>71</v>
      </c>
      <c r="I1603" s="3" t="s">
        <v>90</v>
      </c>
      <c r="J1603" s="3" t="s">
        <v>22</v>
      </c>
      <c r="K1603" s="5">
        <v>76</v>
      </c>
      <c r="L1603" s="5">
        <v>32</v>
      </c>
      <c r="M1603" s="3" t="s">
        <v>68</v>
      </c>
      <c r="N1603" t="s">
        <v>24</v>
      </c>
      <c r="O1603" s="5">
        <v>4</v>
      </c>
      <c r="P1603" s="3" t="s">
        <v>25</v>
      </c>
      <c r="Q1603" s="2">
        <v>120.71</v>
      </c>
      <c r="R1603" s="3" t="s">
        <v>75</v>
      </c>
      <c r="S1603">
        <f>COUNTIF(A:A,A1603)</f>
        <v>1</v>
      </c>
      <c r="T1603" t="str">
        <f>IF(OR(H1603="",LOWER(TRIM(H1603&amp;""))="missing",LOWER(TRIM(H1603&amp;""))=""),"Missing/",IFERROR(IF(OR(VALUE(H1603)&lt;0,VALUE(H1603)&gt;110),"Invalid","Valid"),"Check Format"))</f>
        <v>Valid</v>
      </c>
      <c r="U1603">
        <f>IF(Raw_Data[[#This Row],[Age_Check]]="Valid",H1603,"")</f>
        <v>71</v>
      </c>
      <c r="V1603" t="str">
        <f>IF(OR(K1603="",UPPER(TRIM(K1603&amp;""))="",LOWER(TRIM(K1603&amp;""))="",LOWER(TRIM(K1603&amp;""))="",LOWER(TRIM(K1603&amp;""))="missing"),"Missing/",IFERROR(IF(VALUE(K1603)&lt;0,"Invalid","Valid"),"Check Format"))</f>
        <v>Valid</v>
      </c>
      <c r="W1603" t="str">
        <f>IF(OR(E1603="",F1603=""),"Missing Date/Time",IFERROR(IF(F1603&gt;E1603,"Arrival After Appointment","OK"),"Check Format"))</f>
        <v>OK</v>
      </c>
      <c r="X1603" t="str">
        <f>IF(OR(F1603="",G1603=""),"Missing Date/Time",IFERROR(IF(G1603&lt;F1603,"Discharge Before Arrival","OK"),"Check Format"))</f>
        <v>OK</v>
      </c>
    </row>
    <row r="1604" spans="1:24" x14ac:dyDescent="0.25">
      <c r="A1604" s="2" t="s">
        <v>2343</v>
      </c>
      <c r="B1604" s="2" t="s">
        <v>298</v>
      </c>
      <c r="C1604" s="3" t="s">
        <v>29</v>
      </c>
      <c r="D1604" s="3" t="s">
        <v>55</v>
      </c>
      <c r="E1604" s="4">
        <v>45464.506944444445</v>
      </c>
      <c r="F1604" s="4">
        <v>45464.50277777778</v>
      </c>
      <c r="G1604" s="4">
        <v>45464.548611111109</v>
      </c>
      <c r="J1604" s="3" t="s">
        <v>67</v>
      </c>
      <c r="K1604" s="5">
        <v>55</v>
      </c>
      <c r="L1604" s="5">
        <v>5</v>
      </c>
      <c r="M1604" s="3" t="s">
        <v>68</v>
      </c>
      <c r="O1604" s="5">
        <v>6</v>
      </c>
      <c r="P1604" s="3" t="s">
        <v>25</v>
      </c>
      <c r="Q1604" s="2">
        <v>161.85</v>
      </c>
      <c r="R1604" s="3" t="s">
        <v>26</v>
      </c>
      <c r="S1604">
        <f>COUNTIF(A:A,A1604)</f>
        <v>1</v>
      </c>
      <c r="T1604" t="str">
        <f>IF(OR(H1604="",LOWER(TRIM(H1604&amp;""))="missing",LOWER(TRIM(H1604&amp;""))=""),"Missing/",IFERROR(IF(OR(VALUE(H1604)&lt;0,VALUE(H1604)&gt;110),"Invalid","Valid"),"Check Format"))</f>
        <v>Missing/</v>
      </c>
      <c r="U1604" t="str">
        <f>IF(Raw_Data[[#This Row],[Age_Check]]="Valid",H1604,"")</f>
        <v/>
      </c>
      <c r="V1604" t="str">
        <f>IF(OR(K1604="",UPPER(TRIM(K1604&amp;""))="",LOWER(TRIM(K1604&amp;""))="",LOWER(TRIM(K1604&amp;""))="",LOWER(TRIM(K1604&amp;""))="missing"),"Missing/",IFERROR(IF(VALUE(K1604)&lt;0,"Invalid","Valid"),"Check Format"))</f>
        <v>Valid</v>
      </c>
      <c r="W1604" t="str">
        <f>IF(OR(E1604="",F1604=""),"Missing Date/Time",IFERROR(IF(F1604&gt;E1604,"Arrival After Appointment","OK"),"Check Format"))</f>
        <v>OK</v>
      </c>
      <c r="X1604" t="str">
        <f>IF(OR(F1604="",G1604=""),"Missing Date/Time",IFERROR(IF(G1604&lt;F1604,"Discharge Before Arrival","OK"),"Check Format"))</f>
        <v>OK</v>
      </c>
    </row>
    <row r="1605" spans="1:24" x14ac:dyDescent="0.25">
      <c r="A1605" s="2" t="s">
        <v>2344</v>
      </c>
      <c r="B1605" s="2" t="s">
        <v>767</v>
      </c>
      <c r="C1605" s="3" t="s">
        <v>19</v>
      </c>
      <c r="D1605" s="3" t="s">
        <v>72</v>
      </c>
      <c r="E1605" s="4">
        <v>45362.684027777781</v>
      </c>
      <c r="F1605" s="4">
        <v>45599.668749999997</v>
      </c>
      <c r="G1605" s="4">
        <v>45599.753472222219</v>
      </c>
      <c r="I1605" s="3" t="s">
        <v>90</v>
      </c>
      <c r="J1605" s="3" t="s">
        <v>62</v>
      </c>
      <c r="K1605" s="5">
        <v>40</v>
      </c>
      <c r="L1605" s="5">
        <v>60</v>
      </c>
      <c r="M1605" s="3" t="s">
        <v>63</v>
      </c>
      <c r="N1605" t="s">
        <v>69</v>
      </c>
      <c r="O1605" s="5">
        <v>3</v>
      </c>
      <c r="P1605" s="3" t="s">
        <v>80</v>
      </c>
      <c r="Q1605" s="2">
        <v>146.55000000000001</v>
      </c>
      <c r="R1605" s="3" t="s">
        <v>58</v>
      </c>
      <c r="S1605">
        <f>COUNTIF(A:A,A1605)</f>
        <v>1</v>
      </c>
      <c r="T1605" t="str">
        <f>IF(OR(H1605="",LOWER(TRIM(H1605&amp;""))="missing",LOWER(TRIM(H1605&amp;""))=""),"Missing/",IFERROR(IF(OR(VALUE(H1605)&lt;0,VALUE(H1605)&gt;110),"Invalid","Valid"),"Check Format"))</f>
        <v>Missing/</v>
      </c>
      <c r="U1605" t="str">
        <f>IF(Raw_Data[[#This Row],[Age_Check]]="Valid",H1605,"")</f>
        <v/>
      </c>
      <c r="V1605" t="str">
        <f>IF(OR(K1605="",UPPER(TRIM(K1605&amp;""))="",LOWER(TRIM(K1605&amp;""))="",LOWER(TRIM(K1605&amp;""))="",LOWER(TRIM(K1605&amp;""))="missing"),"Missing/",IFERROR(IF(VALUE(K1605)&lt;0,"Invalid","Valid"),"Check Format"))</f>
        <v>Valid</v>
      </c>
      <c r="W1605" t="str">
        <f>IF(OR(E1605="",F1605=""),"Missing Date/Time",IFERROR(IF(F1605&gt;E1605,"Arrival After Appointment","OK"),"Check Format"))</f>
        <v>Arrival After Appointment</v>
      </c>
      <c r="X1605" t="str">
        <f>IF(OR(F1605="",G1605=""),"Missing Date/Time",IFERROR(IF(G1605&lt;F1605,"Discharge Before Arrival","OK"),"Check Format"))</f>
        <v>OK</v>
      </c>
    </row>
    <row r="1606" spans="1:24" x14ac:dyDescent="0.25">
      <c r="A1606" s="2" t="s">
        <v>2345</v>
      </c>
      <c r="B1606" s="2" t="s">
        <v>447</v>
      </c>
      <c r="C1606" s="3" t="s">
        <v>29</v>
      </c>
      <c r="D1606" s="3" t="s">
        <v>72</v>
      </c>
      <c r="E1606" s="4">
        <v>45602.413194444445</v>
      </c>
      <c r="F1606" s="4">
        <v>45602.393750000003</v>
      </c>
      <c r="H1606" s="5">
        <v>145</v>
      </c>
      <c r="I1606" s="3" t="s">
        <v>73</v>
      </c>
      <c r="K1606" s="5">
        <v>16</v>
      </c>
      <c r="L1606" s="5">
        <v>31</v>
      </c>
      <c r="M1606" s="3" t="s">
        <v>32</v>
      </c>
      <c r="O1606" s="5">
        <v>3</v>
      </c>
      <c r="P1606" s="3" t="s">
        <v>42</v>
      </c>
      <c r="Q1606" s="2">
        <v>61.31</v>
      </c>
      <c r="R1606" s="3" t="s">
        <v>58</v>
      </c>
      <c r="S1606">
        <f>COUNTIF(A:A,A1606)</f>
        <v>1</v>
      </c>
      <c r="T1606" t="str">
        <f>IF(OR(H1606="",LOWER(TRIM(H1606&amp;""))="missing",LOWER(TRIM(H1606&amp;""))=""),"Missing/",IFERROR(IF(OR(VALUE(H1606)&lt;0,VALUE(H1606)&gt;110),"Invalid","Valid"),"Check Format"))</f>
        <v>Invalid</v>
      </c>
      <c r="U1606" t="str">
        <f>IF(Raw_Data[[#This Row],[Age_Check]]="Valid",H1606,"")</f>
        <v/>
      </c>
      <c r="V1606" t="str">
        <f>IF(OR(K1606="",UPPER(TRIM(K1606&amp;""))="",LOWER(TRIM(K1606&amp;""))="",LOWER(TRIM(K1606&amp;""))="",LOWER(TRIM(K1606&amp;""))="missing"),"Missing/",IFERROR(IF(VALUE(K1606)&lt;0,"Invalid","Valid"),"Check Format"))</f>
        <v>Valid</v>
      </c>
      <c r="W1606" t="str">
        <f>IF(OR(E1606="",F1606=""),"Missing Date/Time",IFERROR(IF(F1606&gt;E1606,"Arrival After Appointment","OK"),"Check Format"))</f>
        <v>OK</v>
      </c>
      <c r="X1606" t="str">
        <f>IF(OR(F1606="",G1606=""),"Missing Date/Time",IFERROR(IF(G1606&lt;F1606,"Discharge Before Arrival","OK"),"Check Format"))</f>
        <v>Missing Date/Time</v>
      </c>
    </row>
    <row r="1607" spans="1:24" x14ac:dyDescent="0.25">
      <c r="A1607" s="2" t="s">
        <v>2346</v>
      </c>
      <c r="B1607" s="2" t="s">
        <v>2347</v>
      </c>
      <c r="C1607" s="3" t="s">
        <v>94</v>
      </c>
      <c r="D1607" s="3" t="s">
        <v>38</v>
      </c>
      <c r="E1607" s="4" t="s">
        <v>2348</v>
      </c>
      <c r="F1607" s="4">
        <v>45525.550694444442</v>
      </c>
      <c r="I1607" s="3" t="s">
        <v>73</v>
      </c>
      <c r="J1607" s="3" t="s">
        <v>171</v>
      </c>
      <c r="K1607" s="5">
        <v>74</v>
      </c>
      <c r="L1607" s="5">
        <v>37</v>
      </c>
      <c r="M1607" s="3" t="s">
        <v>32</v>
      </c>
      <c r="N1607" t="s">
        <v>24</v>
      </c>
      <c r="O1607" s="5">
        <v>4</v>
      </c>
      <c r="P1607" s="3" t="s">
        <v>25</v>
      </c>
      <c r="Q1607" s="2">
        <v>221.63</v>
      </c>
      <c r="R1607" s="3" t="s">
        <v>58</v>
      </c>
      <c r="S1607">
        <f>COUNTIF(A:A,A1607)</f>
        <v>1</v>
      </c>
      <c r="T1607" t="str">
        <f>IF(OR(H1607="",LOWER(TRIM(H1607&amp;""))="missing",LOWER(TRIM(H1607&amp;""))=""),"Missing/",IFERROR(IF(OR(VALUE(H1607)&lt;0,VALUE(H1607)&gt;110),"Invalid","Valid"),"Check Format"))</f>
        <v>Missing/</v>
      </c>
      <c r="U1607" t="str">
        <f>IF(Raw_Data[[#This Row],[Age_Check]]="Valid",H1607,"")</f>
        <v/>
      </c>
      <c r="V1607" t="str">
        <f>IF(OR(K1607="",UPPER(TRIM(K1607&amp;""))="",LOWER(TRIM(K1607&amp;""))="",LOWER(TRIM(K1607&amp;""))="",LOWER(TRIM(K1607&amp;""))="missing"),"Missing/",IFERROR(IF(VALUE(K1607)&lt;0,"Invalid","Valid"),"Check Format"))</f>
        <v>Valid</v>
      </c>
      <c r="W1607" t="str">
        <f>IF(OR(E1607="",F1607=""),"Missing Date/Time",IFERROR(IF(F1607&gt;E1607,"Arrival After Appointment","OK"),"Check Format"))</f>
        <v>OK</v>
      </c>
      <c r="X1607" t="str">
        <f>IF(OR(F1607="",G1607=""),"Missing Date/Time",IFERROR(IF(G1607&lt;F1607,"Discharge Before Arrival","OK"),"Check Format"))</f>
        <v>Missing Date/Time</v>
      </c>
    </row>
    <row r="1608" spans="1:24" x14ac:dyDescent="0.25">
      <c r="A1608" s="2" t="s">
        <v>2349</v>
      </c>
      <c r="B1608" s="2" t="s">
        <v>307</v>
      </c>
      <c r="C1608" s="3" t="s">
        <v>94</v>
      </c>
      <c r="D1608" s="3" t="s">
        <v>99</v>
      </c>
      <c r="E1608" s="4">
        <v>45518.722222222219</v>
      </c>
      <c r="F1608" s="4">
        <v>45518.706250000003</v>
      </c>
      <c r="I1608" s="3" t="s">
        <v>39</v>
      </c>
      <c r="J1608" s="3" t="s">
        <v>67</v>
      </c>
      <c r="K1608" s="5">
        <v>30</v>
      </c>
      <c r="L1608" s="5">
        <v>32</v>
      </c>
      <c r="M1608" s="3" t="s">
        <v>68</v>
      </c>
      <c r="N1608" t="s">
        <v>24</v>
      </c>
      <c r="P1608" s="3" t="s">
        <v>80</v>
      </c>
      <c r="Q1608" s="2">
        <v>35.799999999999997</v>
      </c>
      <c r="R1608" s="3" t="s">
        <v>43</v>
      </c>
      <c r="S1608">
        <f>COUNTIF(A:A,A1608)</f>
        <v>1</v>
      </c>
      <c r="T1608" t="str">
        <f>IF(OR(H1608="",LOWER(TRIM(H1608&amp;""))="missing",LOWER(TRIM(H1608&amp;""))=""),"Missing/",IFERROR(IF(OR(VALUE(H1608)&lt;0,VALUE(H1608)&gt;110),"Invalid","Valid"),"Check Format"))</f>
        <v>Missing/</v>
      </c>
      <c r="U1608" t="str">
        <f>IF(Raw_Data[[#This Row],[Age_Check]]="Valid",H1608,"")</f>
        <v/>
      </c>
      <c r="V1608" t="str">
        <f>IF(OR(K1608="",UPPER(TRIM(K1608&amp;""))="",LOWER(TRIM(K1608&amp;""))="",LOWER(TRIM(K1608&amp;""))="",LOWER(TRIM(K1608&amp;""))="missing"),"Missing/",IFERROR(IF(VALUE(K1608)&lt;0,"Invalid","Valid"),"Check Format"))</f>
        <v>Valid</v>
      </c>
      <c r="W1608" t="str">
        <f>IF(OR(E1608="",F1608=""),"Missing Date/Time",IFERROR(IF(F1608&gt;E1608,"Arrival After Appointment","OK"),"Check Format"))</f>
        <v>OK</v>
      </c>
      <c r="X1608" t="str">
        <f>IF(OR(F1608="",G1608=""),"Missing Date/Time",IFERROR(IF(G1608&lt;F1608,"Discharge Before Arrival","OK"),"Check Format"))</f>
        <v>Missing Date/Time</v>
      </c>
    </row>
    <row r="1609" spans="1:24" x14ac:dyDescent="0.25">
      <c r="A1609" s="2" t="s">
        <v>2350</v>
      </c>
      <c r="B1609" s="2" t="s">
        <v>880</v>
      </c>
      <c r="C1609" s="3" t="s">
        <v>46</v>
      </c>
      <c r="D1609" s="3" t="s">
        <v>209</v>
      </c>
      <c r="E1609" s="4">
        <v>45793.736111111109</v>
      </c>
      <c r="F1609" s="4">
        <v>45793.716666666667</v>
      </c>
      <c r="G1609" s="4">
        <v>45793.821527777778</v>
      </c>
      <c r="I1609" s="3" t="s">
        <v>39</v>
      </c>
      <c r="J1609" s="3" t="s">
        <v>150</v>
      </c>
      <c r="K1609" s="5">
        <v>82</v>
      </c>
      <c r="L1609" s="5">
        <v>41</v>
      </c>
      <c r="M1609" s="3" t="s">
        <v>32</v>
      </c>
      <c r="N1609" t="s">
        <v>100</v>
      </c>
      <c r="O1609" s="5">
        <v>0</v>
      </c>
      <c r="P1609" s="3" t="s">
        <v>42</v>
      </c>
      <c r="Q1609" s="2">
        <v>184.66</v>
      </c>
      <c r="R1609" s="3" t="s">
        <v>58</v>
      </c>
      <c r="S1609">
        <f>COUNTIF(A:A,A1609)</f>
        <v>1</v>
      </c>
      <c r="T1609" t="str">
        <f>IF(OR(H1609="",LOWER(TRIM(H1609&amp;""))="missing",LOWER(TRIM(H1609&amp;""))=""),"Missing/",IFERROR(IF(OR(VALUE(H1609)&lt;0,VALUE(H1609)&gt;110),"Invalid","Valid"),"Check Format"))</f>
        <v>Missing/</v>
      </c>
      <c r="U1609" t="str">
        <f>IF(Raw_Data[[#This Row],[Age_Check]]="Valid",H1609,"")</f>
        <v/>
      </c>
      <c r="V1609" t="str">
        <f>IF(OR(K1609="",UPPER(TRIM(K1609&amp;""))="",LOWER(TRIM(K1609&amp;""))="",LOWER(TRIM(K1609&amp;""))="",LOWER(TRIM(K1609&amp;""))="missing"),"Missing/",IFERROR(IF(VALUE(K1609)&lt;0,"Invalid","Valid"),"Check Format"))</f>
        <v>Valid</v>
      </c>
      <c r="W1609" t="str">
        <f>IF(OR(E1609="",F1609=""),"Missing Date/Time",IFERROR(IF(F1609&gt;E1609,"Arrival After Appointment","OK"),"Check Format"))</f>
        <v>OK</v>
      </c>
      <c r="X1609" t="str">
        <f>IF(OR(F1609="",G1609=""),"Missing Date/Time",IFERROR(IF(G1609&lt;F1609,"Discharge Before Arrival","OK"),"Check Format"))</f>
        <v>OK</v>
      </c>
    </row>
    <row r="1610" spans="1:24" x14ac:dyDescent="0.25">
      <c r="A1610" s="2" t="s">
        <v>2351</v>
      </c>
      <c r="B1610" s="2" t="s">
        <v>167</v>
      </c>
      <c r="C1610" s="3" t="s">
        <v>94</v>
      </c>
      <c r="D1610" s="3" t="s">
        <v>209</v>
      </c>
      <c r="E1610" s="4">
        <v>45336.677083333336</v>
      </c>
      <c r="F1610" s="4">
        <v>45336.670138888891</v>
      </c>
      <c r="G1610" s="4">
        <v>45336.744444444441</v>
      </c>
      <c r="H1610" s="5">
        <v>47</v>
      </c>
      <c r="I1610" s="3" t="s">
        <v>95</v>
      </c>
      <c r="J1610" s="3" t="s">
        <v>67</v>
      </c>
      <c r="K1610" s="5">
        <v>58</v>
      </c>
      <c r="L1610" s="5">
        <v>39</v>
      </c>
      <c r="M1610" s="3" t="s">
        <v>23</v>
      </c>
      <c r="N1610" t="s">
        <v>100</v>
      </c>
      <c r="O1610" s="5">
        <v>6</v>
      </c>
      <c r="P1610" s="3" t="s">
        <v>25</v>
      </c>
      <c r="Q1610" s="2">
        <v>273.35000000000002</v>
      </c>
      <c r="R1610" s="3" t="s">
        <v>43</v>
      </c>
      <c r="S1610">
        <f>COUNTIF(A:A,A1610)</f>
        <v>1</v>
      </c>
      <c r="T1610" t="str">
        <f>IF(OR(H1610="",LOWER(TRIM(H1610&amp;""))="missing",LOWER(TRIM(H1610&amp;""))=""),"Missing/",IFERROR(IF(OR(VALUE(H1610)&lt;0,VALUE(H1610)&gt;110),"Invalid","Valid"),"Check Format"))</f>
        <v>Valid</v>
      </c>
      <c r="U1610">
        <f>IF(Raw_Data[[#This Row],[Age_Check]]="Valid",H1610,"")</f>
        <v>47</v>
      </c>
      <c r="V1610" t="str">
        <f>IF(OR(K1610="",UPPER(TRIM(K1610&amp;""))="",LOWER(TRIM(K1610&amp;""))="",LOWER(TRIM(K1610&amp;""))="",LOWER(TRIM(K1610&amp;""))="missing"),"Missing/",IFERROR(IF(VALUE(K1610)&lt;0,"Invalid","Valid"),"Check Format"))</f>
        <v>Valid</v>
      </c>
      <c r="W1610" t="str">
        <f>IF(OR(E1610="",F1610=""),"Missing Date/Time",IFERROR(IF(F1610&gt;E1610,"Arrival After Appointment","OK"),"Check Format"))</f>
        <v>OK</v>
      </c>
      <c r="X1610" t="str">
        <f>IF(OR(F1610="",G1610=""),"Missing Date/Time",IFERROR(IF(G1610&lt;F1610,"Discharge Before Arrival","OK"),"Check Format"))</f>
        <v>OK</v>
      </c>
    </row>
    <row r="1611" spans="1:24" x14ac:dyDescent="0.25">
      <c r="A1611" s="2" t="s">
        <v>2352</v>
      </c>
      <c r="B1611" s="2" t="s">
        <v>2353</v>
      </c>
      <c r="C1611" s="3" t="s">
        <v>94</v>
      </c>
      <c r="D1611" s="3" t="s">
        <v>72</v>
      </c>
      <c r="E1611" s="4">
        <v>45368.631944444445</v>
      </c>
      <c r="F1611" s="4">
        <v>45368.629166666666</v>
      </c>
      <c r="G1611" s="4">
        <v>45368.688888888886</v>
      </c>
      <c r="I1611" s="3" t="s">
        <v>90</v>
      </c>
      <c r="J1611" s="3" t="s">
        <v>150</v>
      </c>
      <c r="K1611" s="5">
        <v>48</v>
      </c>
      <c r="L1611" s="5">
        <v>34</v>
      </c>
      <c r="P1611" s="3" t="s">
        <v>25</v>
      </c>
      <c r="Q1611" s="2">
        <v>58.11</v>
      </c>
      <c r="R1611" s="3" t="s">
        <v>26</v>
      </c>
      <c r="S1611">
        <f>COUNTIF(A:A,A1611)</f>
        <v>1</v>
      </c>
      <c r="T1611" t="str">
        <f>IF(OR(H1611="",LOWER(TRIM(H1611&amp;""))="missing",LOWER(TRIM(H1611&amp;""))=""),"Missing/",IFERROR(IF(OR(VALUE(H1611)&lt;0,VALUE(H1611)&gt;110),"Invalid","Valid"),"Check Format"))</f>
        <v>Missing/</v>
      </c>
      <c r="U1611" t="str">
        <f>IF(Raw_Data[[#This Row],[Age_Check]]="Valid",H1611,"")</f>
        <v/>
      </c>
      <c r="V1611" t="str">
        <f>IF(OR(K1611="",UPPER(TRIM(K1611&amp;""))="",LOWER(TRIM(K1611&amp;""))="",LOWER(TRIM(K1611&amp;""))="",LOWER(TRIM(K1611&amp;""))="missing"),"Missing/",IFERROR(IF(VALUE(K1611)&lt;0,"Invalid","Valid"),"Check Format"))</f>
        <v>Valid</v>
      </c>
      <c r="W1611" t="str">
        <f>IF(OR(E1611="",F1611=""),"Missing Date/Time",IFERROR(IF(F1611&gt;E1611,"Arrival After Appointment","OK"),"Check Format"))</f>
        <v>OK</v>
      </c>
      <c r="X1611" t="str">
        <f>IF(OR(F1611="",G1611=""),"Missing Date/Time",IFERROR(IF(G1611&lt;F1611,"Discharge Before Arrival","OK"),"Check Format"))</f>
        <v>OK</v>
      </c>
    </row>
    <row r="1612" spans="1:24" x14ac:dyDescent="0.25">
      <c r="A1612" s="2" t="s">
        <v>2354</v>
      </c>
      <c r="B1612" s="2" t="s">
        <v>321</v>
      </c>
      <c r="C1612" s="3" t="s">
        <v>46</v>
      </c>
      <c r="D1612" s="3" t="s">
        <v>23</v>
      </c>
      <c r="E1612" s="4" t="s">
        <v>2355</v>
      </c>
      <c r="F1612" s="4">
        <v>45379.683333333334</v>
      </c>
      <c r="G1612" s="4">
        <v>45379.729166666664</v>
      </c>
      <c r="J1612" s="3" t="s">
        <v>2639</v>
      </c>
      <c r="K1612" s="5">
        <v>27</v>
      </c>
      <c r="L1612" s="5">
        <v>33</v>
      </c>
      <c r="M1612" s="3" t="s">
        <v>23</v>
      </c>
      <c r="N1612" t="s">
        <v>69</v>
      </c>
      <c r="O1612" s="5">
        <v>2</v>
      </c>
      <c r="P1612" s="3" t="s">
        <v>25</v>
      </c>
      <c r="Q1612" s="2">
        <v>233.31</v>
      </c>
      <c r="R1612" s="3" t="s">
        <v>43</v>
      </c>
      <c r="S1612">
        <f>COUNTIF(A:A,A1612)</f>
        <v>1</v>
      </c>
      <c r="T1612" t="str">
        <f>IF(OR(H1612="",LOWER(TRIM(H1612&amp;""))="missing",LOWER(TRIM(H1612&amp;""))=""),"Missing/",IFERROR(IF(OR(VALUE(H1612)&lt;0,VALUE(H1612)&gt;110),"Invalid","Valid"),"Check Format"))</f>
        <v>Missing/</v>
      </c>
      <c r="U1612" t="str">
        <f>IF(Raw_Data[[#This Row],[Age_Check]]="Valid",H1612,"")</f>
        <v/>
      </c>
      <c r="V1612" t="str">
        <f>IF(OR(K1612="",UPPER(TRIM(K1612&amp;""))="",LOWER(TRIM(K1612&amp;""))="",LOWER(TRIM(K1612&amp;""))="",LOWER(TRIM(K1612&amp;""))="missing"),"Missing/",IFERROR(IF(VALUE(K1612)&lt;0,"Invalid","Valid"),"Check Format"))</f>
        <v>Valid</v>
      </c>
      <c r="W1612" t="str">
        <f>IF(OR(E1612="",F1612=""),"Missing Date/Time",IFERROR(IF(F1612&gt;E1612,"Arrival After Appointment","OK"),"Check Format"))</f>
        <v>OK</v>
      </c>
      <c r="X1612" t="str">
        <f>IF(OR(F1612="",G1612=""),"Missing Date/Time",IFERROR(IF(G1612&lt;F1612,"Discharge Before Arrival","OK"),"Check Format"))</f>
        <v>OK</v>
      </c>
    </row>
    <row r="1613" spans="1:24" x14ac:dyDescent="0.25">
      <c r="A1613" s="2" t="s">
        <v>2356</v>
      </c>
      <c r="B1613" s="2" t="s">
        <v>148</v>
      </c>
      <c r="C1613" s="3" t="s">
        <v>94</v>
      </c>
      <c r="D1613" s="3" t="s">
        <v>20</v>
      </c>
      <c r="E1613" s="4">
        <v>45302.357638888891</v>
      </c>
      <c r="F1613" s="4">
        <v>45302.343055555553</v>
      </c>
      <c r="G1613" s="4">
        <v>45302.410416666666</v>
      </c>
      <c r="I1613" s="3" t="s">
        <v>39</v>
      </c>
      <c r="J1613" s="3" t="s">
        <v>67</v>
      </c>
      <c r="K1613" s="5">
        <v>49</v>
      </c>
      <c r="L1613" s="5">
        <v>27</v>
      </c>
      <c r="M1613" s="3" t="s">
        <v>50</v>
      </c>
      <c r="N1613" t="s">
        <v>69</v>
      </c>
      <c r="O1613" s="5">
        <v>4</v>
      </c>
      <c r="P1613" s="3" t="s">
        <v>80</v>
      </c>
      <c r="Q1613" s="2">
        <v>112.45</v>
      </c>
      <c r="R1613" s="3" t="s">
        <v>58</v>
      </c>
      <c r="S1613">
        <f>COUNTIF(A:A,A1613)</f>
        <v>1</v>
      </c>
      <c r="T1613" t="str">
        <f>IF(OR(H1613="",LOWER(TRIM(H1613&amp;""))="missing",LOWER(TRIM(H1613&amp;""))=""),"Missing/",IFERROR(IF(OR(VALUE(H1613)&lt;0,VALUE(H1613)&gt;110),"Invalid","Valid"),"Check Format"))</f>
        <v>Missing/</v>
      </c>
      <c r="U1613" t="str">
        <f>IF(Raw_Data[[#This Row],[Age_Check]]="Valid",H1613,"")</f>
        <v/>
      </c>
      <c r="V1613" t="str">
        <f>IF(OR(K1613="",UPPER(TRIM(K1613&amp;""))="",LOWER(TRIM(K1613&amp;""))="",LOWER(TRIM(K1613&amp;""))="",LOWER(TRIM(K1613&amp;""))="missing"),"Missing/",IFERROR(IF(VALUE(K1613)&lt;0,"Invalid","Valid"),"Check Format"))</f>
        <v>Valid</v>
      </c>
      <c r="W1613" t="str">
        <f>IF(OR(E1613="",F1613=""),"Missing Date/Time",IFERROR(IF(F1613&gt;E1613,"Arrival After Appointment","OK"),"Check Format"))</f>
        <v>OK</v>
      </c>
      <c r="X1613" t="str">
        <f>IF(OR(F1613="",G1613=""),"Missing Date/Time",IFERROR(IF(G1613&lt;F1613,"Discharge Before Arrival","OK"),"Check Format"))</f>
        <v>OK</v>
      </c>
    </row>
    <row r="1614" spans="1:24" x14ac:dyDescent="0.25">
      <c r="A1614" s="2" t="s">
        <v>2357</v>
      </c>
      <c r="B1614" s="2" t="s">
        <v>444</v>
      </c>
      <c r="C1614" s="3" t="s">
        <v>46</v>
      </c>
      <c r="D1614" s="3" t="s">
        <v>72</v>
      </c>
      <c r="E1614" s="4" t="s">
        <v>2358</v>
      </c>
      <c r="F1614" s="4">
        <v>45653.607638888891</v>
      </c>
      <c r="G1614" s="4">
        <v>45653.660416666666</v>
      </c>
      <c r="H1614" s="5">
        <v>1</v>
      </c>
      <c r="I1614" s="3" t="s">
        <v>73</v>
      </c>
      <c r="J1614" s="3" t="s">
        <v>150</v>
      </c>
      <c r="K1614" s="5">
        <v>39</v>
      </c>
      <c r="L1614" s="5">
        <v>37</v>
      </c>
      <c r="M1614" s="3" t="s">
        <v>68</v>
      </c>
      <c r="N1614" t="s">
        <v>24</v>
      </c>
      <c r="O1614" s="5">
        <v>1</v>
      </c>
      <c r="Q1614" s="2">
        <v>25.22</v>
      </c>
      <c r="R1614" s="3" t="s">
        <v>26</v>
      </c>
      <c r="S1614">
        <f>COUNTIF(A:A,A1614)</f>
        <v>1</v>
      </c>
      <c r="T1614" t="str">
        <f>IF(OR(H1614="",LOWER(TRIM(H1614&amp;""))="missing",LOWER(TRIM(H1614&amp;""))=""),"Missing/",IFERROR(IF(OR(VALUE(H1614)&lt;0,VALUE(H1614)&gt;110),"Invalid","Valid"),"Check Format"))</f>
        <v>Valid</v>
      </c>
      <c r="U1614">
        <f>IF(Raw_Data[[#This Row],[Age_Check]]="Valid",H1614,"")</f>
        <v>1</v>
      </c>
      <c r="V1614" t="str">
        <f>IF(OR(K1614="",UPPER(TRIM(K1614&amp;""))="",LOWER(TRIM(K1614&amp;""))="",LOWER(TRIM(K1614&amp;""))="",LOWER(TRIM(K1614&amp;""))="missing"),"Missing/",IFERROR(IF(VALUE(K1614)&lt;0,"Invalid","Valid"),"Check Format"))</f>
        <v>Valid</v>
      </c>
      <c r="W1614" t="str">
        <f>IF(OR(E1614="",F1614=""),"Missing Date/Time",IFERROR(IF(F1614&gt;E1614,"Arrival After Appointment","OK"),"Check Format"))</f>
        <v>OK</v>
      </c>
      <c r="X1614" t="str">
        <f>IF(OR(F1614="",G1614=""),"Missing Date/Time",IFERROR(IF(G1614&lt;F1614,"Discharge Before Arrival","OK"),"Check Format"))</f>
        <v>OK</v>
      </c>
    </row>
    <row r="1615" spans="1:24" x14ac:dyDescent="0.25">
      <c r="A1615" s="2" t="s">
        <v>2359</v>
      </c>
      <c r="B1615" s="2" t="s">
        <v>1963</v>
      </c>
      <c r="C1615" s="3" t="s">
        <v>94</v>
      </c>
      <c r="D1615" s="3" t="s">
        <v>55</v>
      </c>
      <c r="E1615" s="4">
        <v>45682.454861111109</v>
      </c>
      <c r="F1615" s="4">
        <v>45682.443055555559</v>
      </c>
      <c r="G1615" s="4">
        <v>45682.539583333331</v>
      </c>
      <c r="H1615" s="5">
        <v>1</v>
      </c>
      <c r="J1615" s="3" t="s">
        <v>150</v>
      </c>
      <c r="K1615" s="5">
        <v>102</v>
      </c>
      <c r="L1615" s="5">
        <v>20</v>
      </c>
      <c r="M1615" s="3" t="s">
        <v>87</v>
      </c>
      <c r="N1615" t="s">
        <v>69</v>
      </c>
      <c r="O1615" s="5">
        <v>6</v>
      </c>
      <c r="P1615" s="3" t="s">
        <v>42</v>
      </c>
      <c r="Q1615" s="2">
        <v>202.75</v>
      </c>
      <c r="R1615" s="3" t="s">
        <v>43</v>
      </c>
      <c r="S1615">
        <f>COUNTIF(A:A,A1615)</f>
        <v>1</v>
      </c>
      <c r="T1615" t="str">
        <f>IF(OR(H1615="",LOWER(TRIM(H1615&amp;""))="missing",LOWER(TRIM(H1615&amp;""))=""),"Missing/",IFERROR(IF(OR(VALUE(H1615)&lt;0,VALUE(H1615)&gt;110),"Invalid","Valid"),"Check Format"))</f>
        <v>Valid</v>
      </c>
      <c r="U1615">
        <f>IF(Raw_Data[[#This Row],[Age_Check]]="Valid",H1615,"")</f>
        <v>1</v>
      </c>
      <c r="V1615" t="str">
        <f>IF(OR(K1615="",UPPER(TRIM(K1615&amp;""))="",LOWER(TRIM(K1615&amp;""))="",LOWER(TRIM(K1615&amp;""))="",LOWER(TRIM(K1615&amp;""))="missing"),"Missing/",IFERROR(IF(VALUE(K1615)&lt;0,"Invalid","Valid"),"Check Format"))</f>
        <v>Valid</v>
      </c>
      <c r="W1615" t="str">
        <f>IF(OR(E1615="",F1615=""),"Missing Date/Time",IFERROR(IF(F1615&gt;E1615,"Arrival After Appointment","OK"),"Check Format"))</f>
        <v>OK</v>
      </c>
      <c r="X1615" t="str">
        <f>IF(OR(F1615="",G1615=""),"Missing Date/Time",IFERROR(IF(G1615&lt;F1615,"Discharge Before Arrival","OK"),"Check Format"))</f>
        <v>OK</v>
      </c>
    </row>
    <row r="1616" spans="1:24" x14ac:dyDescent="0.25">
      <c r="A1616" s="2" t="s">
        <v>2360</v>
      </c>
      <c r="B1616" s="2" t="s">
        <v>972</v>
      </c>
      <c r="C1616" s="3" t="s">
        <v>19</v>
      </c>
      <c r="D1616" s="3" t="s">
        <v>66</v>
      </c>
      <c r="E1616" s="4">
        <v>45957.711805555555</v>
      </c>
      <c r="F1616" s="4">
        <v>45957.694444444445</v>
      </c>
      <c r="G1616" s="4">
        <v>45957.751388888886</v>
      </c>
      <c r="I1616" s="3" t="s">
        <v>95</v>
      </c>
      <c r="J1616" s="3" t="s">
        <v>62</v>
      </c>
      <c r="K1616" s="5">
        <v>13</v>
      </c>
      <c r="L1616" s="5">
        <v>44</v>
      </c>
      <c r="N1616" t="s">
        <v>69</v>
      </c>
      <c r="P1616" s="3" t="s">
        <v>42</v>
      </c>
      <c r="Q1616" s="2">
        <v>198.76</v>
      </c>
      <c r="R1616" s="3" t="s">
        <v>75</v>
      </c>
      <c r="S1616">
        <f>COUNTIF(A:A,A1616)</f>
        <v>1</v>
      </c>
      <c r="T1616" t="str">
        <f>IF(OR(H1616="",LOWER(TRIM(H1616&amp;""))="missing",LOWER(TRIM(H1616&amp;""))=""),"Missing/",IFERROR(IF(OR(VALUE(H1616)&lt;0,VALUE(H1616)&gt;110),"Invalid","Valid"),"Check Format"))</f>
        <v>Missing/</v>
      </c>
      <c r="U1616" t="str">
        <f>IF(Raw_Data[[#This Row],[Age_Check]]="Valid",H1616,"")</f>
        <v/>
      </c>
      <c r="V1616" t="str">
        <f>IF(OR(K1616="",UPPER(TRIM(K1616&amp;""))="",LOWER(TRIM(K1616&amp;""))="",LOWER(TRIM(K1616&amp;""))="",LOWER(TRIM(K1616&amp;""))="missing"),"Missing/",IFERROR(IF(VALUE(K1616)&lt;0,"Invalid","Valid"),"Check Format"))</f>
        <v>Valid</v>
      </c>
      <c r="W1616" t="str">
        <f>IF(OR(E1616="",F1616=""),"Missing Date/Time",IFERROR(IF(F1616&gt;E1616,"Arrival After Appointment","OK"),"Check Format"))</f>
        <v>OK</v>
      </c>
      <c r="X1616" t="str">
        <f>IF(OR(F1616="",G1616=""),"Missing Date/Time",IFERROR(IF(G1616&lt;F1616,"Discharge Before Arrival","OK"),"Check Format"))</f>
        <v>OK</v>
      </c>
    </row>
    <row r="1617" spans="1:24" x14ac:dyDescent="0.25">
      <c r="A1617" s="2" t="s">
        <v>1665</v>
      </c>
      <c r="B1617" s="2" t="s">
        <v>741</v>
      </c>
      <c r="C1617" s="3" t="s">
        <v>94</v>
      </c>
      <c r="D1617" s="3" t="s">
        <v>55</v>
      </c>
      <c r="E1617" s="4" t="s">
        <v>1666</v>
      </c>
      <c r="F1617" s="4">
        <v>46007.768750000003</v>
      </c>
      <c r="G1617" s="4">
        <v>46007.875694444447</v>
      </c>
      <c r="H1617" s="5">
        <v>145</v>
      </c>
      <c r="I1617" s="3" t="s">
        <v>95</v>
      </c>
      <c r="J1617" s="3" t="s">
        <v>67</v>
      </c>
      <c r="K1617" s="5">
        <v>65</v>
      </c>
      <c r="L1617" s="5">
        <v>61</v>
      </c>
      <c r="M1617" s="3" t="s">
        <v>63</v>
      </c>
      <c r="N1617" t="s">
        <v>100</v>
      </c>
      <c r="O1617" s="5">
        <v>3</v>
      </c>
      <c r="P1617" s="3" t="s">
        <v>80</v>
      </c>
      <c r="Q1617" s="2">
        <v>86.36</v>
      </c>
      <c r="R1617" s="3" t="s">
        <v>58</v>
      </c>
      <c r="S1617">
        <f>COUNTIF(A:A,A1617)</f>
        <v>2</v>
      </c>
      <c r="T1617" t="str">
        <f>IF(OR(H1617="",LOWER(TRIM(H1617&amp;""))="missing",LOWER(TRIM(H1617&amp;""))=""),"Missing/",IFERROR(IF(OR(VALUE(H1617)&lt;0,VALUE(H1617)&gt;110),"Invalid","Valid"),"Check Format"))</f>
        <v>Invalid</v>
      </c>
      <c r="U1617" t="str">
        <f>IF(Raw_Data[[#This Row],[Age_Check]]="Valid",H1617,"")</f>
        <v/>
      </c>
      <c r="V1617" t="str">
        <f>IF(OR(K1617="",UPPER(TRIM(K1617&amp;""))="",LOWER(TRIM(K1617&amp;""))="",LOWER(TRIM(K1617&amp;""))="",LOWER(TRIM(K1617&amp;""))="missing"),"Missing/",IFERROR(IF(VALUE(K1617)&lt;0,"Invalid","Valid"),"Check Format"))</f>
        <v>Valid</v>
      </c>
      <c r="W1617" t="str">
        <f>IF(OR(E1617="",F1617=""),"Missing Date/Time",IFERROR(IF(F1617&gt;E1617,"Arrival After Appointment","OK"),"Check Format"))</f>
        <v>OK</v>
      </c>
      <c r="X1617" t="str">
        <f>IF(OR(F1617="",G1617=""),"Missing Date/Time",IFERROR(IF(G1617&lt;F1617,"Discharge Before Arrival","OK"),"Check Format"))</f>
        <v>OK</v>
      </c>
    </row>
    <row r="1618" spans="1:24" x14ac:dyDescent="0.25">
      <c r="A1618" s="2" t="s">
        <v>2362</v>
      </c>
      <c r="B1618" s="2" t="s">
        <v>204</v>
      </c>
      <c r="C1618" s="3" t="s">
        <v>94</v>
      </c>
      <c r="D1618" s="3" t="s">
        <v>55</v>
      </c>
      <c r="E1618" s="4">
        <v>46019.496527777781</v>
      </c>
      <c r="F1618" s="4">
        <v>46019.494444444441</v>
      </c>
      <c r="G1618" s="4">
        <v>46019.526388888888</v>
      </c>
      <c r="I1618" s="3" t="s">
        <v>73</v>
      </c>
      <c r="J1618" s="3" t="s">
        <v>150</v>
      </c>
      <c r="K1618" s="5">
        <v>16</v>
      </c>
      <c r="L1618" s="5">
        <v>27</v>
      </c>
      <c r="M1618" s="3" t="s">
        <v>87</v>
      </c>
      <c r="N1618" t="s">
        <v>91</v>
      </c>
      <c r="O1618" s="5">
        <v>0</v>
      </c>
      <c r="P1618" s="3" t="s">
        <v>25</v>
      </c>
      <c r="R1618" s="3" t="s">
        <v>58</v>
      </c>
      <c r="S1618">
        <f>COUNTIF(A:A,A1618)</f>
        <v>1</v>
      </c>
      <c r="T1618" t="str">
        <f>IF(OR(H1618="",LOWER(TRIM(H1618&amp;""))="missing",LOWER(TRIM(H1618&amp;""))=""),"Missing/",IFERROR(IF(OR(VALUE(H1618)&lt;0,VALUE(H1618)&gt;110),"Invalid","Valid"),"Check Format"))</f>
        <v>Missing/</v>
      </c>
      <c r="U1618" t="str">
        <f>IF(Raw_Data[[#This Row],[Age_Check]]="Valid",H1618,"")</f>
        <v/>
      </c>
      <c r="V1618" t="str">
        <f>IF(OR(K1618="",UPPER(TRIM(K1618&amp;""))="",LOWER(TRIM(K1618&amp;""))="",LOWER(TRIM(K1618&amp;""))="",LOWER(TRIM(K1618&amp;""))="missing"),"Missing/",IFERROR(IF(VALUE(K1618)&lt;0,"Invalid","Valid"),"Check Format"))</f>
        <v>Valid</v>
      </c>
      <c r="W1618" t="str">
        <f>IF(OR(E1618="",F1618=""),"Missing Date/Time",IFERROR(IF(F1618&gt;E1618,"Arrival After Appointment","OK"),"Check Format"))</f>
        <v>OK</v>
      </c>
      <c r="X1618" t="str">
        <f>IF(OR(F1618="",G1618=""),"Missing Date/Time",IFERROR(IF(G1618&lt;F1618,"Discharge Before Arrival","OK"),"Check Format"))</f>
        <v>OK</v>
      </c>
    </row>
    <row r="1619" spans="1:24" x14ac:dyDescent="0.25">
      <c r="A1619" s="2" t="s">
        <v>2363</v>
      </c>
      <c r="B1619" s="2" t="s">
        <v>1914</v>
      </c>
      <c r="C1619" s="3" t="s">
        <v>94</v>
      </c>
      <c r="D1619" s="3" t="s">
        <v>38</v>
      </c>
      <c r="E1619" s="4">
        <v>45447.489583333336</v>
      </c>
      <c r="F1619" s="4">
        <v>45447.476388888892</v>
      </c>
      <c r="G1619" s="4">
        <v>45447.586805555555</v>
      </c>
      <c r="H1619" s="5">
        <v>145</v>
      </c>
      <c r="I1619" s="3" t="s">
        <v>95</v>
      </c>
      <c r="J1619" s="3" t="s">
        <v>22</v>
      </c>
      <c r="K1619" s="5">
        <v>94</v>
      </c>
      <c r="L1619" s="5">
        <v>46</v>
      </c>
      <c r="M1619" s="3" t="s">
        <v>87</v>
      </c>
      <c r="N1619" t="s">
        <v>100</v>
      </c>
      <c r="P1619" s="3" t="s">
        <v>25</v>
      </c>
      <c r="Q1619" s="2">
        <v>146.21</v>
      </c>
      <c r="R1619" s="3" t="s">
        <v>58</v>
      </c>
      <c r="S1619">
        <f>COUNTIF(A:A,A1619)</f>
        <v>1</v>
      </c>
      <c r="T1619" t="str">
        <f>IF(OR(H1619="",LOWER(TRIM(H1619&amp;""))="missing",LOWER(TRIM(H1619&amp;""))=""),"Missing/",IFERROR(IF(OR(VALUE(H1619)&lt;0,VALUE(H1619)&gt;110),"Invalid","Valid"),"Check Format"))</f>
        <v>Invalid</v>
      </c>
      <c r="U1619" t="str">
        <f>IF(Raw_Data[[#This Row],[Age_Check]]="Valid",H1619,"")</f>
        <v/>
      </c>
      <c r="V1619" t="str">
        <f>IF(OR(K1619="",UPPER(TRIM(K1619&amp;""))="",LOWER(TRIM(K1619&amp;""))="",LOWER(TRIM(K1619&amp;""))="",LOWER(TRIM(K1619&amp;""))="missing"),"Missing/",IFERROR(IF(VALUE(K1619)&lt;0,"Invalid","Valid"),"Check Format"))</f>
        <v>Valid</v>
      </c>
      <c r="W1619" t="str">
        <f>IF(OR(E1619="",F1619=""),"Missing Date/Time",IFERROR(IF(F1619&gt;E1619,"Arrival After Appointment","OK"),"Check Format"))</f>
        <v>OK</v>
      </c>
      <c r="X1619" t="str">
        <f>IF(OR(F1619="",G1619=""),"Missing Date/Time",IFERROR(IF(G1619&lt;F1619,"Discharge Before Arrival","OK"),"Check Format"))</f>
        <v>OK</v>
      </c>
    </row>
    <row r="1620" spans="1:24" x14ac:dyDescent="0.25">
      <c r="A1620" s="2" t="s">
        <v>2364</v>
      </c>
      <c r="B1620" s="2" t="s">
        <v>1002</v>
      </c>
      <c r="C1620" s="3" t="s">
        <v>94</v>
      </c>
      <c r="D1620" s="3" t="s">
        <v>72</v>
      </c>
      <c r="E1620" s="4" t="s">
        <v>2365</v>
      </c>
      <c r="F1620" s="4">
        <v>45378.543749999997</v>
      </c>
      <c r="G1620" s="4">
        <v>45378.604861111111</v>
      </c>
      <c r="H1620" s="5">
        <v>145</v>
      </c>
      <c r="I1620" s="3" t="s">
        <v>39</v>
      </c>
      <c r="J1620" s="3" t="s">
        <v>62</v>
      </c>
      <c r="K1620" s="5">
        <v>23</v>
      </c>
      <c r="L1620" s="5">
        <v>43</v>
      </c>
      <c r="M1620" s="3" t="s">
        <v>63</v>
      </c>
      <c r="O1620" s="5">
        <v>6</v>
      </c>
      <c r="P1620" s="3" t="s">
        <v>25</v>
      </c>
      <c r="Q1620" s="2">
        <v>146.55000000000001</v>
      </c>
      <c r="R1620" s="3" t="s">
        <v>75</v>
      </c>
      <c r="S1620">
        <f>COUNTIF(A:A,A1620)</f>
        <v>1</v>
      </c>
      <c r="T1620" t="str">
        <f>IF(OR(H1620="",LOWER(TRIM(H1620&amp;""))="missing",LOWER(TRIM(H1620&amp;""))=""),"Missing/",IFERROR(IF(OR(VALUE(H1620)&lt;0,VALUE(H1620)&gt;110),"Invalid","Valid"),"Check Format"))</f>
        <v>Invalid</v>
      </c>
      <c r="U1620" t="str">
        <f>IF(Raw_Data[[#This Row],[Age_Check]]="Valid",H1620,"")</f>
        <v/>
      </c>
      <c r="V1620" t="str">
        <f>IF(OR(K1620="",UPPER(TRIM(K1620&amp;""))="",LOWER(TRIM(K1620&amp;""))="",LOWER(TRIM(K1620&amp;""))="",LOWER(TRIM(K1620&amp;""))="missing"),"Missing/",IFERROR(IF(VALUE(K1620)&lt;0,"Invalid","Valid"),"Check Format"))</f>
        <v>Valid</v>
      </c>
      <c r="W1620" t="str">
        <f>IF(OR(E1620="",F1620=""),"Missing Date/Time",IFERROR(IF(F1620&gt;E1620,"Arrival After Appointment","OK"),"Check Format"))</f>
        <v>OK</v>
      </c>
      <c r="X1620" t="str">
        <f>IF(OR(F1620="",G1620=""),"Missing Date/Time",IFERROR(IF(G1620&lt;F1620,"Discharge Before Arrival","OK"),"Check Format"))</f>
        <v>OK</v>
      </c>
    </row>
    <row r="1621" spans="1:24" x14ac:dyDescent="0.25">
      <c r="A1621" s="2" t="s">
        <v>2366</v>
      </c>
      <c r="B1621" s="2" t="s">
        <v>913</v>
      </c>
      <c r="C1621" s="3" t="s">
        <v>37</v>
      </c>
      <c r="D1621" s="3" t="s">
        <v>174</v>
      </c>
      <c r="E1621" s="4">
        <v>45554.767361111109</v>
      </c>
      <c r="F1621" s="4">
        <v>45554.755555555559</v>
      </c>
      <c r="G1621" s="4">
        <v>45554.799305555556</v>
      </c>
      <c r="I1621" s="3" t="s">
        <v>95</v>
      </c>
      <c r="J1621" s="3" t="s">
        <v>62</v>
      </c>
      <c r="K1621" s="5">
        <v>0</v>
      </c>
      <c r="L1621" s="5">
        <v>46</v>
      </c>
      <c r="M1621" s="3" t="s">
        <v>87</v>
      </c>
      <c r="O1621" s="5">
        <v>6</v>
      </c>
      <c r="P1621" s="3" t="s">
        <v>25</v>
      </c>
      <c r="Q1621" s="2">
        <v>143.06</v>
      </c>
      <c r="R1621" s="3" t="s">
        <v>58</v>
      </c>
      <c r="S1621">
        <f>COUNTIF(A:A,A1621)</f>
        <v>1</v>
      </c>
      <c r="T1621" t="str">
        <f>IF(OR(H1621="",LOWER(TRIM(H1621&amp;""))="missing",LOWER(TRIM(H1621&amp;""))=""),"Missing/",IFERROR(IF(OR(VALUE(H1621)&lt;0,VALUE(H1621)&gt;110),"Invalid","Valid"),"Check Format"))</f>
        <v>Missing/</v>
      </c>
      <c r="U1621" t="str">
        <f>IF(Raw_Data[[#This Row],[Age_Check]]="Valid",H1621,"")</f>
        <v/>
      </c>
      <c r="V1621" t="str">
        <f>IF(OR(K1621="",UPPER(TRIM(K1621&amp;""))="",LOWER(TRIM(K1621&amp;""))="",LOWER(TRIM(K1621&amp;""))="",LOWER(TRIM(K1621&amp;""))="missing"),"Missing/",IFERROR(IF(VALUE(K1621)&lt;0,"Invalid","Valid"),"Check Format"))</f>
        <v>Valid</v>
      </c>
      <c r="W1621" t="str">
        <f>IF(OR(E1621="",F1621=""),"Missing Date/Time",IFERROR(IF(F1621&gt;E1621,"Arrival After Appointment","OK"),"Check Format"))</f>
        <v>OK</v>
      </c>
      <c r="X1621" t="str">
        <f>IF(OR(F1621="",G1621=""),"Missing Date/Time",IFERROR(IF(G1621&lt;F1621,"Discharge Before Arrival","OK"),"Check Format"))</f>
        <v>OK</v>
      </c>
    </row>
    <row r="1622" spans="1:24" x14ac:dyDescent="0.25">
      <c r="A1622" s="2" t="s">
        <v>2367</v>
      </c>
      <c r="B1622" s="2" t="s">
        <v>2368</v>
      </c>
      <c r="C1622" s="3" t="s">
        <v>46</v>
      </c>
      <c r="D1622" s="3" t="s">
        <v>209</v>
      </c>
      <c r="E1622" s="4">
        <v>46005.746527777781</v>
      </c>
      <c r="F1622" s="4">
        <v>46005.734027777777</v>
      </c>
      <c r="G1622" s="4">
        <v>46005.824305555558</v>
      </c>
      <c r="I1622" s="3" t="s">
        <v>73</v>
      </c>
      <c r="J1622" s="3" t="s">
        <v>150</v>
      </c>
      <c r="K1622" s="5">
        <v>100</v>
      </c>
      <c r="L1622" s="5">
        <v>12</v>
      </c>
      <c r="M1622" s="3" t="s">
        <v>87</v>
      </c>
      <c r="N1622" t="s">
        <v>69</v>
      </c>
      <c r="O1622" s="5">
        <v>6</v>
      </c>
      <c r="Q1622" s="2">
        <v>0</v>
      </c>
      <c r="R1622" s="3" t="s">
        <v>43</v>
      </c>
      <c r="S1622">
        <f>COUNTIF(A:A,A1622)</f>
        <v>1</v>
      </c>
      <c r="T1622" t="str">
        <f>IF(OR(H1622="",LOWER(TRIM(H1622&amp;""))="missing",LOWER(TRIM(H1622&amp;""))=""),"Missing/",IFERROR(IF(OR(VALUE(H1622)&lt;0,VALUE(H1622)&gt;110),"Invalid","Valid"),"Check Format"))</f>
        <v>Missing/</v>
      </c>
      <c r="U1622" t="str">
        <f>IF(Raw_Data[[#This Row],[Age_Check]]="Valid",H1622,"")</f>
        <v/>
      </c>
      <c r="V1622" t="str">
        <f>IF(OR(K1622="",UPPER(TRIM(K1622&amp;""))="",LOWER(TRIM(K1622&amp;""))="",LOWER(TRIM(K1622&amp;""))="",LOWER(TRIM(K1622&amp;""))="missing"),"Missing/",IFERROR(IF(VALUE(K1622)&lt;0,"Invalid","Valid"),"Check Format"))</f>
        <v>Valid</v>
      </c>
      <c r="W1622" t="str">
        <f>IF(OR(E1622="",F1622=""),"Missing Date/Time",IFERROR(IF(F1622&gt;E1622,"Arrival After Appointment","OK"),"Check Format"))</f>
        <v>OK</v>
      </c>
      <c r="X1622" t="str">
        <f>IF(OR(F1622="",G1622=""),"Missing Date/Time",IFERROR(IF(G1622&lt;F1622,"Discharge Before Arrival","OK"),"Check Format"))</f>
        <v>OK</v>
      </c>
    </row>
    <row r="1623" spans="1:24" x14ac:dyDescent="0.25">
      <c r="A1623" s="2" t="s">
        <v>2369</v>
      </c>
      <c r="B1623" s="2" t="s">
        <v>337</v>
      </c>
      <c r="C1623" s="3" t="s">
        <v>37</v>
      </c>
      <c r="D1623" s="3" t="s">
        <v>47</v>
      </c>
      <c r="E1623" s="4">
        <v>45334.590277777781</v>
      </c>
      <c r="F1623" s="4">
        <v>45334.574999999997</v>
      </c>
      <c r="G1623" s="4">
        <v>45334.662499999999</v>
      </c>
      <c r="H1623" s="5">
        <v>70</v>
      </c>
      <c r="I1623" s="3" t="s">
        <v>95</v>
      </c>
      <c r="J1623" s="3" t="s">
        <v>67</v>
      </c>
      <c r="K1623" s="5">
        <v>67</v>
      </c>
      <c r="L1623" s="5">
        <v>37</v>
      </c>
      <c r="M1623" s="3" t="s">
        <v>87</v>
      </c>
      <c r="O1623" s="5">
        <v>0</v>
      </c>
      <c r="Q1623" s="2">
        <v>9.75</v>
      </c>
      <c r="R1623" s="3" t="s">
        <v>43</v>
      </c>
      <c r="S1623">
        <f>COUNTIF(A:A,A1623)</f>
        <v>1</v>
      </c>
      <c r="T1623" t="str">
        <f>IF(OR(H1623="",LOWER(TRIM(H1623&amp;""))="missing",LOWER(TRIM(H1623&amp;""))=""),"Missing/",IFERROR(IF(OR(VALUE(H1623)&lt;0,VALUE(H1623)&gt;110),"Invalid","Valid"),"Check Format"))</f>
        <v>Valid</v>
      </c>
      <c r="U1623">
        <f>IF(Raw_Data[[#This Row],[Age_Check]]="Valid",H1623,"")</f>
        <v>70</v>
      </c>
      <c r="V1623" t="str">
        <f>IF(OR(K1623="",UPPER(TRIM(K1623&amp;""))="",LOWER(TRIM(K1623&amp;""))="",LOWER(TRIM(K1623&amp;""))="",LOWER(TRIM(K1623&amp;""))="missing"),"Missing/",IFERROR(IF(VALUE(K1623)&lt;0,"Invalid","Valid"),"Check Format"))</f>
        <v>Valid</v>
      </c>
      <c r="W1623" t="str">
        <f>IF(OR(E1623="",F1623=""),"Missing Date/Time",IFERROR(IF(F1623&gt;E1623,"Arrival After Appointment","OK"),"Check Format"))</f>
        <v>OK</v>
      </c>
      <c r="X1623" t="str">
        <f>IF(OR(F1623="",G1623=""),"Missing Date/Time",IFERROR(IF(G1623&lt;F1623,"Discharge Before Arrival","OK"),"Check Format"))</f>
        <v>OK</v>
      </c>
    </row>
    <row r="1624" spans="1:24" x14ac:dyDescent="0.25">
      <c r="A1624" s="2" t="s">
        <v>2370</v>
      </c>
      <c r="B1624" s="2" t="s">
        <v>460</v>
      </c>
      <c r="C1624" s="3" t="s">
        <v>94</v>
      </c>
      <c r="D1624" s="3" t="s">
        <v>115</v>
      </c>
      <c r="E1624" s="4">
        <v>45746.430555555555</v>
      </c>
      <c r="F1624" s="4">
        <v>45746.42083333333</v>
      </c>
      <c r="G1624" s="4">
        <v>45746.50277777778</v>
      </c>
      <c r="I1624" s="3" t="s">
        <v>95</v>
      </c>
      <c r="J1624" s="3" t="s">
        <v>22</v>
      </c>
      <c r="K1624" s="5">
        <v>23</v>
      </c>
      <c r="L1624" s="5">
        <v>81</v>
      </c>
      <c r="M1624" s="3" t="s">
        <v>41</v>
      </c>
      <c r="N1624" t="s">
        <v>69</v>
      </c>
      <c r="Q1624" s="2">
        <v>120.55</v>
      </c>
      <c r="R1624" s="3" t="s">
        <v>43</v>
      </c>
      <c r="S1624">
        <f>COUNTIF(A:A,A1624)</f>
        <v>1</v>
      </c>
      <c r="T1624" t="str">
        <f>IF(OR(H1624="",LOWER(TRIM(H1624&amp;""))="missing",LOWER(TRIM(H1624&amp;""))=""),"Missing/",IFERROR(IF(OR(VALUE(H1624)&lt;0,VALUE(H1624)&gt;110),"Invalid","Valid"),"Check Format"))</f>
        <v>Missing/</v>
      </c>
      <c r="U1624" t="str">
        <f>IF(Raw_Data[[#This Row],[Age_Check]]="Valid",H1624,"")</f>
        <v/>
      </c>
      <c r="V1624" t="str">
        <f>IF(OR(K1624="",UPPER(TRIM(K1624&amp;""))="",LOWER(TRIM(K1624&amp;""))="",LOWER(TRIM(K1624&amp;""))="",LOWER(TRIM(K1624&amp;""))="missing"),"Missing/",IFERROR(IF(VALUE(K1624)&lt;0,"Invalid","Valid"),"Check Format"))</f>
        <v>Valid</v>
      </c>
      <c r="W1624" t="str">
        <f>IF(OR(E1624="",F1624=""),"Missing Date/Time",IFERROR(IF(F1624&gt;E1624,"Arrival After Appointment","OK"),"Check Format"))</f>
        <v>OK</v>
      </c>
      <c r="X1624" t="str">
        <f>IF(OR(F1624="",G1624=""),"Missing Date/Time",IFERROR(IF(G1624&lt;F1624,"Discharge Before Arrival","OK"),"Check Format"))</f>
        <v>OK</v>
      </c>
    </row>
    <row r="1625" spans="1:24" x14ac:dyDescent="0.25">
      <c r="A1625" s="2" t="s">
        <v>2371</v>
      </c>
      <c r="B1625" s="2" t="s">
        <v>1327</v>
      </c>
      <c r="C1625" s="3" t="s">
        <v>46</v>
      </c>
      <c r="D1625" s="3" t="s">
        <v>149</v>
      </c>
      <c r="E1625" s="4">
        <v>45558.565972222219</v>
      </c>
      <c r="F1625" s="4">
        <v>45558.565972222219</v>
      </c>
      <c r="G1625" s="4">
        <v>45558.637499999997</v>
      </c>
      <c r="I1625" s="3" t="s">
        <v>95</v>
      </c>
      <c r="J1625" s="3" t="s">
        <v>2639</v>
      </c>
      <c r="K1625" s="5">
        <v>83</v>
      </c>
      <c r="L1625" s="5">
        <v>20</v>
      </c>
      <c r="M1625" s="3" t="s">
        <v>32</v>
      </c>
      <c r="N1625" t="s">
        <v>24</v>
      </c>
      <c r="O1625" s="5">
        <v>6</v>
      </c>
      <c r="P1625" s="3" t="s">
        <v>25</v>
      </c>
      <c r="Q1625" s="2">
        <v>0</v>
      </c>
      <c r="R1625" s="3" t="s">
        <v>58</v>
      </c>
      <c r="S1625">
        <f>COUNTIF(A:A,A1625)</f>
        <v>1</v>
      </c>
      <c r="T1625" t="str">
        <f>IF(OR(H1625="",LOWER(TRIM(H1625&amp;""))="missing",LOWER(TRIM(H1625&amp;""))=""),"Missing/",IFERROR(IF(OR(VALUE(H1625)&lt;0,VALUE(H1625)&gt;110),"Invalid","Valid"),"Check Format"))</f>
        <v>Missing/</v>
      </c>
      <c r="U1625" t="str">
        <f>IF(Raw_Data[[#This Row],[Age_Check]]="Valid",H1625,"")</f>
        <v/>
      </c>
      <c r="V1625" t="str">
        <f>IF(OR(K1625="",UPPER(TRIM(K1625&amp;""))="",LOWER(TRIM(K1625&amp;""))="",LOWER(TRIM(K1625&amp;""))="",LOWER(TRIM(K1625&amp;""))="missing"),"Missing/",IFERROR(IF(VALUE(K1625)&lt;0,"Invalid","Valid"),"Check Format"))</f>
        <v>Valid</v>
      </c>
      <c r="W1625" t="str">
        <f>IF(OR(E1625="",F1625=""),"Missing Date/Time",IFERROR(IF(F1625&gt;E1625,"Arrival After Appointment","OK"),"Check Format"))</f>
        <v>OK</v>
      </c>
      <c r="X1625" t="str">
        <f>IF(OR(F1625="",G1625=""),"Missing Date/Time",IFERROR(IF(G1625&lt;F1625,"Discharge Before Arrival","OK"),"Check Format"))</f>
        <v>OK</v>
      </c>
    </row>
    <row r="1626" spans="1:24" x14ac:dyDescent="0.25">
      <c r="A1626" s="2" t="s">
        <v>2372</v>
      </c>
      <c r="B1626" s="2" t="s">
        <v>1933</v>
      </c>
      <c r="C1626" s="3" t="s">
        <v>46</v>
      </c>
      <c r="D1626" s="3" t="s">
        <v>72</v>
      </c>
      <c r="E1626" s="4">
        <v>45388.40625</v>
      </c>
      <c r="F1626" s="4">
        <v>45388.38958333333</v>
      </c>
      <c r="G1626" s="4">
        <v>45388.461111111108</v>
      </c>
      <c r="H1626" s="5">
        <v>6</v>
      </c>
      <c r="J1626" s="3" t="s">
        <v>171</v>
      </c>
      <c r="K1626" s="5">
        <v>52</v>
      </c>
      <c r="L1626" s="5">
        <v>27</v>
      </c>
      <c r="M1626" s="3" t="s">
        <v>41</v>
      </c>
      <c r="O1626" s="5">
        <v>1</v>
      </c>
      <c r="Q1626" s="2">
        <v>113.01</v>
      </c>
      <c r="R1626" s="3" t="s">
        <v>75</v>
      </c>
      <c r="S1626">
        <f>COUNTIF(A:A,A1626)</f>
        <v>1</v>
      </c>
      <c r="T1626" t="str">
        <f>IF(OR(H1626="",LOWER(TRIM(H1626&amp;""))="missing",LOWER(TRIM(H1626&amp;""))=""),"Missing/",IFERROR(IF(OR(VALUE(H1626)&lt;0,VALUE(H1626)&gt;110),"Invalid","Valid"),"Check Format"))</f>
        <v>Valid</v>
      </c>
      <c r="U1626">
        <f>IF(Raw_Data[[#This Row],[Age_Check]]="Valid",H1626,"")</f>
        <v>6</v>
      </c>
      <c r="V1626" t="str">
        <f>IF(OR(K1626="",UPPER(TRIM(K1626&amp;""))="",LOWER(TRIM(K1626&amp;""))="",LOWER(TRIM(K1626&amp;""))="",LOWER(TRIM(K1626&amp;""))="missing"),"Missing/",IFERROR(IF(VALUE(K1626)&lt;0,"Invalid","Valid"),"Check Format"))</f>
        <v>Valid</v>
      </c>
      <c r="W1626" t="str">
        <f>IF(OR(E1626="",F1626=""),"Missing Date/Time",IFERROR(IF(F1626&gt;E1626,"Arrival After Appointment","OK"),"Check Format"))</f>
        <v>OK</v>
      </c>
      <c r="X1626" t="str">
        <f>IF(OR(F1626="",G1626=""),"Missing Date/Time",IFERROR(IF(G1626&lt;F1626,"Discharge Before Arrival","OK"),"Check Format"))</f>
        <v>OK</v>
      </c>
    </row>
    <row r="1627" spans="1:24" x14ac:dyDescent="0.25">
      <c r="A1627" s="2" t="s">
        <v>2373</v>
      </c>
      <c r="B1627" s="2" t="s">
        <v>364</v>
      </c>
      <c r="C1627" s="3" t="s">
        <v>46</v>
      </c>
      <c r="D1627" s="3" t="s">
        <v>23</v>
      </c>
      <c r="E1627" s="4">
        <v>45770.75</v>
      </c>
      <c r="F1627" s="4">
        <v>45770.729861111111</v>
      </c>
      <c r="H1627" s="5">
        <v>145</v>
      </c>
      <c r="I1627" s="3" t="s">
        <v>39</v>
      </c>
      <c r="J1627" s="3" t="s">
        <v>67</v>
      </c>
      <c r="K1627" s="5">
        <v>53</v>
      </c>
      <c r="L1627" s="5">
        <v>36</v>
      </c>
      <c r="M1627" s="3" t="s">
        <v>63</v>
      </c>
      <c r="N1627" t="s">
        <v>69</v>
      </c>
      <c r="P1627" s="3" t="s">
        <v>25</v>
      </c>
      <c r="Q1627" s="2">
        <v>132.99</v>
      </c>
      <c r="R1627" s="3" t="s">
        <v>75</v>
      </c>
      <c r="S1627">
        <f>COUNTIF(A:A,A1627)</f>
        <v>1</v>
      </c>
      <c r="T1627" t="str">
        <f>IF(OR(H1627="",LOWER(TRIM(H1627&amp;""))="missing",LOWER(TRIM(H1627&amp;""))=""),"Missing/",IFERROR(IF(OR(VALUE(H1627)&lt;0,VALUE(H1627)&gt;110),"Invalid","Valid"),"Check Format"))</f>
        <v>Invalid</v>
      </c>
      <c r="U1627" t="str">
        <f>IF(Raw_Data[[#This Row],[Age_Check]]="Valid",H1627,"")</f>
        <v/>
      </c>
      <c r="V1627" t="str">
        <f>IF(OR(K1627="",UPPER(TRIM(K1627&amp;""))="",LOWER(TRIM(K1627&amp;""))="",LOWER(TRIM(K1627&amp;""))="",LOWER(TRIM(K1627&amp;""))="missing"),"Missing/",IFERROR(IF(VALUE(K1627)&lt;0,"Invalid","Valid"),"Check Format"))</f>
        <v>Valid</v>
      </c>
      <c r="W1627" t="str">
        <f>IF(OR(E1627="",F1627=""),"Missing Date/Time",IFERROR(IF(F1627&gt;E1627,"Arrival After Appointment","OK"),"Check Format"))</f>
        <v>OK</v>
      </c>
      <c r="X1627" t="str">
        <f>IF(OR(F1627="",G1627=""),"Missing Date/Time",IFERROR(IF(G1627&lt;F1627,"Discharge Before Arrival","OK"),"Check Format"))</f>
        <v>Missing Date/Time</v>
      </c>
    </row>
    <row r="1628" spans="1:24" x14ac:dyDescent="0.25">
      <c r="A1628" s="2" t="s">
        <v>2374</v>
      </c>
      <c r="B1628" s="2" t="s">
        <v>537</v>
      </c>
      <c r="C1628" s="3" t="s">
        <v>19</v>
      </c>
      <c r="D1628" s="3" t="s">
        <v>149</v>
      </c>
      <c r="E1628" s="4">
        <v>45938.708333333336</v>
      </c>
      <c r="F1628" s="4">
        <v>45879.701388888891</v>
      </c>
      <c r="G1628" s="4">
        <v>45879.745138888888</v>
      </c>
      <c r="H1628" s="5">
        <v>48</v>
      </c>
      <c r="K1628" s="5">
        <v>13</v>
      </c>
      <c r="L1628" s="5">
        <v>40</v>
      </c>
      <c r="M1628" s="3" t="s">
        <v>50</v>
      </c>
      <c r="N1628" t="s">
        <v>69</v>
      </c>
      <c r="O1628" s="5">
        <v>1</v>
      </c>
      <c r="P1628" s="3" t="s">
        <v>25</v>
      </c>
      <c r="Q1628" s="2">
        <v>0</v>
      </c>
      <c r="R1628" s="3" t="s">
        <v>26</v>
      </c>
      <c r="S1628">
        <f>COUNTIF(A:A,A1628)</f>
        <v>1</v>
      </c>
      <c r="T1628" t="str">
        <f>IF(OR(H1628="",LOWER(TRIM(H1628&amp;""))="missing",LOWER(TRIM(H1628&amp;""))=""),"Missing/",IFERROR(IF(OR(VALUE(H1628)&lt;0,VALUE(H1628)&gt;110),"Invalid","Valid"),"Check Format"))</f>
        <v>Valid</v>
      </c>
      <c r="U1628">
        <f>IF(Raw_Data[[#This Row],[Age_Check]]="Valid",H1628,"")</f>
        <v>48</v>
      </c>
      <c r="V1628" t="str">
        <f>IF(OR(K1628="",UPPER(TRIM(K1628&amp;""))="",LOWER(TRIM(K1628&amp;""))="",LOWER(TRIM(K1628&amp;""))="",LOWER(TRIM(K1628&amp;""))="missing"),"Missing/",IFERROR(IF(VALUE(K1628)&lt;0,"Invalid","Valid"),"Check Format"))</f>
        <v>Valid</v>
      </c>
      <c r="W1628" t="str">
        <f>IF(OR(E1628="",F1628=""),"Missing Date/Time",IFERROR(IF(F1628&gt;E1628,"Arrival After Appointment","OK"),"Check Format"))</f>
        <v>OK</v>
      </c>
      <c r="X1628" t="str">
        <f>IF(OR(F1628="",G1628=""),"Missing Date/Time",IFERROR(IF(G1628&lt;F1628,"Discharge Before Arrival","OK"),"Check Format"))</f>
        <v>OK</v>
      </c>
    </row>
    <row r="1629" spans="1:24" x14ac:dyDescent="0.25">
      <c r="A1629" s="2" t="s">
        <v>2375</v>
      </c>
      <c r="B1629" s="2" t="s">
        <v>54</v>
      </c>
      <c r="C1629" s="3" t="s">
        <v>29</v>
      </c>
      <c r="D1629" s="3" t="s">
        <v>66</v>
      </c>
      <c r="E1629" s="4">
        <v>45659.711805555555</v>
      </c>
      <c r="F1629" s="4">
        <v>45659.693055555559</v>
      </c>
      <c r="G1629" s="4">
        <v>45659.743055555555</v>
      </c>
      <c r="H1629" s="5">
        <v>37</v>
      </c>
      <c r="J1629" s="3" t="s">
        <v>62</v>
      </c>
      <c r="K1629" s="5">
        <v>0</v>
      </c>
      <c r="L1629" s="5">
        <v>45</v>
      </c>
      <c r="M1629" s="3" t="s">
        <v>63</v>
      </c>
      <c r="N1629" t="s">
        <v>100</v>
      </c>
      <c r="O1629" s="5">
        <v>6</v>
      </c>
      <c r="P1629" s="3" t="s">
        <v>80</v>
      </c>
      <c r="Q1629" s="2">
        <v>185.56</v>
      </c>
      <c r="R1629" s="3" t="s">
        <v>26</v>
      </c>
      <c r="S1629">
        <f>COUNTIF(A:A,A1629)</f>
        <v>1</v>
      </c>
      <c r="T1629" t="str">
        <f>IF(OR(H1629="",LOWER(TRIM(H1629&amp;""))="missing",LOWER(TRIM(H1629&amp;""))=""),"Missing/",IFERROR(IF(OR(VALUE(H1629)&lt;0,VALUE(H1629)&gt;110),"Invalid","Valid"),"Check Format"))</f>
        <v>Valid</v>
      </c>
      <c r="U1629">
        <f>IF(Raw_Data[[#This Row],[Age_Check]]="Valid",H1629,"")</f>
        <v>37</v>
      </c>
      <c r="V1629" t="str">
        <f>IF(OR(K1629="",UPPER(TRIM(K1629&amp;""))="",LOWER(TRIM(K1629&amp;""))="",LOWER(TRIM(K1629&amp;""))="",LOWER(TRIM(K1629&amp;""))="missing"),"Missing/",IFERROR(IF(VALUE(K1629)&lt;0,"Invalid","Valid"),"Check Format"))</f>
        <v>Valid</v>
      </c>
      <c r="W1629" t="str">
        <f>IF(OR(E1629="",F1629=""),"Missing Date/Time",IFERROR(IF(F1629&gt;E1629,"Arrival After Appointment","OK"),"Check Format"))</f>
        <v>OK</v>
      </c>
      <c r="X1629" t="str">
        <f>IF(OR(F1629="",G1629=""),"Missing Date/Time",IFERROR(IF(G1629&lt;F1629,"Discharge Before Arrival","OK"),"Check Format"))</f>
        <v>OK</v>
      </c>
    </row>
    <row r="1630" spans="1:24" x14ac:dyDescent="0.25">
      <c r="A1630" s="2" t="s">
        <v>2376</v>
      </c>
      <c r="B1630" s="2" t="s">
        <v>962</v>
      </c>
      <c r="D1630" s="3" t="s">
        <v>99</v>
      </c>
      <c r="E1630" s="4">
        <v>45434.444444444445</v>
      </c>
      <c r="F1630" s="4">
        <v>45434.435416666667</v>
      </c>
      <c r="H1630" s="5">
        <v>49</v>
      </c>
      <c r="K1630" s="5">
        <v>55</v>
      </c>
      <c r="L1630" s="5">
        <v>6</v>
      </c>
      <c r="M1630" s="3" t="s">
        <v>41</v>
      </c>
      <c r="N1630" t="s">
        <v>100</v>
      </c>
      <c r="O1630" s="5">
        <v>2</v>
      </c>
      <c r="P1630" s="3" t="s">
        <v>42</v>
      </c>
      <c r="Q1630" s="2">
        <v>88.37</v>
      </c>
      <c r="R1630" s="3" t="s">
        <v>26</v>
      </c>
      <c r="S1630">
        <f>COUNTIF(A:A,A1630)</f>
        <v>1</v>
      </c>
      <c r="T1630" t="str">
        <f>IF(OR(H1630="",LOWER(TRIM(H1630&amp;""))="missing",LOWER(TRIM(H1630&amp;""))=""),"Missing/",IFERROR(IF(OR(VALUE(H1630)&lt;0,VALUE(H1630)&gt;110),"Invalid","Valid"),"Check Format"))</f>
        <v>Valid</v>
      </c>
      <c r="U1630">
        <f>IF(Raw_Data[[#This Row],[Age_Check]]="Valid",H1630,"")</f>
        <v>49</v>
      </c>
      <c r="V1630" t="str">
        <f>IF(OR(K1630="",UPPER(TRIM(K1630&amp;""))="",LOWER(TRIM(K1630&amp;""))="",LOWER(TRIM(K1630&amp;""))="",LOWER(TRIM(K1630&amp;""))="missing"),"Missing/",IFERROR(IF(VALUE(K1630)&lt;0,"Invalid","Valid"),"Check Format"))</f>
        <v>Valid</v>
      </c>
      <c r="W1630" t="str">
        <f>IF(OR(E1630="",F1630=""),"Missing Date/Time",IFERROR(IF(F1630&gt;E1630,"Arrival After Appointment","OK"),"Check Format"))</f>
        <v>OK</v>
      </c>
      <c r="X1630" t="str">
        <f>IF(OR(F1630="",G1630=""),"Missing Date/Time",IFERROR(IF(G1630&lt;F1630,"Discharge Before Arrival","OK"),"Check Format"))</f>
        <v>Missing Date/Time</v>
      </c>
    </row>
    <row r="1631" spans="1:24" x14ac:dyDescent="0.25">
      <c r="A1631" s="2" t="s">
        <v>2377</v>
      </c>
      <c r="B1631" s="2" t="s">
        <v>1254</v>
      </c>
      <c r="C1631" s="3" t="s">
        <v>94</v>
      </c>
      <c r="D1631" s="3" t="s">
        <v>23</v>
      </c>
      <c r="E1631" s="4">
        <v>45764.472222222219</v>
      </c>
      <c r="F1631" s="4">
        <v>45764.456944444442</v>
      </c>
      <c r="G1631" s="4">
        <v>45764.509027777778</v>
      </c>
      <c r="J1631" s="3" t="s">
        <v>2639</v>
      </c>
      <c r="K1631" s="5">
        <v>48</v>
      </c>
      <c r="L1631" s="5">
        <v>5</v>
      </c>
      <c r="M1631" s="3" t="s">
        <v>32</v>
      </c>
      <c r="N1631" t="s">
        <v>74</v>
      </c>
      <c r="O1631" s="5">
        <v>0</v>
      </c>
      <c r="P1631" s="3" t="s">
        <v>80</v>
      </c>
      <c r="Q1631" s="2">
        <v>85.88</v>
      </c>
      <c r="R1631" s="3" t="s">
        <v>58</v>
      </c>
      <c r="S1631">
        <f>COUNTIF(A:A,A1631)</f>
        <v>1</v>
      </c>
      <c r="T1631" t="str">
        <f>IF(OR(H1631="",LOWER(TRIM(H1631&amp;""))="missing",LOWER(TRIM(H1631&amp;""))=""),"Missing/",IFERROR(IF(OR(VALUE(H1631)&lt;0,VALUE(H1631)&gt;110),"Invalid","Valid"),"Check Format"))</f>
        <v>Missing/</v>
      </c>
      <c r="U1631" t="str">
        <f>IF(Raw_Data[[#This Row],[Age_Check]]="Valid",H1631,"")</f>
        <v/>
      </c>
      <c r="V1631" t="str">
        <f>IF(OR(K1631="",UPPER(TRIM(K1631&amp;""))="",LOWER(TRIM(K1631&amp;""))="",LOWER(TRIM(K1631&amp;""))="",LOWER(TRIM(K1631&amp;""))="missing"),"Missing/",IFERROR(IF(VALUE(K1631)&lt;0,"Invalid","Valid"),"Check Format"))</f>
        <v>Valid</v>
      </c>
      <c r="W1631" t="str">
        <f>IF(OR(E1631="",F1631=""),"Missing Date/Time",IFERROR(IF(F1631&gt;E1631,"Arrival After Appointment","OK"),"Check Format"))</f>
        <v>OK</v>
      </c>
      <c r="X1631" t="str">
        <f>IF(OR(F1631="",G1631=""),"Missing Date/Time",IFERROR(IF(G1631&lt;F1631,"Discharge Before Arrival","OK"),"Check Format"))</f>
        <v>OK</v>
      </c>
    </row>
    <row r="1632" spans="1:24" x14ac:dyDescent="0.25">
      <c r="A1632" s="2" t="s">
        <v>2378</v>
      </c>
      <c r="B1632" s="2" t="s">
        <v>913</v>
      </c>
      <c r="D1632" s="3" t="s">
        <v>20</v>
      </c>
      <c r="E1632" s="4">
        <v>45373.642361111109</v>
      </c>
      <c r="F1632" s="4">
        <v>45373.64166666667</v>
      </c>
      <c r="G1632" s="4">
        <v>45373.737500000003</v>
      </c>
      <c r="I1632" s="3" t="s">
        <v>73</v>
      </c>
      <c r="J1632" s="3" t="s">
        <v>62</v>
      </c>
      <c r="K1632" s="5">
        <v>80</v>
      </c>
      <c r="L1632" s="5">
        <v>57</v>
      </c>
      <c r="M1632" s="3" t="s">
        <v>23</v>
      </c>
      <c r="O1632" s="5">
        <v>6</v>
      </c>
      <c r="P1632" s="3" t="s">
        <v>25</v>
      </c>
      <c r="Q1632" s="2">
        <v>111.45</v>
      </c>
      <c r="R1632" s="3" t="s">
        <v>58</v>
      </c>
      <c r="S1632">
        <f>COUNTIF(A:A,A1632)</f>
        <v>1</v>
      </c>
      <c r="T1632" t="str">
        <f>IF(OR(H1632="",LOWER(TRIM(H1632&amp;""))="missing",LOWER(TRIM(H1632&amp;""))=""),"Missing/",IFERROR(IF(OR(VALUE(H1632)&lt;0,VALUE(H1632)&gt;110),"Invalid","Valid"),"Check Format"))</f>
        <v>Missing/</v>
      </c>
      <c r="U1632" t="str">
        <f>IF(Raw_Data[[#This Row],[Age_Check]]="Valid",H1632,"")</f>
        <v/>
      </c>
      <c r="V1632" t="str">
        <f>IF(OR(K1632="",UPPER(TRIM(K1632&amp;""))="",LOWER(TRIM(K1632&amp;""))="",LOWER(TRIM(K1632&amp;""))="",LOWER(TRIM(K1632&amp;""))="missing"),"Missing/",IFERROR(IF(VALUE(K1632)&lt;0,"Invalid","Valid"),"Check Format"))</f>
        <v>Valid</v>
      </c>
      <c r="W1632" t="str">
        <f>IF(OR(E1632="",F1632=""),"Missing Date/Time",IFERROR(IF(F1632&gt;E1632,"Arrival After Appointment","OK"),"Check Format"))</f>
        <v>OK</v>
      </c>
      <c r="X1632" t="str">
        <f>IF(OR(F1632="",G1632=""),"Missing Date/Time",IFERROR(IF(G1632&lt;F1632,"Discharge Before Arrival","OK"),"Check Format"))</f>
        <v>OK</v>
      </c>
    </row>
    <row r="1633" spans="1:24" x14ac:dyDescent="0.25">
      <c r="A1633" s="2" t="s">
        <v>2379</v>
      </c>
      <c r="B1633" s="2" t="s">
        <v>561</v>
      </c>
      <c r="C1633" s="3" t="s">
        <v>94</v>
      </c>
      <c r="D1633" s="3" t="s">
        <v>23</v>
      </c>
      <c r="E1633" s="4" t="s">
        <v>2380</v>
      </c>
      <c r="F1633" s="4">
        <v>45746.506249999999</v>
      </c>
      <c r="I1633" s="3" t="s">
        <v>73</v>
      </c>
      <c r="J1633" s="3" t="s">
        <v>22</v>
      </c>
      <c r="K1633" s="5">
        <v>84</v>
      </c>
      <c r="L1633" s="5">
        <v>5</v>
      </c>
      <c r="M1633" s="3" t="s">
        <v>32</v>
      </c>
      <c r="O1633" s="5">
        <v>6</v>
      </c>
      <c r="Q1633" s="2">
        <v>197.76</v>
      </c>
      <c r="R1633" s="3" t="s">
        <v>75</v>
      </c>
      <c r="S1633">
        <f>COUNTIF(A:A,A1633)</f>
        <v>1</v>
      </c>
      <c r="T1633" t="str">
        <f>IF(OR(H1633="",LOWER(TRIM(H1633&amp;""))="missing",LOWER(TRIM(H1633&amp;""))=""),"Missing/",IFERROR(IF(OR(VALUE(H1633)&lt;0,VALUE(H1633)&gt;110),"Invalid","Valid"),"Check Format"))</f>
        <v>Missing/</v>
      </c>
      <c r="U1633" t="str">
        <f>IF(Raw_Data[[#This Row],[Age_Check]]="Valid",H1633,"")</f>
        <v/>
      </c>
      <c r="V1633" t="str">
        <f>IF(OR(K1633="",UPPER(TRIM(K1633&amp;""))="",LOWER(TRIM(K1633&amp;""))="",LOWER(TRIM(K1633&amp;""))="",LOWER(TRIM(K1633&amp;""))="missing"),"Missing/",IFERROR(IF(VALUE(K1633)&lt;0,"Invalid","Valid"),"Check Format"))</f>
        <v>Valid</v>
      </c>
      <c r="W1633" t="str">
        <f>IF(OR(E1633="",F1633=""),"Missing Date/Time",IFERROR(IF(F1633&gt;E1633,"Arrival After Appointment","OK"),"Check Format"))</f>
        <v>OK</v>
      </c>
      <c r="X1633" t="str">
        <f>IF(OR(F1633="",G1633=""),"Missing Date/Time",IFERROR(IF(G1633&lt;F1633,"Discharge Before Arrival","OK"),"Check Format"))</f>
        <v>Missing Date/Time</v>
      </c>
    </row>
    <row r="1634" spans="1:24" x14ac:dyDescent="0.25">
      <c r="A1634" s="2" t="s">
        <v>2381</v>
      </c>
      <c r="B1634" s="2" t="s">
        <v>98</v>
      </c>
      <c r="C1634" s="3" t="s">
        <v>94</v>
      </c>
      <c r="D1634" s="3" t="s">
        <v>66</v>
      </c>
      <c r="E1634" s="4">
        <v>45679.517361111109</v>
      </c>
      <c r="F1634" s="4">
        <v>45679.511805555558</v>
      </c>
      <c r="G1634" s="4">
        <v>45679.563194444447</v>
      </c>
      <c r="I1634" s="3" t="s">
        <v>90</v>
      </c>
      <c r="J1634" s="3" t="s">
        <v>62</v>
      </c>
      <c r="K1634" s="5">
        <v>29</v>
      </c>
      <c r="L1634" s="5">
        <v>37</v>
      </c>
      <c r="M1634" s="3" t="s">
        <v>41</v>
      </c>
      <c r="N1634" t="s">
        <v>24</v>
      </c>
      <c r="O1634" s="5">
        <v>3</v>
      </c>
      <c r="P1634" s="3" t="s">
        <v>25</v>
      </c>
      <c r="Q1634" s="2">
        <v>125.18</v>
      </c>
      <c r="R1634" s="3" t="s">
        <v>75</v>
      </c>
      <c r="S1634">
        <f>COUNTIF(A:A,A1634)</f>
        <v>1</v>
      </c>
      <c r="T1634" t="str">
        <f>IF(OR(H1634="",LOWER(TRIM(H1634&amp;""))="missing",LOWER(TRIM(H1634&amp;""))=""),"Missing/",IFERROR(IF(OR(VALUE(H1634)&lt;0,VALUE(H1634)&gt;110),"Invalid","Valid"),"Check Format"))</f>
        <v>Missing/</v>
      </c>
      <c r="U1634" t="str">
        <f>IF(Raw_Data[[#This Row],[Age_Check]]="Valid",H1634,"")</f>
        <v/>
      </c>
      <c r="V1634" t="str">
        <f>IF(OR(K1634="",UPPER(TRIM(K1634&amp;""))="",LOWER(TRIM(K1634&amp;""))="",LOWER(TRIM(K1634&amp;""))="",LOWER(TRIM(K1634&amp;""))="missing"),"Missing/",IFERROR(IF(VALUE(K1634)&lt;0,"Invalid","Valid"),"Check Format"))</f>
        <v>Valid</v>
      </c>
      <c r="W1634" t="str">
        <f>IF(OR(E1634="",F1634=""),"Missing Date/Time",IFERROR(IF(F1634&gt;E1634,"Arrival After Appointment","OK"),"Check Format"))</f>
        <v>OK</v>
      </c>
      <c r="X1634" t="str">
        <f>IF(OR(F1634="",G1634=""),"Missing Date/Time",IFERROR(IF(G1634&lt;F1634,"Discharge Before Arrival","OK"),"Check Format"))</f>
        <v>OK</v>
      </c>
    </row>
    <row r="1635" spans="1:24" x14ac:dyDescent="0.25">
      <c r="A1635" s="2" t="s">
        <v>2382</v>
      </c>
      <c r="B1635" s="2" t="s">
        <v>1605</v>
      </c>
      <c r="C1635" s="3" t="s">
        <v>46</v>
      </c>
      <c r="D1635" s="3" t="s">
        <v>55</v>
      </c>
      <c r="E1635" s="4">
        <v>45822.631944444445</v>
      </c>
      <c r="F1635" s="4">
        <v>45822.613888888889</v>
      </c>
      <c r="G1635" s="4">
        <v>45822.715277777781</v>
      </c>
      <c r="H1635" s="5">
        <v>13</v>
      </c>
      <c r="I1635" s="3" t="s">
        <v>39</v>
      </c>
      <c r="J1635" s="3" t="s">
        <v>150</v>
      </c>
      <c r="K1635" s="5">
        <v>104</v>
      </c>
      <c r="L1635" s="5">
        <v>16</v>
      </c>
      <c r="N1635" t="s">
        <v>24</v>
      </c>
      <c r="O1635" s="5">
        <v>6</v>
      </c>
      <c r="Q1635" s="2">
        <v>195.21</v>
      </c>
      <c r="R1635" s="3" t="s">
        <v>75</v>
      </c>
      <c r="S1635">
        <f>COUNTIF(A:A,A1635)</f>
        <v>1</v>
      </c>
      <c r="T1635" t="str">
        <f>IF(OR(H1635="",LOWER(TRIM(H1635&amp;""))="missing",LOWER(TRIM(H1635&amp;""))=""),"Missing/",IFERROR(IF(OR(VALUE(H1635)&lt;0,VALUE(H1635)&gt;110),"Invalid","Valid"),"Check Format"))</f>
        <v>Valid</v>
      </c>
      <c r="U1635">
        <f>IF(Raw_Data[[#This Row],[Age_Check]]="Valid",H1635,"")</f>
        <v>13</v>
      </c>
      <c r="V1635" t="str">
        <f>IF(OR(K1635="",UPPER(TRIM(K1635&amp;""))="",LOWER(TRIM(K1635&amp;""))="",LOWER(TRIM(K1635&amp;""))="",LOWER(TRIM(K1635&amp;""))="missing"),"Missing/",IFERROR(IF(VALUE(K1635)&lt;0,"Invalid","Valid"),"Check Format"))</f>
        <v>Valid</v>
      </c>
      <c r="W1635" t="str">
        <f>IF(OR(E1635="",F1635=""),"Missing Date/Time",IFERROR(IF(F1635&gt;E1635,"Arrival After Appointment","OK"),"Check Format"))</f>
        <v>OK</v>
      </c>
      <c r="X1635" t="str">
        <f>IF(OR(F1635="",G1635=""),"Missing Date/Time",IFERROR(IF(G1635&lt;F1635,"Discharge Before Arrival","OK"),"Check Format"))</f>
        <v>OK</v>
      </c>
    </row>
    <row r="1636" spans="1:24" x14ac:dyDescent="0.25">
      <c r="A1636" s="2" t="s">
        <v>2383</v>
      </c>
      <c r="B1636" s="2" t="s">
        <v>474</v>
      </c>
      <c r="C1636" s="3" t="s">
        <v>37</v>
      </c>
      <c r="D1636" s="3" t="s">
        <v>47</v>
      </c>
      <c r="E1636" s="4">
        <v>45329.725694444445</v>
      </c>
      <c r="F1636" s="4">
        <v>45329.72152777778</v>
      </c>
      <c r="G1636" s="4">
        <v>45329.779166666667</v>
      </c>
      <c r="I1636" s="3" t="s">
        <v>95</v>
      </c>
      <c r="J1636" s="3" t="s">
        <v>67</v>
      </c>
      <c r="K1636" s="5">
        <v>48</v>
      </c>
      <c r="L1636" s="5">
        <v>29</v>
      </c>
      <c r="M1636" s="3" t="s">
        <v>41</v>
      </c>
      <c r="N1636" t="s">
        <v>74</v>
      </c>
      <c r="P1636" s="3" t="s">
        <v>25</v>
      </c>
      <c r="Q1636" s="2">
        <v>130.29</v>
      </c>
      <c r="R1636" s="3" t="s">
        <v>58</v>
      </c>
      <c r="S1636">
        <f>COUNTIF(A:A,A1636)</f>
        <v>1</v>
      </c>
      <c r="T1636" t="str">
        <f>IF(OR(H1636="",LOWER(TRIM(H1636&amp;""))="missing",LOWER(TRIM(H1636&amp;""))=""),"Missing/",IFERROR(IF(OR(VALUE(H1636)&lt;0,VALUE(H1636)&gt;110),"Invalid","Valid"),"Check Format"))</f>
        <v>Missing/</v>
      </c>
      <c r="U1636" t="str">
        <f>IF(Raw_Data[[#This Row],[Age_Check]]="Valid",H1636,"")</f>
        <v/>
      </c>
      <c r="V1636" t="str">
        <f>IF(OR(K1636="",UPPER(TRIM(K1636&amp;""))="",LOWER(TRIM(K1636&amp;""))="",LOWER(TRIM(K1636&amp;""))="",LOWER(TRIM(K1636&amp;""))="missing"),"Missing/",IFERROR(IF(VALUE(K1636)&lt;0,"Invalid","Valid"),"Check Format"))</f>
        <v>Valid</v>
      </c>
      <c r="W1636" t="str">
        <f>IF(OR(E1636="",F1636=""),"Missing Date/Time",IFERROR(IF(F1636&gt;E1636,"Arrival After Appointment","OK"),"Check Format"))</f>
        <v>OK</v>
      </c>
      <c r="X1636" t="str">
        <f>IF(OR(F1636="",G1636=""),"Missing Date/Time",IFERROR(IF(G1636&lt;F1636,"Discharge Before Arrival","OK"),"Check Format"))</f>
        <v>OK</v>
      </c>
    </row>
    <row r="1637" spans="1:24" x14ac:dyDescent="0.25">
      <c r="A1637" s="2" t="s">
        <v>2384</v>
      </c>
      <c r="B1637" s="2" t="s">
        <v>531</v>
      </c>
      <c r="C1637" s="3" t="s">
        <v>94</v>
      </c>
      <c r="D1637" s="3" t="s">
        <v>106</v>
      </c>
      <c r="E1637" s="4">
        <v>45644.552083333336</v>
      </c>
      <c r="F1637" s="4">
        <v>45644.538888888892</v>
      </c>
      <c r="G1637" s="4">
        <v>45644.593055555553</v>
      </c>
      <c r="I1637" s="3" t="s">
        <v>39</v>
      </c>
      <c r="J1637" s="3" t="s">
        <v>2639</v>
      </c>
      <c r="K1637" s="5">
        <v>28</v>
      </c>
      <c r="L1637" s="5">
        <v>31</v>
      </c>
      <c r="M1637" s="3" t="s">
        <v>32</v>
      </c>
      <c r="N1637" t="s">
        <v>74</v>
      </c>
      <c r="Q1637" s="2">
        <v>139.99</v>
      </c>
      <c r="R1637" s="3" t="s">
        <v>75</v>
      </c>
      <c r="S1637">
        <f>COUNTIF(A:A,A1637)</f>
        <v>1</v>
      </c>
      <c r="T1637" t="str">
        <f>IF(OR(H1637="",LOWER(TRIM(H1637&amp;""))="missing",LOWER(TRIM(H1637&amp;""))=""),"Missing/",IFERROR(IF(OR(VALUE(H1637)&lt;0,VALUE(H1637)&gt;110),"Invalid","Valid"),"Check Format"))</f>
        <v>Missing/</v>
      </c>
      <c r="U1637" t="str">
        <f>IF(Raw_Data[[#This Row],[Age_Check]]="Valid",H1637,"")</f>
        <v/>
      </c>
      <c r="V1637" t="str">
        <f>IF(OR(K1637="",UPPER(TRIM(K1637&amp;""))="",LOWER(TRIM(K1637&amp;""))="",LOWER(TRIM(K1637&amp;""))="",LOWER(TRIM(K1637&amp;""))="missing"),"Missing/",IFERROR(IF(VALUE(K1637)&lt;0,"Invalid","Valid"),"Check Format"))</f>
        <v>Valid</v>
      </c>
      <c r="W1637" t="str">
        <f>IF(OR(E1637="",F1637=""),"Missing Date/Time",IFERROR(IF(F1637&gt;E1637,"Arrival After Appointment","OK"),"Check Format"))</f>
        <v>OK</v>
      </c>
      <c r="X1637" t="str">
        <f>IF(OR(F1637="",G1637=""),"Missing Date/Time",IFERROR(IF(G1637&lt;F1637,"Discharge Before Arrival","OK"),"Check Format"))</f>
        <v>OK</v>
      </c>
    </row>
    <row r="1638" spans="1:24" x14ac:dyDescent="0.25">
      <c r="A1638" s="2" t="s">
        <v>2385</v>
      </c>
      <c r="B1638" s="2" t="s">
        <v>738</v>
      </c>
      <c r="C1638" s="3" t="s">
        <v>94</v>
      </c>
      <c r="D1638" s="3" t="s">
        <v>115</v>
      </c>
      <c r="E1638" s="4">
        <v>45945.395833333336</v>
      </c>
      <c r="F1638" s="4">
        <v>45945.381249999999</v>
      </c>
      <c r="G1638" s="4">
        <v>45945.464583333334</v>
      </c>
      <c r="H1638" s="5">
        <v>18</v>
      </c>
      <c r="I1638" s="3" t="s">
        <v>95</v>
      </c>
      <c r="J1638" s="3" t="s">
        <v>2639</v>
      </c>
      <c r="K1638" s="5">
        <v>66</v>
      </c>
      <c r="L1638" s="5">
        <v>33</v>
      </c>
      <c r="M1638" s="3" t="s">
        <v>23</v>
      </c>
      <c r="P1638" s="3" t="s">
        <v>42</v>
      </c>
      <c r="Q1638" s="2">
        <v>208.84</v>
      </c>
      <c r="R1638" s="3" t="s">
        <v>58</v>
      </c>
      <c r="S1638">
        <f>COUNTIF(A:A,A1638)</f>
        <v>1</v>
      </c>
      <c r="T1638" t="str">
        <f>IF(OR(H1638="",LOWER(TRIM(H1638&amp;""))="missing",LOWER(TRIM(H1638&amp;""))=""),"Missing/",IFERROR(IF(OR(VALUE(H1638)&lt;0,VALUE(H1638)&gt;110),"Invalid","Valid"),"Check Format"))</f>
        <v>Valid</v>
      </c>
      <c r="U1638">
        <f>IF(Raw_Data[[#This Row],[Age_Check]]="Valid",H1638,"")</f>
        <v>18</v>
      </c>
      <c r="V1638" t="str">
        <f>IF(OR(K1638="",UPPER(TRIM(K1638&amp;""))="",LOWER(TRIM(K1638&amp;""))="",LOWER(TRIM(K1638&amp;""))="",LOWER(TRIM(K1638&amp;""))="missing"),"Missing/",IFERROR(IF(VALUE(K1638)&lt;0,"Invalid","Valid"),"Check Format"))</f>
        <v>Valid</v>
      </c>
      <c r="W1638" t="str">
        <f>IF(OR(E1638="",F1638=""),"Missing Date/Time",IFERROR(IF(F1638&gt;E1638,"Arrival After Appointment","OK"),"Check Format"))</f>
        <v>OK</v>
      </c>
      <c r="X1638" t="str">
        <f>IF(OR(F1638="",G1638=""),"Missing Date/Time",IFERROR(IF(G1638&lt;F1638,"Discharge Before Arrival","OK"),"Check Format"))</f>
        <v>OK</v>
      </c>
    </row>
    <row r="1639" spans="1:24" x14ac:dyDescent="0.25">
      <c r="A1639" s="2" t="s">
        <v>2386</v>
      </c>
      <c r="B1639" s="2" t="s">
        <v>758</v>
      </c>
      <c r="C1639" s="3" t="s">
        <v>46</v>
      </c>
      <c r="D1639" s="3" t="s">
        <v>209</v>
      </c>
      <c r="E1639" s="4">
        <v>45784.579861111109</v>
      </c>
      <c r="F1639" s="4">
        <v>45784.568055555559</v>
      </c>
      <c r="G1639" s="4">
        <v>45784.651388888888</v>
      </c>
      <c r="H1639" s="5">
        <v>145</v>
      </c>
      <c r="I1639" s="3" t="s">
        <v>73</v>
      </c>
      <c r="J1639" s="3" t="s">
        <v>171</v>
      </c>
      <c r="K1639" s="5">
        <v>90</v>
      </c>
      <c r="L1639" s="5">
        <v>13</v>
      </c>
      <c r="M1639" s="3" t="s">
        <v>68</v>
      </c>
      <c r="N1639" t="s">
        <v>69</v>
      </c>
      <c r="O1639" s="5">
        <v>6</v>
      </c>
      <c r="Q1639" s="2">
        <v>214.5</v>
      </c>
      <c r="R1639" s="3" t="s">
        <v>58</v>
      </c>
      <c r="S1639">
        <f>COUNTIF(A:A,A1639)</f>
        <v>1</v>
      </c>
      <c r="T1639" t="str">
        <f>IF(OR(H1639="",LOWER(TRIM(H1639&amp;""))="missing",LOWER(TRIM(H1639&amp;""))=""),"Missing/",IFERROR(IF(OR(VALUE(H1639)&lt;0,VALUE(H1639)&gt;110),"Invalid","Valid"),"Check Format"))</f>
        <v>Invalid</v>
      </c>
      <c r="U1639" t="str">
        <f>IF(Raw_Data[[#This Row],[Age_Check]]="Valid",H1639,"")</f>
        <v/>
      </c>
      <c r="V1639" t="str">
        <f>IF(OR(K1639="",UPPER(TRIM(K1639&amp;""))="",LOWER(TRIM(K1639&amp;""))="",LOWER(TRIM(K1639&amp;""))="",LOWER(TRIM(K1639&amp;""))="missing"),"Missing/",IFERROR(IF(VALUE(K1639)&lt;0,"Invalid","Valid"),"Check Format"))</f>
        <v>Valid</v>
      </c>
      <c r="W1639" t="str">
        <f>IF(OR(E1639="",F1639=""),"Missing Date/Time",IFERROR(IF(F1639&gt;E1639,"Arrival After Appointment","OK"),"Check Format"))</f>
        <v>OK</v>
      </c>
      <c r="X1639" t="str">
        <f>IF(OR(F1639="",G1639=""),"Missing Date/Time",IFERROR(IF(G1639&lt;F1639,"Discharge Before Arrival","OK"),"Check Format"))</f>
        <v>OK</v>
      </c>
    </row>
    <row r="1640" spans="1:24" x14ac:dyDescent="0.25">
      <c r="A1640" s="2" t="s">
        <v>2387</v>
      </c>
      <c r="B1640" s="2" t="s">
        <v>1331</v>
      </c>
      <c r="C1640" s="3" t="s">
        <v>46</v>
      </c>
      <c r="D1640" s="3" t="s">
        <v>209</v>
      </c>
      <c r="E1640" s="4">
        <v>45579.371527777781</v>
      </c>
      <c r="F1640" s="4">
        <v>45579.354861111111</v>
      </c>
      <c r="G1640" s="4">
        <v>45579.411805555559</v>
      </c>
      <c r="I1640" s="3" t="s">
        <v>73</v>
      </c>
      <c r="J1640" s="3" t="s">
        <v>171</v>
      </c>
      <c r="K1640" s="5">
        <v>16</v>
      </c>
      <c r="L1640" s="5">
        <v>42</v>
      </c>
      <c r="M1640" s="3" t="s">
        <v>63</v>
      </c>
      <c r="N1640" t="s">
        <v>100</v>
      </c>
      <c r="P1640" s="3" t="s">
        <v>25</v>
      </c>
      <c r="Q1640" s="2">
        <v>194.58</v>
      </c>
      <c r="R1640" s="3" t="s">
        <v>58</v>
      </c>
      <c r="S1640">
        <f>COUNTIF(A:A,A1640)</f>
        <v>1</v>
      </c>
      <c r="T1640" t="str">
        <f>IF(OR(H1640="",LOWER(TRIM(H1640&amp;""))="missing",LOWER(TRIM(H1640&amp;""))=""),"Missing/",IFERROR(IF(OR(VALUE(H1640)&lt;0,VALUE(H1640)&gt;110),"Invalid","Valid"),"Check Format"))</f>
        <v>Missing/</v>
      </c>
      <c r="U1640" t="str">
        <f>IF(Raw_Data[[#This Row],[Age_Check]]="Valid",H1640,"")</f>
        <v/>
      </c>
      <c r="V1640" t="str">
        <f>IF(OR(K1640="",UPPER(TRIM(K1640&amp;""))="",LOWER(TRIM(K1640&amp;""))="",LOWER(TRIM(K1640&amp;""))="",LOWER(TRIM(K1640&amp;""))="missing"),"Missing/",IFERROR(IF(VALUE(K1640)&lt;0,"Invalid","Valid"),"Check Format"))</f>
        <v>Valid</v>
      </c>
      <c r="W1640" t="str">
        <f>IF(OR(E1640="",F1640=""),"Missing Date/Time",IFERROR(IF(F1640&gt;E1640,"Arrival After Appointment","OK"),"Check Format"))</f>
        <v>OK</v>
      </c>
      <c r="X1640" t="str">
        <f>IF(OR(F1640="",G1640=""),"Missing Date/Time",IFERROR(IF(G1640&lt;F1640,"Discharge Before Arrival","OK"),"Check Format"))</f>
        <v>OK</v>
      </c>
    </row>
    <row r="1641" spans="1:24" x14ac:dyDescent="0.25">
      <c r="A1641" s="2" t="s">
        <v>2388</v>
      </c>
      <c r="B1641" s="2" t="s">
        <v>138</v>
      </c>
      <c r="C1641" s="3" t="s">
        <v>29</v>
      </c>
      <c r="D1641" s="3" t="s">
        <v>38</v>
      </c>
      <c r="E1641" s="4">
        <v>45834.420138888891</v>
      </c>
      <c r="F1641" s="4">
        <v>45834.420138888891</v>
      </c>
      <c r="G1641" s="4">
        <v>45834.443055555559</v>
      </c>
      <c r="H1641" s="5">
        <v>64</v>
      </c>
      <c r="I1641" s="3" t="s">
        <v>95</v>
      </c>
      <c r="J1641" s="3" t="s">
        <v>22</v>
      </c>
      <c r="K1641" s="5">
        <v>0</v>
      </c>
      <c r="L1641" s="5">
        <v>33</v>
      </c>
      <c r="M1641" s="3" t="s">
        <v>32</v>
      </c>
      <c r="N1641" t="s">
        <v>24</v>
      </c>
      <c r="O1641" s="5">
        <v>6</v>
      </c>
      <c r="P1641" s="3" t="s">
        <v>25</v>
      </c>
      <c r="Q1641" s="2">
        <v>107.52</v>
      </c>
      <c r="R1641" s="3" t="s">
        <v>58</v>
      </c>
      <c r="S1641">
        <f>COUNTIF(A:A,A1641)</f>
        <v>1</v>
      </c>
      <c r="T1641" t="str">
        <f>IF(OR(H1641="",LOWER(TRIM(H1641&amp;""))="missing",LOWER(TRIM(H1641&amp;""))=""),"Missing/",IFERROR(IF(OR(VALUE(H1641)&lt;0,VALUE(H1641)&gt;110),"Invalid","Valid"),"Check Format"))</f>
        <v>Valid</v>
      </c>
      <c r="U1641">
        <f>IF(Raw_Data[[#This Row],[Age_Check]]="Valid",H1641,"")</f>
        <v>64</v>
      </c>
      <c r="V1641" t="str">
        <f>IF(OR(K1641="",UPPER(TRIM(K1641&amp;""))="",LOWER(TRIM(K1641&amp;""))="",LOWER(TRIM(K1641&amp;""))="",LOWER(TRIM(K1641&amp;""))="missing"),"Missing/",IFERROR(IF(VALUE(K1641)&lt;0,"Invalid","Valid"),"Check Format"))</f>
        <v>Valid</v>
      </c>
      <c r="W1641" t="str">
        <f>IF(OR(E1641="",F1641=""),"Missing Date/Time",IFERROR(IF(F1641&gt;E1641,"Arrival After Appointment","OK"),"Check Format"))</f>
        <v>OK</v>
      </c>
      <c r="X1641" t="str">
        <f>IF(OR(F1641="",G1641=""),"Missing Date/Time",IFERROR(IF(G1641&lt;F1641,"Discharge Before Arrival","OK"),"Check Format"))</f>
        <v>OK</v>
      </c>
    </row>
    <row r="1642" spans="1:24" x14ac:dyDescent="0.25">
      <c r="A1642" s="2" t="s">
        <v>2389</v>
      </c>
      <c r="B1642" s="2" t="s">
        <v>261</v>
      </c>
      <c r="C1642" s="3" t="s">
        <v>19</v>
      </c>
      <c r="D1642" s="3" t="s">
        <v>106</v>
      </c>
      <c r="E1642" s="4">
        <v>45660.586805555555</v>
      </c>
      <c r="F1642" s="4">
        <v>45660.570138888892</v>
      </c>
      <c r="G1642" s="4">
        <v>45660.647222222222</v>
      </c>
      <c r="H1642" s="5">
        <v>145</v>
      </c>
      <c r="I1642" s="3" t="s">
        <v>95</v>
      </c>
      <c r="J1642" s="3" t="s">
        <v>67</v>
      </c>
      <c r="K1642" s="5">
        <v>31</v>
      </c>
      <c r="L1642" s="5">
        <v>56</v>
      </c>
      <c r="M1642" s="3" t="s">
        <v>68</v>
      </c>
      <c r="P1642" s="3" t="s">
        <v>80</v>
      </c>
      <c r="Q1642" s="2">
        <v>92.71</v>
      </c>
      <c r="R1642" s="3" t="s">
        <v>43</v>
      </c>
      <c r="S1642">
        <f>COUNTIF(A:A,A1642)</f>
        <v>1</v>
      </c>
      <c r="T1642" t="str">
        <f>IF(OR(H1642="",LOWER(TRIM(H1642&amp;""))="missing",LOWER(TRIM(H1642&amp;""))=""),"Missing/",IFERROR(IF(OR(VALUE(H1642)&lt;0,VALUE(H1642)&gt;110),"Invalid","Valid"),"Check Format"))</f>
        <v>Invalid</v>
      </c>
      <c r="U1642" t="str">
        <f>IF(Raw_Data[[#This Row],[Age_Check]]="Valid",H1642,"")</f>
        <v/>
      </c>
      <c r="V1642" t="str">
        <f>IF(OR(K1642="",UPPER(TRIM(K1642&amp;""))="",LOWER(TRIM(K1642&amp;""))="",LOWER(TRIM(K1642&amp;""))="",LOWER(TRIM(K1642&amp;""))="missing"),"Missing/",IFERROR(IF(VALUE(K1642)&lt;0,"Invalid","Valid"),"Check Format"))</f>
        <v>Valid</v>
      </c>
      <c r="W1642" t="str">
        <f>IF(OR(E1642="",F1642=""),"Missing Date/Time",IFERROR(IF(F1642&gt;E1642,"Arrival After Appointment","OK"),"Check Format"))</f>
        <v>OK</v>
      </c>
      <c r="X1642" t="str">
        <f>IF(OR(F1642="",G1642=""),"Missing Date/Time",IFERROR(IF(G1642&lt;F1642,"Discharge Before Arrival","OK"),"Check Format"))</f>
        <v>OK</v>
      </c>
    </row>
    <row r="1643" spans="1:24" x14ac:dyDescent="0.25">
      <c r="A1643" s="2" t="s">
        <v>2390</v>
      </c>
      <c r="B1643" s="2" t="s">
        <v>1464</v>
      </c>
      <c r="D1643" s="3" t="s">
        <v>23</v>
      </c>
      <c r="E1643" s="4">
        <v>45828.631944444445</v>
      </c>
      <c r="F1643" s="4">
        <v>45828.618750000001</v>
      </c>
      <c r="G1643" s="4">
        <v>45828.675000000003</v>
      </c>
      <c r="I1643" s="3" t="s">
        <v>73</v>
      </c>
      <c r="J1643" s="3" t="s">
        <v>2639</v>
      </c>
      <c r="K1643" s="5">
        <v>29</v>
      </c>
      <c r="L1643" s="5">
        <v>33</v>
      </c>
      <c r="M1643" s="3" t="s">
        <v>50</v>
      </c>
      <c r="N1643" t="s">
        <v>69</v>
      </c>
      <c r="O1643" s="5">
        <v>0</v>
      </c>
      <c r="P1643" s="3" t="s">
        <v>80</v>
      </c>
      <c r="Q1643" s="2">
        <v>199.85</v>
      </c>
      <c r="R1643" s="3" t="s">
        <v>26</v>
      </c>
      <c r="S1643">
        <f>COUNTIF(A:A,A1643)</f>
        <v>1</v>
      </c>
      <c r="T1643" t="str">
        <f>IF(OR(H1643="",LOWER(TRIM(H1643&amp;""))="missing",LOWER(TRIM(H1643&amp;""))=""),"Missing/",IFERROR(IF(OR(VALUE(H1643)&lt;0,VALUE(H1643)&gt;110),"Invalid","Valid"),"Check Format"))</f>
        <v>Missing/</v>
      </c>
      <c r="U1643" t="str">
        <f>IF(Raw_Data[[#This Row],[Age_Check]]="Valid",H1643,"")</f>
        <v/>
      </c>
      <c r="V1643" t="str">
        <f>IF(OR(K1643="",UPPER(TRIM(K1643&amp;""))="",LOWER(TRIM(K1643&amp;""))="",LOWER(TRIM(K1643&amp;""))="",LOWER(TRIM(K1643&amp;""))="missing"),"Missing/",IFERROR(IF(VALUE(K1643)&lt;0,"Invalid","Valid"),"Check Format"))</f>
        <v>Valid</v>
      </c>
      <c r="W1643" t="str">
        <f>IF(OR(E1643="",F1643=""),"Missing Date/Time",IFERROR(IF(F1643&gt;E1643,"Arrival After Appointment","OK"),"Check Format"))</f>
        <v>OK</v>
      </c>
      <c r="X1643" t="str">
        <f>IF(OR(F1643="",G1643=""),"Missing Date/Time",IFERROR(IF(G1643&lt;F1643,"Discharge Before Arrival","OK"),"Check Format"))</f>
        <v>OK</v>
      </c>
    </row>
    <row r="1644" spans="1:24" x14ac:dyDescent="0.25">
      <c r="A1644" s="2" t="s">
        <v>2391</v>
      </c>
      <c r="B1644" s="2" t="s">
        <v>1209</v>
      </c>
      <c r="C1644" s="3" t="s">
        <v>46</v>
      </c>
      <c r="D1644" s="3" t="s">
        <v>20</v>
      </c>
      <c r="E1644" s="4">
        <v>45695.402777777781</v>
      </c>
      <c r="F1644" s="4">
        <v>45695.39166666667</v>
      </c>
      <c r="G1644" s="4">
        <v>45695.475694444445</v>
      </c>
      <c r="I1644" s="3" t="s">
        <v>90</v>
      </c>
      <c r="J1644" s="3" t="s">
        <v>67</v>
      </c>
      <c r="K1644" s="5">
        <v>53</v>
      </c>
      <c r="L1644" s="5">
        <v>52</v>
      </c>
      <c r="M1644" s="3" t="s">
        <v>23</v>
      </c>
      <c r="N1644" t="s">
        <v>100</v>
      </c>
      <c r="Q1644" s="2">
        <v>187.48</v>
      </c>
      <c r="R1644" s="3" t="s">
        <v>43</v>
      </c>
      <c r="S1644">
        <f>COUNTIF(A:A,A1644)</f>
        <v>1</v>
      </c>
      <c r="T1644" t="str">
        <f>IF(OR(H1644="",LOWER(TRIM(H1644&amp;""))="missing",LOWER(TRIM(H1644&amp;""))=""),"Missing/",IFERROR(IF(OR(VALUE(H1644)&lt;0,VALUE(H1644)&gt;110),"Invalid","Valid"),"Check Format"))</f>
        <v>Missing/</v>
      </c>
      <c r="U1644" t="str">
        <f>IF(Raw_Data[[#This Row],[Age_Check]]="Valid",H1644,"")</f>
        <v/>
      </c>
      <c r="V1644" t="str">
        <f>IF(OR(K1644="",UPPER(TRIM(K1644&amp;""))="",LOWER(TRIM(K1644&amp;""))="",LOWER(TRIM(K1644&amp;""))="",LOWER(TRIM(K1644&amp;""))="missing"),"Missing/",IFERROR(IF(VALUE(K1644)&lt;0,"Invalid","Valid"),"Check Format"))</f>
        <v>Valid</v>
      </c>
      <c r="W1644" t="str">
        <f>IF(OR(E1644="",F1644=""),"Missing Date/Time",IFERROR(IF(F1644&gt;E1644,"Arrival After Appointment","OK"),"Check Format"))</f>
        <v>OK</v>
      </c>
      <c r="X1644" t="str">
        <f>IF(OR(F1644="",G1644=""),"Missing Date/Time",IFERROR(IF(G1644&lt;F1644,"Discharge Before Arrival","OK"),"Check Format"))</f>
        <v>OK</v>
      </c>
    </row>
    <row r="1645" spans="1:24" x14ac:dyDescent="0.25">
      <c r="A1645" s="2" t="s">
        <v>2392</v>
      </c>
      <c r="B1645" s="2" t="s">
        <v>535</v>
      </c>
      <c r="C1645" s="3" t="s">
        <v>94</v>
      </c>
      <c r="D1645" s="3" t="s">
        <v>72</v>
      </c>
      <c r="E1645" s="4">
        <v>45389.329861111109</v>
      </c>
      <c r="F1645" s="4">
        <v>45389.313194444447</v>
      </c>
      <c r="G1645" s="4">
        <v>45389.345138888886</v>
      </c>
      <c r="I1645" s="3" t="s">
        <v>39</v>
      </c>
      <c r="J1645" s="3" t="s">
        <v>62</v>
      </c>
      <c r="K1645" s="5">
        <v>0</v>
      </c>
      <c r="L1645" s="5">
        <v>22</v>
      </c>
      <c r="M1645" s="3" t="s">
        <v>63</v>
      </c>
      <c r="N1645" t="s">
        <v>100</v>
      </c>
      <c r="O1645" s="5">
        <v>6</v>
      </c>
      <c r="P1645" s="3" t="s">
        <v>42</v>
      </c>
      <c r="Q1645" s="2">
        <v>100.05</v>
      </c>
      <c r="R1645" s="3" t="s">
        <v>26</v>
      </c>
      <c r="S1645">
        <f>COUNTIF(A:A,A1645)</f>
        <v>1</v>
      </c>
      <c r="T1645" t="str">
        <f>IF(OR(H1645="",LOWER(TRIM(H1645&amp;""))="missing",LOWER(TRIM(H1645&amp;""))=""),"Missing/",IFERROR(IF(OR(VALUE(H1645)&lt;0,VALUE(H1645)&gt;110),"Invalid","Valid"),"Check Format"))</f>
        <v>Missing/</v>
      </c>
      <c r="U1645" t="str">
        <f>IF(Raw_Data[[#This Row],[Age_Check]]="Valid",H1645,"")</f>
        <v/>
      </c>
      <c r="V1645" t="str">
        <f>IF(OR(K1645="",UPPER(TRIM(K1645&amp;""))="",LOWER(TRIM(K1645&amp;""))="",LOWER(TRIM(K1645&amp;""))="",LOWER(TRIM(K1645&amp;""))="missing"),"Missing/",IFERROR(IF(VALUE(K1645)&lt;0,"Invalid","Valid"),"Check Format"))</f>
        <v>Valid</v>
      </c>
      <c r="W1645" t="str">
        <f>IF(OR(E1645="",F1645=""),"Missing Date/Time",IFERROR(IF(F1645&gt;E1645,"Arrival After Appointment","OK"),"Check Format"))</f>
        <v>OK</v>
      </c>
      <c r="X1645" t="str">
        <f>IF(OR(F1645="",G1645=""),"Missing Date/Time",IFERROR(IF(G1645&lt;F1645,"Discharge Before Arrival","OK"),"Check Format"))</f>
        <v>OK</v>
      </c>
    </row>
    <row r="1646" spans="1:24" x14ac:dyDescent="0.25">
      <c r="A1646" s="2" t="s">
        <v>2393</v>
      </c>
      <c r="B1646" s="2" t="s">
        <v>1687</v>
      </c>
      <c r="C1646" s="3" t="s">
        <v>46</v>
      </c>
      <c r="D1646" s="3" t="s">
        <v>38</v>
      </c>
      <c r="E1646" s="4">
        <v>45458.684027777781</v>
      </c>
      <c r="F1646" s="4">
        <v>45458.682638888888</v>
      </c>
      <c r="I1646" s="3" t="s">
        <v>95</v>
      </c>
      <c r="J1646" s="3" t="s">
        <v>62</v>
      </c>
      <c r="K1646" s="5">
        <v>74</v>
      </c>
      <c r="L1646" s="5">
        <v>5</v>
      </c>
      <c r="M1646" s="3" t="s">
        <v>87</v>
      </c>
      <c r="N1646" t="s">
        <v>69</v>
      </c>
      <c r="P1646" s="3" t="s">
        <v>80</v>
      </c>
      <c r="Q1646" s="2">
        <v>348.92</v>
      </c>
      <c r="R1646" s="3" t="s">
        <v>58</v>
      </c>
      <c r="S1646">
        <f>COUNTIF(A:A,A1646)</f>
        <v>1</v>
      </c>
      <c r="T1646" t="str">
        <f>IF(OR(H1646="",LOWER(TRIM(H1646&amp;""))="missing",LOWER(TRIM(H1646&amp;""))=""),"Missing/",IFERROR(IF(OR(VALUE(H1646)&lt;0,VALUE(H1646)&gt;110),"Invalid","Valid"),"Check Format"))</f>
        <v>Missing/</v>
      </c>
      <c r="U1646" t="str">
        <f>IF(Raw_Data[[#This Row],[Age_Check]]="Valid",H1646,"")</f>
        <v/>
      </c>
      <c r="V1646" t="str">
        <f>IF(OR(K1646="",UPPER(TRIM(K1646&amp;""))="",LOWER(TRIM(K1646&amp;""))="",LOWER(TRIM(K1646&amp;""))="",LOWER(TRIM(K1646&amp;""))="missing"),"Missing/",IFERROR(IF(VALUE(K1646)&lt;0,"Invalid","Valid"),"Check Format"))</f>
        <v>Valid</v>
      </c>
      <c r="W1646" t="str">
        <f>IF(OR(E1646="",F1646=""),"Missing Date/Time",IFERROR(IF(F1646&gt;E1646,"Arrival After Appointment","OK"),"Check Format"))</f>
        <v>OK</v>
      </c>
      <c r="X1646" t="str">
        <f>IF(OR(F1646="",G1646=""),"Missing Date/Time",IFERROR(IF(G1646&lt;F1646,"Discharge Before Arrival","OK"),"Check Format"))</f>
        <v>Missing Date/Time</v>
      </c>
    </row>
    <row r="1647" spans="1:24" x14ac:dyDescent="0.25">
      <c r="A1647" s="2" t="s">
        <v>2394</v>
      </c>
      <c r="B1647" s="2" t="s">
        <v>1228</v>
      </c>
      <c r="C1647" s="3" t="s">
        <v>46</v>
      </c>
      <c r="D1647" s="3" t="s">
        <v>209</v>
      </c>
      <c r="E1647" s="4">
        <v>45815.739583333336</v>
      </c>
      <c r="F1647" s="4">
        <v>45815.739583333336</v>
      </c>
      <c r="G1647" s="4">
        <v>45815.815972222219</v>
      </c>
      <c r="H1647" s="5">
        <v>145</v>
      </c>
      <c r="J1647" s="3" t="s">
        <v>62</v>
      </c>
      <c r="K1647" s="5">
        <v>76</v>
      </c>
      <c r="L1647" s="5">
        <v>34</v>
      </c>
      <c r="M1647" s="3" t="s">
        <v>63</v>
      </c>
      <c r="N1647" t="s">
        <v>91</v>
      </c>
      <c r="O1647" s="5">
        <v>2</v>
      </c>
      <c r="P1647" s="3" t="s">
        <v>25</v>
      </c>
      <c r="Q1647" s="2">
        <v>239.53</v>
      </c>
      <c r="R1647" s="3" t="s">
        <v>58</v>
      </c>
      <c r="S1647">
        <f>COUNTIF(A:A,A1647)</f>
        <v>1</v>
      </c>
      <c r="T1647" t="str">
        <f>IF(OR(H1647="",LOWER(TRIM(H1647&amp;""))="missing",LOWER(TRIM(H1647&amp;""))=""),"Missing/",IFERROR(IF(OR(VALUE(H1647)&lt;0,VALUE(H1647)&gt;110),"Invalid","Valid"),"Check Format"))</f>
        <v>Invalid</v>
      </c>
      <c r="U1647" t="str">
        <f>IF(Raw_Data[[#This Row],[Age_Check]]="Valid",H1647,"")</f>
        <v/>
      </c>
      <c r="V1647" t="str">
        <f>IF(OR(K1647="",UPPER(TRIM(K1647&amp;""))="",LOWER(TRIM(K1647&amp;""))="",LOWER(TRIM(K1647&amp;""))="",LOWER(TRIM(K1647&amp;""))="missing"),"Missing/",IFERROR(IF(VALUE(K1647)&lt;0,"Invalid","Valid"),"Check Format"))</f>
        <v>Valid</v>
      </c>
      <c r="W1647" t="str">
        <f>IF(OR(E1647="",F1647=""),"Missing Date/Time",IFERROR(IF(F1647&gt;E1647,"Arrival After Appointment","OK"),"Check Format"))</f>
        <v>OK</v>
      </c>
      <c r="X1647" t="str">
        <f>IF(OR(F1647="",G1647=""),"Missing Date/Time",IFERROR(IF(G1647&lt;F1647,"Discharge Before Arrival","OK"),"Check Format"))</f>
        <v>OK</v>
      </c>
    </row>
    <row r="1648" spans="1:24" x14ac:dyDescent="0.25">
      <c r="A1648" s="2" t="s">
        <v>2395</v>
      </c>
      <c r="B1648" s="2" t="s">
        <v>2058</v>
      </c>
      <c r="C1648" s="3" t="s">
        <v>46</v>
      </c>
      <c r="D1648" s="3" t="s">
        <v>30</v>
      </c>
      <c r="E1648" s="4">
        <v>45390.65625</v>
      </c>
      <c r="F1648" s="4">
        <v>45508.638888888891</v>
      </c>
      <c r="I1648" s="3" t="s">
        <v>95</v>
      </c>
      <c r="J1648" s="3" t="s">
        <v>2639</v>
      </c>
      <c r="K1648" s="5">
        <v>140</v>
      </c>
      <c r="L1648" s="5">
        <v>47</v>
      </c>
      <c r="M1648" s="3" t="s">
        <v>41</v>
      </c>
      <c r="N1648" t="s">
        <v>74</v>
      </c>
      <c r="P1648" s="3" t="s">
        <v>42</v>
      </c>
      <c r="R1648" s="3" t="s">
        <v>75</v>
      </c>
      <c r="S1648">
        <f>COUNTIF(A:A,A1648)</f>
        <v>1</v>
      </c>
      <c r="T1648" t="str">
        <f>IF(OR(H1648="",LOWER(TRIM(H1648&amp;""))="missing",LOWER(TRIM(H1648&amp;""))=""),"Missing/",IFERROR(IF(OR(VALUE(H1648)&lt;0,VALUE(H1648)&gt;110),"Invalid","Valid"),"Check Format"))</f>
        <v>Missing/</v>
      </c>
      <c r="U1648" t="str">
        <f>IF(Raw_Data[[#This Row],[Age_Check]]="Valid",H1648,"")</f>
        <v/>
      </c>
      <c r="V1648" t="str">
        <f>IF(OR(K1648="",UPPER(TRIM(K1648&amp;""))="",LOWER(TRIM(K1648&amp;""))="",LOWER(TRIM(K1648&amp;""))="",LOWER(TRIM(K1648&amp;""))="missing"),"Missing/",IFERROR(IF(VALUE(K1648)&lt;0,"Invalid","Valid"),"Check Format"))</f>
        <v>Valid</v>
      </c>
      <c r="W1648" t="str">
        <f>IF(OR(E1648="",F1648=""),"Missing Date/Time",IFERROR(IF(F1648&gt;E1648,"Arrival After Appointment","OK"),"Check Format"))</f>
        <v>Arrival After Appointment</v>
      </c>
      <c r="X1648" t="str">
        <f>IF(OR(F1648="",G1648=""),"Missing Date/Time",IFERROR(IF(G1648&lt;F1648,"Discharge Before Arrival","OK"),"Check Format"))</f>
        <v>Missing Date/Time</v>
      </c>
    </row>
    <row r="1649" spans="1:24" x14ac:dyDescent="0.25">
      <c r="A1649" s="2" t="s">
        <v>2396</v>
      </c>
      <c r="B1649" s="2" t="s">
        <v>407</v>
      </c>
      <c r="C1649" s="3" t="s">
        <v>37</v>
      </c>
      <c r="D1649" s="3" t="s">
        <v>115</v>
      </c>
      <c r="E1649" s="4" t="s">
        <v>2397</v>
      </c>
      <c r="F1649" s="4">
        <v>45736.576388888891</v>
      </c>
      <c r="G1649" s="4">
        <v>45736.673611111109</v>
      </c>
      <c r="H1649" s="5">
        <v>145</v>
      </c>
      <c r="I1649" s="3" t="s">
        <v>39</v>
      </c>
      <c r="J1649" s="3" t="s">
        <v>22</v>
      </c>
      <c r="K1649" s="5">
        <v>91</v>
      </c>
      <c r="L1649" s="5">
        <v>34</v>
      </c>
      <c r="M1649" s="3" t="s">
        <v>41</v>
      </c>
      <c r="N1649" t="s">
        <v>103</v>
      </c>
      <c r="O1649" s="5">
        <v>6</v>
      </c>
      <c r="Q1649" s="2">
        <v>133.68</v>
      </c>
      <c r="R1649" s="3" t="s">
        <v>43</v>
      </c>
      <c r="S1649">
        <f>COUNTIF(A:A,A1649)</f>
        <v>1</v>
      </c>
      <c r="T1649" t="str">
        <f>IF(OR(H1649="",LOWER(TRIM(H1649&amp;""))="missing",LOWER(TRIM(H1649&amp;""))=""),"Missing/",IFERROR(IF(OR(VALUE(H1649)&lt;0,VALUE(H1649)&gt;110),"Invalid","Valid"),"Check Format"))</f>
        <v>Invalid</v>
      </c>
      <c r="U1649" t="str">
        <f>IF(Raw_Data[[#This Row],[Age_Check]]="Valid",H1649,"")</f>
        <v/>
      </c>
      <c r="V1649" t="str">
        <f>IF(OR(K1649="",UPPER(TRIM(K1649&amp;""))="",LOWER(TRIM(K1649&amp;""))="",LOWER(TRIM(K1649&amp;""))="",LOWER(TRIM(K1649&amp;""))="missing"),"Missing/",IFERROR(IF(VALUE(K1649)&lt;0,"Invalid","Valid"),"Check Format"))</f>
        <v>Valid</v>
      </c>
      <c r="W1649" t="str">
        <f>IF(OR(E1649="",F1649=""),"Missing Date/Time",IFERROR(IF(F1649&gt;E1649,"Arrival After Appointment","OK"),"Check Format"))</f>
        <v>OK</v>
      </c>
      <c r="X1649" t="str">
        <f>IF(OR(F1649="",G1649=""),"Missing Date/Time",IFERROR(IF(G1649&lt;F1649,"Discharge Before Arrival","OK"),"Check Format"))</f>
        <v>OK</v>
      </c>
    </row>
    <row r="1650" spans="1:24" x14ac:dyDescent="0.25">
      <c r="A1650" s="2" t="s">
        <v>2398</v>
      </c>
      <c r="B1650" s="2" t="s">
        <v>825</v>
      </c>
      <c r="C1650" s="3" t="s">
        <v>46</v>
      </c>
      <c r="D1650" s="3" t="s">
        <v>66</v>
      </c>
      <c r="E1650" s="4">
        <v>45444.402777777781</v>
      </c>
      <c r="F1650" s="4">
        <v>45297.384027777778</v>
      </c>
      <c r="G1650" s="4">
        <v>45297.443055555559</v>
      </c>
      <c r="H1650" s="5">
        <v>45</v>
      </c>
      <c r="I1650" s="3" t="s">
        <v>73</v>
      </c>
      <c r="K1650" s="5">
        <v>41</v>
      </c>
      <c r="L1650" s="5">
        <v>17</v>
      </c>
      <c r="O1650" s="5">
        <v>1</v>
      </c>
      <c r="P1650" s="3" t="s">
        <v>80</v>
      </c>
      <c r="Q1650" s="2">
        <v>90.04</v>
      </c>
      <c r="R1650" s="3" t="s">
        <v>43</v>
      </c>
      <c r="S1650">
        <f>COUNTIF(A:A,A1650)</f>
        <v>1</v>
      </c>
      <c r="T1650" t="str">
        <f>IF(OR(H1650="",LOWER(TRIM(H1650&amp;""))="missing",LOWER(TRIM(H1650&amp;""))=""),"Missing/",IFERROR(IF(OR(VALUE(H1650)&lt;0,VALUE(H1650)&gt;110),"Invalid","Valid"),"Check Format"))</f>
        <v>Valid</v>
      </c>
      <c r="U1650">
        <f>IF(Raw_Data[[#This Row],[Age_Check]]="Valid",H1650,"")</f>
        <v>45</v>
      </c>
      <c r="V1650" t="str">
        <f>IF(OR(K1650="",UPPER(TRIM(K1650&amp;""))="",LOWER(TRIM(K1650&amp;""))="",LOWER(TRIM(K1650&amp;""))="",LOWER(TRIM(K1650&amp;""))="missing"),"Missing/",IFERROR(IF(VALUE(K1650)&lt;0,"Invalid","Valid"),"Check Format"))</f>
        <v>Valid</v>
      </c>
      <c r="W1650" t="str">
        <f>IF(OR(E1650="",F1650=""),"Missing Date/Time",IFERROR(IF(F1650&gt;E1650,"Arrival After Appointment","OK"),"Check Format"))</f>
        <v>OK</v>
      </c>
      <c r="X1650" t="str">
        <f>IF(OR(F1650="",G1650=""),"Missing Date/Time",IFERROR(IF(G1650&lt;F1650,"Discharge Before Arrival","OK"),"Check Format"))</f>
        <v>OK</v>
      </c>
    </row>
    <row r="1651" spans="1:24" x14ac:dyDescent="0.25">
      <c r="A1651" s="2" t="s">
        <v>2399</v>
      </c>
      <c r="B1651" s="2" t="s">
        <v>526</v>
      </c>
      <c r="C1651" s="3" t="s">
        <v>19</v>
      </c>
      <c r="D1651" s="3" t="s">
        <v>99</v>
      </c>
      <c r="E1651" s="4">
        <v>45350.621527777781</v>
      </c>
      <c r="F1651" s="4">
        <v>45350.60833333333</v>
      </c>
      <c r="G1651" s="4">
        <v>45350.649305555555</v>
      </c>
      <c r="I1651" s="3" t="s">
        <v>95</v>
      </c>
      <c r="J1651" s="3" t="s">
        <v>2639</v>
      </c>
      <c r="K1651" s="5">
        <v>10</v>
      </c>
      <c r="L1651" s="5">
        <v>30</v>
      </c>
      <c r="M1651" s="3" t="s">
        <v>41</v>
      </c>
      <c r="N1651" t="s">
        <v>74</v>
      </c>
      <c r="P1651" s="3" t="s">
        <v>25</v>
      </c>
      <c r="Q1651" s="2">
        <v>10.23</v>
      </c>
      <c r="R1651" s="3" t="s">
        <v>43</v>
      </c>
      <c r="S1651">
        <f>COUNTIF(A:A,A1651)</f>
        <v>1</v>
      </c>
      <c r="T1651" t="str">
        <f>IF(OR(H1651="",LOWER(TRIM(H1651&amp;""))="missing",LOWER(TRIM(H1651&amp;""))=""),"Missing/",IFERROR(IF(OR(VALUE(H1651)&lt;0,VALUE(H1651)&gt;110),"Invalid","Valid"),"Check Format"))</f>
        <v>Missing/</v>
      </c>
      <c r="U1651" t="str">
        <f>IF(Raw_Data[[#This Row],[Age_Check]]="Valid",H1651,"")</f>
        <v/>
      </c>
      <c r="V1651" t="str">
        <f>IF(OR(K1651="",UPPER(TRIM(K1651&amp;""))="",LOWER(TRIM(K1651&amp;""))="",LOWER(TRIM(K1651&amp;""))="",LOWER(TRIM(K1651&amp;""))="missing"),"Missing/",IFERROR(IF(VALUE(K1651)&lt;0,"Invalid","Valid"),"Check Format"))</f>
        <v>Valid</v>
      </c>
      <c r="W1651" t="str">
        <f>IF(OR(E1651="",F1651=""),"Missing Date/Time",IFERROR(IF(F1651&gt;E1651,"Arrival After Appointment","OK"),"Check Format"))</f>
        <v>OK</v>
      </c>
      <c r="X1651" t="str">
        <f>IF(OR(F1651="",G1651=""),"Missing Date/Time",IFERROR(IF(G1651&lt;F1651,"Discharge Before Arrival","OK"),"Check Format"))</f>
        <v>OK</v>
      </c>
    </row>
    <row r="1652" spans="1:24" x14ac:dyDescent="0.25">
      <c r="A1652" s="2" t="s">
        <v>2400</v>
      </c>
      <c r="B1652" s="2" t="s">
        <v>1417</v>
      </c>
      <c r="C1652" s="3" t="s">
        <v>37</v>
      </c>
      <c r="D1652" s="3" t="s">
        <v>174</v>
      </c>
      <c r="E1652" s="4">
        <v>45580.458333333336</v>
      </c>
      <c r="F1652" s="4">
        <v>45580.445833333331</v>
      </c>
      <c r="G1652" s="4">
        <v>45580.524305555555</v>
      </c>
      <c r="J1652" s="3" t="s">
        <v>2639</v>
      </c>
      <c r="K1652" s="5">
        <v>64</v>
      </c>
      <c r="L1652" s="5">
        <v>31</v>
      </c>
      <c r="M1652" s="3" t="s">
        <v>87</v>
      </c>
      <c r="N1652" t="s">
        <v>24</v>
      </c>
      <c r="O1652" s="5">
        <v>6</v>
      </c>
      <c r="P1652" s="3" t="s">
        <v>80</v>
      </c>
      <c r="Q1652" s="2">
        <v>156.75</v>
      </c>
      <c r="R1652" s="3" t="s">
        <v>58</v>
      </c>
      <c r="S1652">
        <f>COUNTIF(A:A,A1652)</f>
        <v>1</v>
      </c>
      <c r="T1652" t="str">
        <f>IF(OR(H1652="",LOWER(TRIM(H1652&amp;""))="missing",LOWER(TRIM(H1652&amp;""))=""),"Missing/",IFERROR(IF(OR(VALUE(H1652)&lt;0,VALUE(H1652)&gt;110),"Invalid","Valid"),"Check Format"))</f>
        <v>Missing/</v>
      </c>
      <c r="U1652" t="str">
        <f>IF(Raw_Data[[#This Row],[Age_Check]]="Valid",H1652,"")</f>
        <v/>
      </c>
      <c r="V1652" t="str">
        <f>IF(OR(K1652="",UPPER(TRIM(K1652&amp;""))="",LOWER(TRIM(K1652&amp;""))="",LOWER(TRIM(K1652&amp;""))="",LOWER(TRIM(K1652&amp;""))="missing"),"Missing/",IFERROR(IF(VALUE(K1652)&lt;0,"Invalid","Valid"),"Check Format"))</f>
        <v>Valid</v>
      </c>
      <c r="W1652" t="str">
        <f>IF(OR(E1652="",F1652=""),"Missing Date/Time",IFERROR(IF(F1652&gt;E1652,"Arrival After Appointment","OK"),"Check Format"))</f>
        <v>OK</v>
      </c>
      <c r="X1652" t="str">
        <f>IF(OR(F1652="",G1652=""),"Missing Date/Time",IFERROR(IF(G1652&lt;F1652,"Discharge Before Arrival","OK"),"Check Format"))</f>
        <v>OK</v>
      </c>
    </row>
    <row r="1653" spans="1:24" x14ac:dyDescent="0.25">
      <c r="A1653" s="2" t="s">
        <v>2401</v>
      </c>
      <c r="B1653" s="2" t="s">
        <v>1622</v>
      </c>
      <c r="C1653" s="3" t="s">
        <v>46</v>
      </c>
      <c r="D1653" s="3" t="s">
        <v>115</v>
      </c>
      <c r="E1653" s="4">
        <v>45601.701388888891</v>
      </c>
      <c r="F1653" s="4">
        <v>45423.695833333331</v>
      </c>
      <c r="G1653" s="4">
        <v>45423.788888888892</v>
      </c>
      <c r="I1653" s="3" t="s">
        <v>73</v>
      </c>
      <c r="J1653" s="3" t="s">
        <v>67</v>
      </c>
      <c r="K1653" s="5">
        <v>39</v>
      </c>
      <c r="L1653" s="5">
        <v>87</v>
      </c>
      <c r="M1653" s="3" t="s">
        <v>41</v>
      </c>
      <c r="O1653" s="5">
        <v>1</v>
      </c>
      <c r="P1653" s="3" t="s">
        <v>25</v>
      </c>
      <c r="Q1653" s="2">
        <v>253.81</v>
      </c>
      <c r="R1653" s="3" t="s">
        <v>43</v>
      </c>
      <c r="S1653">
        <f>COUNTIF(A:A,A1653)</f>
        <v>1</v>
      </c>
      <c r="T1653" t="str">
        <f>IF(OR(H1653="",LOWER(TRIM(H1653&amp;""))="missing",LOWER(TRIM(H1653&amp;""))=""),"Missing/",IFERROR(IF(OR(VALUE(H1653)&lt;0,VALUE(H1653)&gt;110),"Invalid","Valid"),"Check Format"))</f>
        <v>Missing/</v>
      </c>
      <c r="U1653" t="str">
        <f>IF(Raw_Data[[#This Row],[Age_Check]]="Valid",H1653,"")</f>
        <v/>
      </c>
      <c r="V1653" t="str">
        <f>IF(OR(K1653="",UPPER(TRIM(K1653&amp;""))="",LOWER(TRIM(K1653&amp;""))="",LOWER(TRIM(K1653&amp;""))="",LOWER(TRIM(K1653&amp;""))="missing"),"Missing/",IFERROR(IF(VALUE(K1653)&lt;0,"Invalid","Valid"),"Check Format"))</f>
        <v>Valid</v>
      </c>
      <c r="W1653" t="str">
        <f>IF(OR(E1653="",F1653=""),"Missing Date/Time",IFERROR(IF(F1653&gt;E1653,"Arrival After Appointment","OK"),"Check Format"))</f>
        <v>OK</v>
      </c>
      <c r="X1653" t="str">
        <f>IF(OR(F1653="",G1653=""),"Missing Date/Time",IFERROR(IF(G1653&lt;F1653,"Discharge Before Arrival","OK"),"Check Format"))</f>
        <v>OK</v>
      </c>
    </row>
    <row r="1654" spans="1:24" x14ac:dyDescent="0.25">
      <c r="A1654" s="2" t="s">
        <v>2402</v>
      </c>
      <c r="B1654" s="2" t="s">
        <v>102</v>
      </c>
      <c r="C1654" s="3" t="s">
        <v>37</v>
      </c>
      <c r="D1654" s="3" t="s">
        <v>61</v>
      </c>
      <c r="E1654" s="4">
        <v>45345.597222222219</v>
      </c>
      <c r="F1654" s="4">
        <v>45345.581944444442</v>
      </c>
      <c r="I1654" s="3" t="s">
        <v>95</v>
      </c>
      <c r="J1654" s="3" t="s">
        <v>22</v>
      </c>
      <c r="K1654" s="5">
        <v>14</v>
      </c>
      <c r="L1654" s="5">
        <v>36</v>
      </c>
      <c r="M1654" s="3" t="s">
        <v>87</v>
      </c>
      <c r="N1654" t="s">
        <v>24</v>
      </c>
      <c r="O1654" s="5">
        <v>0</v>
      </c>
      <c r="P1654" s="3" t="s">
        <v>25</v>
      </c>
      <c r="Q1654" s="2">
        <v>96.36</v>
      </c>
      <c r="R1654" s="3" t="s">
        <v>26</v>
      </c>
      <c r="S1654">
        <f>COUNTIF(A:A,A1654)</f>
        <v>1</v>
      </c>
      <c r="T1654" t="str">
        <f>IF(OR(H1654="",LOWER(TRIM(H1654&amp;""))="missing",LOWER(TRIM(H1654&amp;""))=""),"Missing/",IFERROR(IF(OR(VALUE(H1654)&lt;0,VALUE(H1654)&gt;110),"Invalid","Valid"),"Check Format"))</f>
        <v>Missing/</v>
      </c>
      <c r="U1654" t="str">
        <f>IF(Raw_Data[[#This Row],[Age_Check]]="Valid",H1654,"")</f>
        <v/>
      </c>
      <c r="V1654" t="str">
        <f>IF(OR(K1654="",UPPER(TRIM(K1654&amp;""))="",LOWER(TRIM(K1654&amp;""))="",LOWER(TRIM(K1654&amp;""))="",LOWER(TRIM(K1654&amp;""))="missing"),"Missing/",IFERROR(IF(VALUE(K1654)&lt;0,"Invalid","Valid"),"Check Format"))</f>
        <v>Valid</v>
      </c>
      <c r="W1654" t="str">
        <f>IF(OR(E1654="",F1654=""),"Missing Date/Time",IFERROR(IF(F1654&gt;E1654,"Arrival After Appointment","OK"),"Check Format"))</f>
        <v>OK</v>
      </c>
      <c r="X1654" t="str">
        <f>IF(OR(F1654="",G1654=""),"Missing Date/Time",IFERROR(IF(G1654&lt;F1654,"Discharge Before Arrival","OK"),"Check Format"))</f>
        <v>Missing Date/Time</v>
      </c>
    </row>
    <row r="1655" spans="1:24" x14ac:dyDescent="0.25">
      <c r="A1655" s="2" t="s">
        <v>2403</v>
      </c>
      <c r="B1655" s="2" t="s">
        <v>813</v>
      </c>
      <c r="C1655" s="3" t="s">
        <v>94</v>
      </c>
      <c r="D1655" s="3" t="s">
        <v>174</v>
      </c>
      <c r="E1655" s="4">
        <v>45363.732638888891</v>
      </c>
      <c r="F1655" s="4">
        <v>45629.711805555555</v>
      </c>
      <c r="I1655" s="3" t="s">
        <v>95</v>
      </c>
      <c r="J1655" s="3" t="s">
        <v>2639</v>
      </c>
      <c r="K1655" s="5">
        <v>22</v>
      </c>
      <c r="L1655" s="5">
        <v>7</v>
      </c>
      <c r="M1655" s="3" t="s">
        <v>87</v>
      </c>
      <c r="N1655" t="s">
        <v>103</v>
      </c>
      <c r="O1655" s="5">
        <v>4</v>
      </c>
      <c r="P1655" s="3" t="s">
        <v>80</v>
      </c>
      <c r="R1655" s="3" t="s">
        <v>58</v>
      </c>
      <c r="S1655">
        <f>COUNTIF(A:A,A1655)</f>
        <v>1</v>
      </c>
      <c r="T1655" t="str">
        <f>IF(OR(H1655="",LOWER(TRIM(H1655&amp;""))="missing",LOWER(TRIM(H1655&amp;""))=""),"Missing/",IFERROR(IF(OR(VALUE(H1655)&lt;0,VALUE(H1655)&gt;110),"Invalid","Valid"),"Check Format"))</f>
        <v>Missing/</v>
      </c>
      <c r="U1655" t="str">
        <f>IF(Raw_Data[[#This Row],[Age_Check]]="Valid",H1655,"")</f>
        <v/>
      </c>
      <c r="V1655" t="str">
        <f>IF(OR(K1655="",UPPER(TRIM(K1655&amp;""))="",LOWER(TRIM(K1655&amp;""))="",LOWER(TRIM(K1655&amp;""))="",LOWER(TRIM(K1655&amp;""))="missing"),"Missing/",IFERROR(IF(VALUE(K1655)&lt;0,"Invalid","Valid"),"Check Format"))</f>
        <v>Valid</v>
      </c>
      <c r="W1655" t="str">
        <f>IF(OR(E1655="",F1655=""),"Missing Date/Time",IFERROR(IF(F1655&gt;E1655,"Arrival After Appointment","OK"),"Check Format"))</f>
        <v>Arrival After Appointment</v>
      </c>
      <c r="X1655" t="str">
        <f>IF(OR(F1655="",G1655=""),"Missing Date/Time",IFERROR(IF(G1655&lt;F1655,"Discharge Before Arrival","OK"),"Check Format"))</f>
        <v>Missing Date/Time</v>
      </c>
    </row>
    <row r="1656" spans="1:24" x14ac:dyDescent="0.25">
      <c r="A1656" s="2" t="s">
        <v>2404</v>
      </c>
      <c r="B1656" s="2" t="s">
        <v>1589</v>
      </c>
      <c r="C1656" s="3" t="s">
        <v>46</v>
      </c>
      <c r="D1656" s="3" t="s">
        <v>30</v>
      </c>
      <c r="E1656" s="4">
        <v>45507.659722222219</v>
      </c>
      <c r="G1656" s="4">
        <v>45507.723611111112</v>
      </c>
      <c r="H1656" s="5">
        <v>31</v>
      </c>
      <c r="I1656" s="3" t="s">
        <v>95</v>
      </c>
      <c r="J1656" s="3" t="s">
        <v>171</v>
      </c>
      <c r="K1656" s="5">
        <v>73</v>
      </c>
      <c r="L1656" s="5">
        <v>19</v>
      </c>
      <c r="M1656" s="3" t="s">
        <v>87</v>
      </c>
      <c r="N1656" t="s">
        <v>69</v>
      </c>
      <c r="P1656" s="3" t="s">
        <v>25</v>
      </c>
      <c r="Q1656" s="2">
        <v>222.43</v>
      </c>
      <c r="R1656" s="3" t="s">
        <v>58</v>
      </c>
      <c r="S1656">
        <f>COUNTIF(A:A,A1656)</f>
        <v>1</v>
      </c>
      <c r="T1656" t="str">
        <f>IF(OR(H1656="",LOWER(TRIM(H1656&amp;""))="missing",LOWER(TRIM(H1656&amp;""))=""),"Missing/",IFERROR(IF(OR(VALUE(H1656)&lt;0,VALUE(H1656)&gt;110),"Invalid","Valid"),"Check Format"))</f>
        <v>Valid</v>
      </c>
      <c r="U1656">
        <f>IF(Raw_Data[[#This Row],[Age_Check]]="Valid",H1656,"")</f>
        <v>31</v>
      </c>
      <c r="V1656" t="str">
        <f>IF(OR(K1656="",UPPER(TRIM(K1656&amp;""))="",LOWER(TRIM(K1656&amp;""))="",LOWER(TRIM(K1656&amp;""))="",LOWER(TRIM(K1656&amp;""))="missing"),"Missing/",IFERROR(IF(VALUE(K1656)&lt;0,"Invalid","Valid"),"Check Format"))</f>
        <v>Valid</v>
      </c>
      <c r="W1656" t="str">
        <f>IF(OR(E1656="",F1656=""),"Missing Date/Time",IFERROR(IF(F1656&gt;E1656,"Arrival After Appointment","OK"),"Check Format"))</f>
        <v>Missing Date/Time</v>
      </c>
      <c r="X1656" t="str">
        <f>IF(OR(F1656="",G1656=""),"Missing Date/Time",IFERROR(IF(G1656&lt;F1656,"Discharge Before Arrival","OK"),"Check Format"))</f>
        <v>Missing Date/Time</v>
      </c>
    </row>
    <row r="1657" spans="1:24" x14ac:dyDescent="0.25">
      <c r="A1657" s="2" t="s">
        <v>2405</v>
      </c>
      <c r="B1657" s="2" t="s">
        <v>1254</v>
      </c>
      <c r="C1657" s="3" t="s">
        <v>94</v>
      </c>
      <c r="D1657" s="3" t="s">
        <v>20</v>
      </c>
      <c r="E1657" s="4">
        <v>45866.486111111109</v>
      </c>
      <c r="F1657" s="4">
        <v>45866.484722222223</v>
      </c>
      <c r="G1657" s="4">
        <v>45866.588888888888</v>
      </c>
      <c r="J1657" s="3" t="s">
        <v>67</v>
      </c>
      <c r="K1657" s="5">
        <v>92</v>
      </c>
      <c r="L1657" s="5">
        <v>56</v>
      </c>
      <c r="M1657" s="3" t="s">
        <v>23</v>
      </c>
      <c r="N1657" t="s">
        <v>24</v>
      </c>
      <c r="O1657" s="5">
        <v>0</v>
      </c>
      <c r="P1657" s="3" t="s">
        <v>80</v>
      </c>
      <c r="Q1657" s="2">
        <v>76.81</v>
      </c>
      <c r="R1657" s="3" t="s">
        <v>43</v>
      </c>
      <c r="S1657">
        <f>COUNTIF(A:A,A1657)</f>
        <v>1</v>
      </c>
      <c r="T1657" t="str">
        <f>IF(OR(H1657="",LOWER(TRIM(H1657&amp;""))="missing",LOWER(TRIM(H1657&amp;""))=""),"Missing/",IFERROR(IF(OR(VALUE(H1657)&lt;0,VALUE(H1657)&gt;110),"Invalid","Valid"),"Check Format"))</f>
        <v>Missing/</v>
      </c>
      <c r="U1657" t="str">
        <f>IF(Raw_Data[[#This Row],[Age_Check]]="Valid",H1657,"")</f>
        <v/>
      </c>
      <c r="V1657" t="str">
        <f>IF(OR(K1657="",UPPER(TRIM(K1657&amp;""))="",LOWER(TRIM(K1657&amp;""))="",LOWER(TRIM(K1657&amp;""))="",LOWER(TRIM(K1657&amp;""))="missing"),"Missing/",IFERROR(IF(VALUE(K1657)&lt;0,"Invalid","Valid"),"Check Format"))</f>
        <v>Valid</v>
      </c>
      <c r="W1657" t="str">
        <f>IF(OR(E1657="",F1657=""),"Missing Date/Time",IFERROR(IF(F1657&gt;E1657,"Arrival After Appointment","OK"),"Check Format"))</f>
        <v>OK</v>
      </c>
      <c r="X1657" t="str">
        <f>IF(OR(F1657="",G1657=""),"Missing Date/Time",IFERROR(IF(G1657&lt;F1657,"Discharge Before Arrival","OK"),"Check Format"))</f>
        <v>OK</v>
      </c>
    </row>
    <row r="1658" spans="1:24" x14ac:dyDescent="0.25">
      <c r="A1658" s="2" t="s">
        <v>2406</v>
      </c>
      <c r="B1658" s="2" t="s">
        <v>813</v>
      </c>
      <c r="C1658" s="3" t="s">
        <v>29</v>
      </c>
      <c r="D1658" s="3" t="s">
        <v>149</v>
      </c>
      <c r="E1658" s="4" t="s">
        <v>2407</v>
      </c>
      <c r="F1658" s="4">
        <v>45919.401388888888</v>
      </c>
      <c r="G1658" s="4">
        <v>45919.497916666667</v>
      </c>
      <c r="H1658" s="5">
        <v>145</v>
      </c>
      <c r="J1658" s="3" t="s">
        <v>2639</v>
      </c>
      <c r="K1658" s="5">
        <v>74</v>
      </c>
      <c r="L1658" s="5">
        <v>43</v>
      </c>
      <c r="M1658" s="3" t="s">
        <v>41</v>
      </c>
      <c r="N1658" t="s">
        <v>24</v>
      </c>
      <c r="O1658" s="5">
        <v>6</v>
      </c>
      <c r="Q1658" s="2">
        <v>107.07</v>
      </c>
      <c r="R1658" s="3" t="s">
        <v>43</v>
      </c>
      <c r="S1658">
        <f>COUNTIF(A:A,A1658)</f>
        <v>1</v>
      </c>
      <c r="T1658" t="str">
        <f>IF(OR(H1658="",LOWER(TRIM(H1658&amp;""))="missing",LOWER(TRIM(H1658&amp;""))=""),"Missing/",IFERROR(IF(OR(VALUE(H1658)&lt;0,VALUE(H1658)&gt;110),"Invalid","Valid"),"Check Format"))</f>
        <v>Invalid</v>
      </c>
      <c r="U1658" t="str">
        <f>IF(Raw_Data[[#This Row],[Age_Check]]="Valid",H1658,"")</f>
        <v/>
      </c>
      <c r="V1658" t="str">
        <f>IF(OR(K1658="",UPPER(TRIM(K1658&amp;""))="",LOWER(TRIM(K1658&amp;""))="",LOWER(TRIM(K1658&amp;""))="",LOWER(TRIM(K1658&amp;""))="missing"),"Missing/",IFERROR(IF(VALUE(K1658)&lt;0,"Invalid","Valid"),"Check Format"))</f>
        <v>Valid</v>
      </c>
      <c r="W1658" t="str">
        <f>IF(OR(E1658="",F1658=""),"Missing Date/Time",IFERROR(IF(F1658&gt;E1658,"Arrival After Appointment","OK"),"Check Format"))</f>
        <v>OK</v>
      </c>
      <c r="X1658" t="str">
        <f>IF(OR(F1658="",G1658=""),"Missing Date/Time",IFERROR(IF(G1658&lt;F1658,"Discharge Before Arrival","OK"),"Check Format"))</f>
        <v>OK</v>
      </c>
    </row>
    <row r="1659" spans="1:24" x14ac:dyDescent="0.25">
      <c r="A1659" s="2" t="s">
        <v>2408</v>
      </c>
      <c r="B1659" s="2" t="s">
        <v>204</v>
      </c>
      <c r="C1659" s="3" t="s">
        <v>46</v>
      </c>
      <c r="D1659" s="3" t="s">
        <v>106</v>
      </c>
      <c r="E1659" s="4" t="s">
        <v>2409</v>
      </c>
      <c r="F1659" s="4">
        <v>45552.693749999999</v>
      </c>
      <c r="G1659" s="4">
        <v>45552.760416666664</v>
      </c>
      <c r="I1659" s="3" t="s">
        <v>95</v>
      </c>
      <c r="J1659" s="3" t="s">
        <v>62</v>
      </c>
      <c r="K1659" s="5">
        <v>30</v>
      </c>
      <c r="L1659" s="5">
        <v>60</v>
      </c>
      <c r="M1659" s="3" t="s">
        <v>63</v>
      </c>
      <c r="O1659" s="5">
        <v>6</v>
      </c>
      <c r="P1659" s="3" t="s">
        <v>80</v>
      </c>
      <c r="Q1659" s="2">
        <v>163.19999999999999</v>
      </c>
      <c r="R1659" s="3" t="s">
        <v>58</v>
      </c>
      <c r="S1659">
        <f>COUNTIF(A:A,A1659)</f>
        <v>1</v>
      </c>
      <c r="T1659" t="str">
        <f>IF(OR(H1659="",LOWER(TRIM(H1659&amp;""))="missing",LOWER(TRIM(H1659&amp;""))=""),"Missing/",IFERROR(IF(OR(VALUE(H1659)&lt;0,VALUE(H1659)&gt;110),"Invalid","Valid"),"Check Format"))</f>
        <v>Missing/</v>
      </c>
      <c r="U1659" t="str">
        <f>IF(Raw_Data[[#This Row],[Age_Check]]="Valid",H1659,"")</f>
        <v/>
      </c>
      <c r="V1659" t="str">
        <f>IF(OR(K1659="",UPPER(TRIM(K1659&amp;""))="",LOWER(TRIM(K1659&amp;""))="",LOWER(TRIM(K1659&amp;""))="",LOWER(TRIM(K1659&amp;""))="missing"),"Missing/",IFERROR(IF(VALUE(K1659)&lt;0,"Invalid","Valid"),"Check Format"))</f>
        <v>Valid</v>
      </c>
      <c r="W1659" t="str">
        <f>IF(OR(E1659="",F1659=""),"Missing Date/Time",IFERROR(IF(F1659&gt;E1659,"Arrival After Appointment","OK"),"Check Format"))</f>
        <v>OK</v>
      </c>
      <c r="X1659" t="str">
        <f>IF(OR(F1659="",G1659=""),"Missing Date/Time",IFERROR(IF(G1659&lt;F1659,"Discharge Before Arrival","OK"),"Check Format"))</f>
        <v>OK</v>
      </c>
    </row>
    <row r="1660" spans="1:24" x14ac:dyDescent="0.25">
      <c r="A1660" s="2" t="s">
        <v>2410</v>
      </c>
      <c r="B1660" s="2" t="s">
        <v>451</v>
      </c>
      <c r="C1660" s="3" t="s">
        <v>46</v>
      </c>
      <c r="D1660" s="3" t="s">
        <v>20</v>
      </c>
      <c r="E1660" s="4">
        <v>45636.690972222219</v>
      </c>
      <c r="F1660" s="4">
        <v>45636.674305555556</v>
      </c>
      <c r="G1660" s="4">
        <v>45636.758333333331</v>
      </c>
      <c r="I1660" s="3" t="s">
        <v>73</v>
      </c>
      <c r="J1660" s="3" t="s">
        <v>62</v>
      </c>
      <c r="K1660" s="5">
        <v>80</v>
      </c>
      <c r="L1660" s="5">
        <v>17</v>
      </c>
      <c r="O1660" s="5">
        <v>5</v>
      </c>
      <c r="P1660" s="3" t="s">
        <v>25</v>
      </c>
      <c r="Q1660" s="2">
        <v>47.46</v>
      </c>
      <c r="R1660" s="3" t="s">
        <v>58</v>
      </c>
      <c r="S1660">
        <f>COUNTIF(A:A,A1660)</f>
        <v>1</v>
      </c>
      <c r="T1660" t="str">
        <f>IF(OR(H1660="",LOWER(TRIM(H1660&amp;""))="missing",LOWER(TRIM(H1660&amp;""))=""),"Missing/",IFERROR(IF(OR(VALUE(H1660)&lt;0,VALUE(H1660)&gt;110),"Invalid","Valid"),"Check Format"))</f>
        <v>Missing/</v>
      </c>
      <c r="U1660" t="str">
        <f>IF(Raw_Data[[#This Row],[Age_Check]]="Valid",H1660,"")</f>
        <v/>
      </c>
      <c r="V1660" t="str">
        <f>IF(OR(K1660="",UPPER(TRIM(K1660&amp;""))="",LOWER(TRIM(K1660&amp;""))="",LOWER(TRIM(K1660&amp;""))="",LOWER(TRIM(K1660&amp;""))="missing"),"Missing/",IFERROR(IF(VALUE(K1660)&lt;0,"Invalid","Valid"),"Check Format"))</f>
        <v>Valid</v>
      </c>
      <c r="W1660" t="str">
        <f>IF(OR(E1660="",F1660=""),"Missing Date/Time",IFERROR(IF(F1660&gt;E1660,"Arrival After Appointment","OK"),"Check Format"))</f>
        <v>OK</v>
      </c>
      <c r="X1660" t="str">
        <f>IF(OR(F1660="",G1660=""),"Missing Date/Time",IFERROR(IF(G1660&lt;F1660,"Discharge Before Arrival","OK"),"Check Format"))</f>
        <v>OK</v>
      </c>
    </row>
    <row r="1661" spans="1:24" x14ac:dyDescent="0.25">
      <c r="A1661" s="2" t="s">
        <v>2411</v>
      </c>
      <c r="B1661" s="2" t="s">
        <v>957</v>
      </c>
      <c r="C1661" s="3" t="s">
        <v>94</v>
      </c>
      <c r="D1661" s="3" t="s">
        <v>209</v>
      </c>
      <c r="E1661" s="4">
        <v>45613.572916666664</v>
      </c>
      <c r="F1661" s="4">
        <v>45613.553472222222</v>
      </c>
      <c r="G1661" s="4">
        <v>45613.619444444441</v>
      </c>
      <c r="I1661" s="3" t="s">
        <v>73</v>
      </c>
      <c r="J1661" s="3" t="s">
        <v>22</v>
      </c>
      <c r="K1661" s="5">
        <v>38</v>
      </c>
      <c r="L1661" s="5">
        <v>29</v>
      </c>
      <c r="M1661" s="3" t="s">
        <v>23</v>
      </c>
      <c r="N1661" t="s">
        <v>69</v>
      </c>
      <c r="O1661" s="5">
        <v>5</v>
      </c>
      <c r="P1661" s="3" t="s">
        <v>80</v>
      </c>
      <c r="Q1661" s="2">
        <v>59.86</v>
      </c>
      <c r="R1661" s="3" t="s">
        <v>58</v>
      </c>
      <c r="S1661">
        <f>COUNTIF(A:A,A1661)</f>
        <v>1</v>
      </c>
      <c r="T1661" t="str">
        <f>IF(OR(H1661="",LOWER(TRIM(H1661&amp;""))="missing",LOWER(TRIM(H1661&amp;""))=""),"Missing/",IFERROR(IF(OR(VALUE(H1661)&lt;0,VALUE(H1661)&gt;110),"Invalid","Valid"),"Check Format"))</f>
        <v>Missing/</v>
      </c>
      <c r="U1661" t="str">
        <f>IF(Raw_Data[[#This Row],[Age_Check]]="Valid",H1661,"")</f>
        <v/>
      </c>
      <c r="V1661" t="str">
        <f>IF(OR(K1661="",UPPER(TRIM(K1661&amp;""))="",LOWER(TRIM(K1661&amp;""))="",LOWER(TRIM(K1661&amp;""))="",LOWER(TRIM(K1661&amp;""))="missing"),"Missing/",IFERROR(IF(VALUE(K1661)&lt;0,"Invalid","Valid"),"Check Format"))</f>
        <v>Valid</v>
      </c>
      <c r="W1661" t="str">
        <f>IF(OR(E1661="",F1661=""),"Missing Date/Time",IFERROR(IF(F1661&gt;E1661,"Arrival After Appointment","OK"),"Check Format"))</f>
        <v>OK</v>
      </c>
      <c r="X1661" t="str">
        <f>IF(OR(F1661="",G1661=""),"Missing Date/Time",IFERROR(IF(G1661&lt;F1661,"Discharge Before Arrival","OK"),"Check Format"))</f>
        <v>OK</v>
      </c>
    </row>
    <row r="1662" spans="1:24" x14ac:dyDescent="0.25">
      <c r="A1662" s="2" t="s">
        <v>2412</v>
      </c>
      <c r="B1662" s="2" t="s">
        <v>784</v>
      </c>
      <c r="C1662" s="3" t="s">
        <v>94</v>
      </c>
      <c r="D1662" s="3" t="s">
        <v>115</v>
      </c>
      <c r="E1662" s="4">
        <v>45629.333333333336</v>
      </c>
      <c r="F1662" s="4">
        <v>45363.313194444447</v>
      </c>
      <c r="I1662" s="3" t="s">
        <v>73</v>
      </c>
      <c r="J1662" s="3" t="s">
        <v>22</v>
      </c>
      <c r="K1662" s="5">
        <v>57</v>
      </c>
      <c r="L1662" s="5">
        <v>5</v>
      </c>
      <c r="M1662" s="3" t="s">
        <v>68</v>
      </c>
      <c r="O1662" s="5">
        <v>5</v>
      </c>
      <c r="Q1662" s="2">
        <v>55.4</v>
      </c>
      <c r="R1662" s="3" t="s">
        <v>58</v>
      </c>
      <c r="S1662">
        <f>COUNTIF(A:A,A1662)</f>
        <v>1</v>
      </c>
      <c r="T1662" t="str">
        <f>IF(OR(H1662="",LOWER(TRIM(H1662&amp;""))="missing",LOWER(TRIM(H1662&amp;""))=""),"Missing/",IFERROR(IF(OR(VALUE(H1662)&lt;0,VALUE(H1662)&gt;110),"Invalid","Valid"),"Check Format"))</f>
        <v>Missing/</v>
      </c>
      <c r="U1662" t="str">
        <f>IF(Raw_Data[[#This Row],[Age_Check]]="Valid",H1662,"")</f>
        <v/>
      </c>
      <c r="V1662" t="str">
        <f>IF(OR(K1662="",UPPER(TRIM(K1662&amp;""))="",LOWER(TRIM(K1662&amp;""))="",LOWER(TRIM(K1662&amp;""))="",LOWER(TRIM(K1662&amp;""))="missing"),"Missing/",IFERROR(IF(VALUE(K1662)&lt;0,"Invalid","Valid"),"Check Format"))</f>
        <v>Valid</v>
      </c>
      <c r="W1662" t="str">
        <f>IF(OR(E1662="",F1662=""),"Missing Date/Time",IFERROR(IF(F1662&gt;E1662,"Arrival After Appointment","OK"),"Check Format"))</f>
        <v>OK</v>
      </c>
      <c r="X1662" t="str">
        <f>IF(OR(F1662="",G1662=""),"Missing Date/Time",IFERROR(IF(G1662&lt;F1662,"Discharge Before Arrival","OK"),"Check Format"))</f>
        <v>Missing Date/Time</v>
      </c>
    </row>
    <row r="1663" spans="1:24" x14ac:dyDescent="0.25">
      <c r="A1663" s="2" t="s">
        <v>2413</v>
      </c>
      <c r="B1663" s="2" t="s">
        <v>531</v>
      </c>
      <c r="C1663" s="3" t="s">
        <v>19</v>
      </c>
      <c r="D1663" s="3" t="s">
        <v>209</v>
      </c>
      <c r="E1663" s="4">
        <v>45948.652777777781</v>
      </c>
      <c r="F1663" s="4">
        <v>45948.644444444442</v>
      </c>
      <c r="H1663" s="5">
        <v>67</v>
      </c>
      <c r="I1663" s="3" t="s">
        <v>39</v>
      </c>
      <c r="J1663" s="3" t="s">
        <v>150</v>
      </c>
      <c r="K1663" s="5">
        <v>81</v>
      </c>
      <c r="L1663" s="5">
        <v>42</v>
      </c>
      <c r="M1663" s="3" t="s">
        <v>41</v>
      </c>
      <c r="N1663" t="s">
        <v>91</v>
      </c>
      <c r="P1663" s="3" t="s">
        <v>80</v>
      </c>
      <c r="R1663" s="3" t="s">
        <v>75</v>
      </c>
      <c r="S1663">
        <f>COUNTIF(A:A,A1663)</f>
        <v>1</v>
      </c>
      <c r="T1663" t="str">
        <f>IF(OR(H1663="",LOWER(TRIM(H1663&amp;""))="missing",LOWER(TRIM(H1663&amp;""))=""),"Missing/",IFERROR(IF(OR(VALUE(H1663)&lt;0,VALUE(H1663)&gt;110),"Invalid","Valid"),"Check Format"))</f>
        <v>Valid</v>
      </c>
      <c r="U1663">
        <f>IF(Raw_Data[[#This Row],[Age_Check]]="Valid",H1663,"")</f>
        <v>67</v>
      </c>
      <c r="V1663" t="str">
        <f>IF(OR(K1663="",UPPER(TRIM(K1663&amp;""))="",LOWER(TRIM(K1663&amp;""))="",LOWER(TRIM(K1663&amp;""))="",LOWER(TRIM(K1663&amp;""))="missing"),"Missing/",IFERROR(IF(VALUE(K1663)&lt;0,"Invalid","Valid"),"Check Format"))</f>
        <v>Valid</v>
      </c>
      <c r="W1663" t="str">
        <f>IF(OR(E1663="",F1663=""),"Missing Date/Time",IFERROR(IF(F1663&gt;E1663,"Arrival After Appointment","OK"),"Check Format"))</f>
        <v>OK</v>
      </c>
      <c r="X1663" t="str">
        <f>IF(OR(F1663="",G1663=""),"Missing Date/Time",IFERROR(IF(G1663&lt;F1663,"Discharge Before Arrival","OK"),"Check Format"))</f>
        <v>Missing Date/Time</v>
      </c>
    </row>
    <row r="1664" spans="1:24" x14ac:dyDescent="0.25">
      <c r="A1664" s="2" t="s">
        <v>2414</v>
      </c>
      <c r="B1664" s="2" t="s">
        <v>1181</v>
      </c>
      <c r="C1664" s="3" t="s">
        <v>19</v>
      </c>
      <c r="D1664" s="3" t="s">
        <v>174</v>
      </c>
      <c r="E1664" s="4">
        <v>45834.517361111109</v>
      </c>
      <c r="F1664" s="4">
        <v>45834.504166666666</v>
      </c>
      <c r="G1664" s="4">
        <v>45834.556944444441</v>
      </c>
      <c r="I1664" s="3" t="s">
        <v>73</v>
      </c>
      <c r="J1664" s="3" t="s">
        <v>67</v>
      </c>
      <c r="K1664" s="5">
        <v>44</v>
      </c>
      <c r="L1664" s="5">
        <v>13</v>
      </c>
      <c r="M1664" s="3" t="s">
        <v>63</v>
      </c>
      <c r="N1664" t="s">
        <v>103</v>
      </c>
      <c r="O1664" s="5">
        <v>1</v>
      </c>
      <c r="P1664" s="3" t="s">
        <v>42</v>
      </c>
      <c r="Q1664" s="2">
        <v>62.81</v>
      </c>
      <c r="R1664" s="3" t="s">
        <v>58</v>
      </c>
      <c r="S1664">
        <f>COUNTIF(A:A,A1664)</f>
        <v>1</v>
      </c>
      <c r="T1664" t="str">
        <f>IF(OR(H1664="",LOWER(TRIM(H1664&amp;""))="missing",LOWER(TRIM(H1664&amp;""))=""),"Missing/",IFERROR(IF(OR(VALUE(H1664)&lt;0,VALUE(H1664)&gt;110),"Invalid","Valid"),"Check Format"))</f>
        <v>Missing/</v>
      </c>
      <c r="U1664" t="str">
        <f>IF(Raw_Data[[#This Row],[Age_Check]]="Valid",H1664,"")</f>
        <v/>
      </c>
      <c r="V1664" t="str">
        <f>IF(OR(K1664="",UPPER(TRIM(K1664&amp;""))="",LOWER(TRIM(K1664&amp;""))="",LOWER(TRIM(K1664&amp;""))="",LOWER(TRIM(K1664&amp;""))="missing"),"Missing/",IFERROR(IF(VALUE(K1664)&lt;0,"Invalid","Valid"),"Check Format"))</f>
        <v>Valid</v>
      </c>
      <c r="W1664" t="str">
        <f>IF(OR(E1664="",F1664=""),"Missing Date/Time",IFERROR(IF(F1664&gt;E1664,"Arrival After Appointment","OK"),"Check Format"))</f>
        <v>OK</v>
      </c>
      <c r="X1664" t="str">
        <f>IF(OR(F1664="",G1664=""),"Missing Date/Time",IFERROR(IF(G1664&lt;F1664,"Discharge Before Arrival","OK"),"Check Format"))</f>
        <v>OK</v>
      </c>
    </row>
    <row r="1665" spans="1:24" x14ac:dyDescent="0.25">
      <c r="A1665" s="2" t="s">
        <v>2415</v>
      </c>
      <c r="B1665" s="2" t="s">
        <v>535</v>
      </c>
      <c r="D1665" s="3" t="s">
        <v>61</v>
      </c>
      <c r="E1665" s="4">
        <v>45536.333333333336</v>
      </c>
      <c r="F1665" s="4">
        <v>45536.324305555558</v>
      </c>
      <c r="G1665" s="4">
        <v>45536.393750000003</v>
      </c>
      <c r="J1665" s="3" t="s">
        <v>67</v>
      </c>
      <c r="K1665" s="5">
        <v>44</v>
      </c>
      <c r="L1665" s="5">
        <v>43</v>
      </c>
      <c r="M1665" s="3" t="s">
        <v>41</v>
      </c>
      <c r="N1665" t="s">
        <v>103</v>
      </c>
      <c r="O1665" s="5">
        <v>4</v>
      </c>
      <c r="P1665" s="3" t="s">
        <v>42</v>
      </c>
      <c r="Q1665" s="2">
        <v>219.26</v>
      </c>
      <c r="R1665" s="3" t="s">
        <v>26</v>
      </c>
      <c r="S1665">
        <f>COUNTIF(A:A,A1665)</f>
        <v>1</v>
      </c>
      <c r="T1665" t="str">
        <f>IF(OR(H1665="",LOWER(TRIM(H1665&amp;""))="missing",LOWER(TRIM(H1665&amp;""))=""),"Missing/",IFERROR(IF(OR(VALUE(H1665)&lt;0,VALUE(H1665)&gt;110),"Invalid","Valid"),"Check Format"))</f>
        <v>Missing/</v>
      </c>
      <c r="U1665" t="str">
        <f>IF(Raw_Data[[#This Row],[Age_Check]]="Valid",H1665,"")</f>
        <v/>
      </c>
      <c r="V1665" t="str">
        <f>IF(OR(K1665="",UPPER(TRIM(K1665&amp;""))="",LOWER(TRIM(K1665&amp;""))="",LOWER(TRIM(K1665&amp;""))="",LOWER(TRIM(K1665&amp;""))="missing"),"Missing/",IFERROR(IF(VALUE(K1665)&lt;0,"Invalid","Valid"),"Check Format"))</f>
        <v>Valid</v>
      </c>
      <c r="W1665" t="str">
        <f>IF(OR(E1665="",F1665=""),"Missing Date/Time",IFERROR(IF(F1665&gt;E1665,"Arrival After Appointment","OK"),"Check Format"))</f>
        <v>OK</v>
      </c>
      <c r="X1665" t="str">
        <f>IF(OR(F1665="",G1665=""),"Missing Date/Time",IFERROR(IF(G1665&lt;F1665,"Discharge Before Arrival","OK"),"Check Format"))</f>
        <v>OK</v>
      </c>
    </row>
    <row r="1666" spans="1:24" x14ac:dyDescent="0.25">
      <c r="A1666" s="2" t="s">
        <v>2416</v>
      </c>
      <c r="B1666" s="2" t="s">
        <v>136</v>
      </c>
      <c r="C1666" s="3" t="s">
        <v>29</v>
      </c>
      <c r="D1666" s="3" t="s">
        <v>99</v>
      </c>
      <c r="E1666" s="4">
        <v>45444.503472222219</v>
      </c>
      <c r="F1666" s="4">
        <v>45444.493750000001</v>
      </c>
      <c r="G1666" s="4">
        <v>45444.538888888892</v>
      </c>
      <c r="J1666" s="3" t="s">
        <v>62</v>
      </c>
      <c r="K1666" s="5">
        <v>40</v>
      </c>
      <c r="L1666" s="5">
        <v>11</v>
      </c>
      <c r="M1666" s="3" t="s">
        <v>50</v>
      </c>
      <c r="N1666" t="s">
        <v>24</v>
      </c>
      <c r="P1666" s="3" t="s">
        <v>25</v>
      </c>
      <c r="Q1666" s="2">
        <v>166.43</v>
      </c>
      <c r="R1666" s="3" t="s">
        <v>26</v>
      </c>
      <c r="S1666">
        <f>COUNTIF(A:A,A1666)</f>
        <v>1</v>
      </c>
      <c r="T1666" t="str">
        <f>IF(OR(H1666="",LOWER(TRIM(H1666&amp;""))="missing",LOWER(TRIM(H1666&amp;""))=""),"Missing/",IFERROR(IF(OR(VALUE(H1666)&lt;0,VALUE(H1666)&gt;110),"Invalid","Valid"),"Check Format"))</f>
        <v>Missing/</v>
      </c>
      <c r="U1666" t="str">
        <f>IF(Raw_Data[[#This Row],[Age_Check]]="Valid",H1666,"")</f>
        <v/>
      </c>
      <c r="V1666" t="str">
        <f>IF(OR(K1666="",UPPER(TRIM(K1666&amp;""))="",LOWER(TRIM(K1666&amp;""))="",LOWER(TRIM(K1666&amp;""))="",LOWER(TRIM(K1666&amp;""))="missing"),"Missing/",IFERROR(IF(VALUE(K1666)&lt;0,"Invalid","Valid"),"Check Format"))</f>
        <v>Valid</v>
      </c>
      <c r="W1666" t="str">
        <f>IF(OR(E1666="",F1666=""),"Missing Date/Time",IFERROR(IF(F1666&gt;E1666,"Arrival After Appointment","OK"),"Check Format"))</f>
        <v>OK</v>
      </c>
      <c r="X1666" t="str">
        <f>IF(OR(F1666="",G1666=""),"Missing Date/Time",IFERROR(IF(G1666&lt;F1666,"Discharge Before Arrival","OK"),"Check Format"))</f>
        <v>OK</v>
      </c>
    </row>
    <row r="1667" spans="1:24" x14ac:dyDescent="0.25">
      <c r="A1667" s="2" t="s">
        <v>2417</v>
      </c>
      <c r="B1667" s="2" t="s">
        <v>749</v>
      </c>
      <c r="C1667" s="3" t="s">
        <v>37</v>
      </c>
      <c r="D1667" s="3" t="s">
        <v>174</v>
      </c>
      <c r="E1667" s="4">
        <v>45896.3125</v>
      </c>
      <c r="F1667" s="4">
        <v>45896.3125</v>
      </c>
      <c r="G1667" s="4">
        <v>45896.347916666666</v>
      </c>
      <c r="I1667" s="3" t="s">
        <v>73</v>
      </c>
      <c r="J1667" s="3" t="s">
        <v>62</v>
      </c>
      <c r="K1667" s="5">
        <v>29</v>
      </c>
      <c r="L1667" s="5">
        <v>22</v>
      </c>
      <c r="M1667" s="3" t="s">
        <v>87</v>
      </c>
      <c r="N1667" t="s">
        <v>103</v>
      </c>
      <c r="P1667" s="3" t="s">
        <v>80</v>
      </c>
      <c r="Q1667" s="2">
        <v>251.02</v>
      </c>
      <c r="R1667" s="3" t="s">
        <v>58</v>
      </c>
      <c r="S1667">
        <f>COUNTIF(A:A,A1667)</f>
        <v>1</v>
      </c>
      <c r="T1667" t="str">
        <f>IF(OR(H1667="",LOWER(TRIM(H1667&amp;""))="missing",LOWER(TRIM(H1667&amp;""))=""),"Missing/",IFERROR(IF(OR(VALUE(H1667)&lt;0,VALUE(H1667)&gt;110),"Invalid","Valid"),"Check Format"))</f>
        <v>Missing/</v>
      </c>
      <c r="U1667" t="str">
        <f>IF(Raw_Data[[#This Row],[Age_Check]]="Valid",H1667,"")</f>
        <v/>
      </c>
      <c r="V1667" t="str">
        <f>IF(OR(K1667="",UPPER(TRIM(K1667&amp;""))="",LOWER(TRIM(K1667&amp;""))="",LOWER(TRIM(K1667&amp;""))="",LOWER(TRIM(K1667&amp;""))="missing"),"Missing/",IFERROR(IF(VALUE(K1667)&lt;0,"Invalid","Valid"),"Check Format"))</f>
        <v>Valid</v>
      </c>
      <c r="W1667" t="str">
        <f>IF(OR(E1667="",F1667=""),"Missing Date/Time",IFERROR(IF(F1667&gt;E1667,"Arrival After Appointment","OK"),"Check Format"))</f>
        <v>OK</v>
      </c>
      <c r="X1667" t="str">
        <f>IF(OR(F1667="",G1667=""),"Missing Date/Time",IFERROR(IF(G1667&lt;F1667,"Discharge Before Arrival","OK"),"Check Format"))</f>
        <v>OK</v>
      </c>
    </row>
    <row r="1668" spans="1:24" x14ac:dyDescent="0.25">
      <c r="A1668" s="2" t="s">
        <v>2418</v>
      </c>
      <c r="B1668" s="2" t="s">
        <v>803</v>
      </c>
      <c r="C1668" s="3" t="s">
        <v>46</v>
      </c>
      <c r="D1668" s="3" t="s">
        <v>174</v>
      </c>
      <c r="E1668" s="4" t="s">
        <v>2419</v>
      </c>
      <c r="F1668" s="4">
        <v>45710.726388888892</v>
      </c>
      <c r="G1668" s="4">
        <v>45710.8125</v>
      </c>
      <c r="I1668" s="3" t="s">
        <v>73</v>
      </c>
      <c r="J1668" s="3" t="s">
        <v>62</v>
      </c>
      <c r="K1668" s="5">
        <v>86</v>
      </c>
      <c r="L1668" s="5">
        <v>34</v>
      </c>
      <c r="M1668" s="3" t="s">
        <v>23</v>
      </c>
      <c r="N1668" t="s">
        <v>24</v>
      </c>
      <c r="P1668" s="3" t="s">
        <v>25</v>
      </c>
      <c r="R1668" s="3" t="s">
        <v>75</v>
      </c>
      <c r="S1668">
        <f>COUNTIF(A:A,A1668)</f>
        <v>1</v>
      </c>
      <c r="T1668" t="str">
        <f>IF(OR(H1668="",LOWER(TRIM(H1668&amp;""))="missing",LOWER(TRIM(H1668&amp;""))=""),"Missing/",IFERROR(IF(OR(VALUE(H1668)&lt;0,VALUE(H1668)&gt;110),"Invalid","Valid"),"Check Format"))</f>
        <v>Missing/</v>
      </c>
      <c r="U1668" t="str">
        <f>IF(Raw_Data[[#This Row],[Age_Check]]="Valid",H1668,"")</f>
        <v/>
      </c>
      <c r="V1668" t="str">
        <f>IF(OR(K1668="",UPPER(TRIM(K1668&amp;""))="",LOWER(TRIM(K1668&amp;""))="",LOWER(TRIM(K1668&amp;""))="",LOWER(TRIM(K1668&amp;""))="missing"),"Missing/",IFERROR(IF(VALUE(K1668)&lt;0,"Invalid","Valid"),"Check Format"))</f>
        <v>Valid</v>
      </c>
      <c r="W1668" t="str">
        <f>IF(OR(E1668="",F1668=""),"Missing Date/Time",IFERROR(IF(F1668&gt;E1668,"Arrival After Appointment","OK"),"Check Format"))</f>
        <v>OK</v>
      </c>
      <c r="X1668" t="str">
        <f>IF(OR(F1668="",G1668=""),"Missing Date/Time",IFERROR(IF(G1668&lt;F1668,"Discharge Before Arrival","OK"),"Check Format"))</f>
        <v>OK</v>
      </c>
    </row>
    <row r="1669" spans="1:24" x14ac:dyDescent="0.25">
      <c r="A1669" s="2" t="s">
        <v>2420</v>
      </c>
      <c r="B1669" s="2" t="s">
        <v>397</v>
      </c>
      <c r="C1669" s="3" t="s">
        <v>94</v>
      </c>
      <c r="D1669" s="3" t="s">
        <v>20</v>
      </c>
      <c r="E1669" s="4">
        <v>45914.329861111109</v>
      </c>
      <c r="F1669" s="4">
        <v>45914.32708333333</v>
      </c>
      <c r="G1669" s="4">
        <v>45914.363194444442</v>
      </c>
      <c r="H1669" s="5">
        <v>21</v>
      </c>
      <c r="I1669" s="3" t="s">
        <v>95</v>
      </c>
      <c r="J1669" s="3" t="s">
        <v>22</v>
      </c>
      <c r="K1669" s="5">
        <v>13</v>
      </c>
      <c r="L1669" s="5">
        <v>35</v>
      </c>
      <c r="M1669" s="3" t="s">
        <v>41</v>
      </c>
      <c r="N1669" t="s">
        <v>103</v>
      </c>
      <c r="O1669" s="5">
        <v>0</v>
      </c>
      <c r="P1669" s="3" t="s">
        <v>42</v>
      </c>
      <c r="Q1669" s="2">
        <v>230.01</v>
      </c>
      <c r="R1669" s="3" t="s">
        <v>43</v>
      </c>
      <c r="S1669">
        <f>COUNTIF(A:A,A1669)</f>
        <v>1</v>
      </c>
      <c r="T1669" t="str">
        <f>IF(OR(H1669="",LOWER(TRIM(H1669&amp;""))="missing",LOWER(TRIM(H1669&amp;""))=""),"Missing/",IFERROR(IF(OR(VALUE(H1669)&lt;0,VALUE(H1669)&gt;110),"Invalid","Valid"),"Check Format"))</f>
        <v>Valid</v>
      </c>
      <c r="U1669">
        <f>IF(Raw_Data[[#This Row],[Age_Check]]="Valid",H1669,"")</f>
        <v>21</v>
      </c>
      <c r="V1669" t="str">
        <f>IF(OR(K1669="",UPPER(TRIM(K1669&amp;""))="",LOWER(TRIM(K1669&amp;""))="",LOWER(TRIM(K1669&amp;""))="",LOWER(TRIM(K1669&amp;""))="missing"),"Missing/",IFERROR(IF(VALUE(K1669)&lt;0,"Invalid","Valid"),"Check Format"))</f>
        <v>Valid</v>
      </c>
      <c r="W1669" t="str">
        <f>IF(OR(E1669="",F1669=""),"Missing Date/Time",IFERROR(IF(F1669&gt;E1669,"Arrival After Appointment","OK"),"Check Format"))</f>
        <v>OK</v>
      </c>
      <c r="X1669" t="str">
        <f>IF(OR(F1669="",G1669=""),"Missing Date/Time",IFERROR(IF(G1669&lt;F1669,"Discharge Before Arrival","OK"),"Check Format"))</f>
        <v>OK</v>
      </c>
    </row>
    <row r="1670" spans="1:24" x14ac:dyDescent="0.25">
      <c r="A1670" s="2" t="s">
        <v>2421</v>
      </c>
      <c r="B1670" s="2" t="s">
        <v>1724</v>
      </c>
      <c r="C1670" s="3" t="s">
        <v>46</v>
      </c>
      <c r="D1670" s="3" t="s">
        <v>30</v>
      </c>
      <c r="E1670" s="4">
        <v>45723.482638888891</v>
      </c>
      <c r="F1670" s="4">
        <v>45723.472916666666</v>
      </c>
      <c r="G1670" s="4">
        <v>45723.552083333336</v>
      </c>
      <c r="I1670" s="3" t="s">
        <v>95</v>
      </c>
      <c r="J1670" s="3" t="s">
        <v>171</v>
      </c>
      <c r="K1670" s="5">
        <v>44</v>
      </c>
      <c r="L1670" s="5">
        <v>56</v>
      </c>
      <c r="M1670" s="3" t="s">
        <v>50</v>
      </c>
      <c r="N1670" t="s">
        <v>69</v>
      </c>
      <c r="O1670" s="5">
        <v>0</v>
      </c>
      <c r="P1670" s="3" t="s">
        <v>42</v>
      </c>
      <c r="Q1670" s="2">
        <v>248.42</v>
      </c>
      <c r="R1670" s="3" t="s">
        <v>75</v>
      </c>
      <c r="S1670">
        <f>COUNTIF(A:A,A1670)</f>
        <v>1</v>
      </c>
      <c r="T1670" t="str">
        <f>IF(OR(H1670="",LOWER(TRIM(H1670&amp;""))="missing",LOWER(TRIM(H1670&amp;""))=""),"Missing/",IFERROR(IF(OR(VALUE(H1670)&lt;0,VALUE(H1670)&gt;110),"Invalid","Valid"),"Check Format"))</f>
        <v>Missing/</v>
      </c>
      <c r="U1670" t="str">
        <f>IF(Raw_Data[[#This Row],[Age_Check]]="Valid",H1670,"")</f>
        <v/>
      </c>
      <c r="V1670" t="str">
        <f>IF(OR(K1670="",UPPER(TRIM(K1670&amp;""))="",LOWER(TRIM(K1670&amp;""))="",LOWER(TRIM(K1670&amp;""))="",LOWER(TRIM(K1670&amp;""))="missing"),"Missing/",IFERROR(IF(VALUE(K1670)&lt;0,"Invalid","Valid"),"Check Format"))</f>
        <v>Valid</v>
      </c>
      <c r="W1670" t="str">
        <f>IF(OR(E1670="",F1670=""),"Missing Date/Time",IFERROR(IF(F1670&gt;E1670,"Arrival After Appointment","OK"),"Check Format"))</f>
        <v>OK</v>
      </c>
      <c r="X1670" t="str">
        <f>IF(OR(F1670="",G1670=""),"Missing Date/Time",IFERROR(IF(G1670&lt;F1670,"Discharge Before Arrival","OK"),"Check Format"))</f>
        <v>OK</v>
      </c>
    </row>
    <row r="1671" spans="1:24" x14ac:dyDescent="0.25">
      <c r="A1671" s="2" t="s">
        <v>2422</v>
      </c>
      <c r="B1671" s="2" t="s">
        <v>561</v>
      </c>
      <c r="D1671" s="3" t="s">
        <v>61</v>
      </c>
      <c r="E1671" s="4">
        <v>45481.545138888891</v>
      </c>
      <c r="F1671" s="4">
        <v>45481.526388888888</v>
      </c>
      <c r="G1671" s="4">
        <v>45481.651388888888</v>
      </c>
      <c r="I1671" s="3" t="s">
        <v>95</v>
      </c>
      <c r="J1671" s="3" t="s">
        <v>2639</v>
      </c>
      <c r="K1671" s="5">
        <v>116</v>
      </c>
      <c r="L1671" s="5">
        <v>37</v>
      </c>
      <c r="N1671" t="s">
        <v>24</v>
      </c>
      <c r="P1671" s="3" t="s">
        <v>25</v>
      </c>
      <c r="Q1671" s="2">
        <v>191.99</v>
      </c>
      <c r="R1671" s="3" t="s">
        <v>75</v>
      </c>
      <c r="S1671">
        <f>COUNTIF(A:A,A1671)</f>
        <v>1</v>
      </c>
      <c r="T1671" t="str">
        <f>IF(OR(H1671="",LOWER(TRIM(H1671&amp;""))="missing",LOWER(TRIM(H1671&amp;""))=""),"Missing/",IFERROR(IF(OR(VALUE(H1671)&lt;0,VALUE(H1671)&gt;110),"Invalid","Valid"),"Check Format"))</f>
        <v>Missing/</v>
      </c>
      <c r="U1671" t="str">
        <f>IF(Raw_Data[[#This Row],[Age_Check]]="Valid",H1671,"")</f>
        <v/>
      </c>
      <c r="V1671" t="str">
        <f>IF(OR(K1671="",UPPER(TRIM(K1671&amp;""))="",LOWER(TRIM(K1671&amp;""))="",LOWER(TRIM(K1671&amp;""))="",LOWER(TRIM(K1671&amp;""))="missing"),"Missing/",IFERROR(IF(VALUE(K1671)&lt;0,"Invalid","Valid"),"Check Format"))</f>
        <v>Valid</v>
      </c>
      <c r="W1671" t="str">
        <f>IF(OR(E1671="",F1671=""),"Missing Date/Time",IFERROR(IF(F1671&gt;E1671,"Arrival After Appointment","OK"),"Check Format"))</f>
        <v>OK</v>
      </c>
      <c r="X1671" t="str">
        <f>IF(OR(F1671="",G1671=""),"Missing Date/Time",IFERROR(IF(G1671&lt;F1671,"Discharge Before Arrival","OK"),"Check Format"))</f>
        <v>OK</v>
      </c>
    </row>
    <row r="1672" spans="1:24" x14ac:dyDescent="0.25">
      <c r="A1672" s="2" t="s">
        <v>2423</v>
      </c>
      <c r="B1672" s="2" t="s">
        <v>1193</v>
      </c>
      <c r="C1672" s="3" t="s">
        <v>37</v>
      </c>
      <c r="D1672" s="3" t="s">
        <v>149</v>
      </c>
      <c r="E1672" s="4">
        <v>45757.711805555555</v>
      </c>
      <c r="F1672" s="4">
        <v>45934.690972222219</v>
      </c>
      <c r="G1672" s="4">
        <v>45934.813888888886</v>
      </c>
      <c r="H1672" s="5">
        <v>95</v>
      </c>
      <c r="I1672" s="3" t="s">
        <v>73</v>
      </c>
      <c r="J1672" s="3" t="s">
        <v>67</v>
      </c>
      <c r="K1672" s="5">
        <v>107</v>
      </c>
      <c r="L1672" s="5">
        <v>40</v>
      </c>
      <c r="M1672" s="3" t="s">
        <v>87</v>
      </c>
      <c r="N1672" t="s">
        <v>91</v>
      </c>
      <c r="O1672" s="5">
        <v>1</v>
      </c>
      <c r="P1672" s="3" t="s">
        <v>25</v>
      </c>
      <c r="R1672" s="3" t="s">
        <v>75</v>
      </c>
      <c r="S1672">
        <f>COUNTIF(A:A,A1672)</f>
        <v>1</v>
      </c>
      <c r="T1672" t="str">
        <f>IF(OR(H1672="",LOWER(TRIM(H1672&amp;""))="missing",LOWER(TRIM(H1672&amp;""))=""),"Missing/",IFERROR(IF(OR(VALUE(H1672)&lt;0,VALUE(H1672)&gt;110),"Invalid","Valid"),"Check Format"))</f>
        <v>Valid</v>
      </c>
      <c r="U1672">
        <f>IF(Raw_Data[[#This Row],[Age_Check]]="Valid",H1672,"")</f>
        <v>95</v>
      </c>
      <c r="V1672" t="str">
        <f>IF(OR(K1672="",UPPER(TRIM(K1672&amp;""))="",LOWER(TRIM(K1672&amp;""))="",LOWER(TRIM(K1672&amp;""))="",LOWER(TRIM(K1672&amp;""))="missing"),"Missing/",IFERROR(IF(VALUE(K1672)&lt;0,"Invalid","Valid"),"Check Format"))</f>
        <v>Valid</v>
      </c>
      <c r="W1672" t="str">
        <f>IF(OR(E1672="",F1672=""),"Missing Date/Time",IFERROR(IF(F1672&gt;E1672,"Arrival After Appointment","OK"),"Check Format"))</f>
        <v>Arrival After Appointment</v>
      </c>
      <c r="X1672" t="str">
        <f>IF(OR(F1672="",G1672=""),"Missing Date/Time",IFERROR(IF(G1672&lt;F1672,"Discharge Before Arrival","OK"),"Check Format"))</f>
        <v>OK</v>
      </c>
    </row>
    <row r="1673" spans="1:24" x14ac:dyDescent="0.25">
      <c r="A1673" s="2" t="s">
        <v>2424</v>
      </c>
      <c r="B1673" s="2" t="s">
        <v>1622</v>
      </c>
      <c r="C1673" s="3" t="s">
        <v>29</v>
      </c>
      <c r="D1673" s="3" t="s">
        <v>72</v>
      </c>
      <c r="E1673" s="4" t="s">
        <v>2425</v>
      </c>
      <c r="F1673" s="4">
        <v>45746.657638888886</v>
      </c>
      <c r="G1673" s="4">
        <v>45746.703472222223</v>
      </c>
      <c r="H1673" s="5">
        <v>3</v>
      </c>
      <c r="I1673" s="3" t="s">
        <v>39</v>
      </c>
      <c r="K1673" s="5">
        <v>40</v>
      </c>
      <c r="L1673" s="5">
        <v>23</v>
      </c>
      <c r="M1673" s="3" t="s">
        <v>41</v>
      </c>
      <c r="N1673" t="s">
        <v>24</v>
      </c>
      <c r="O1673" s="5">
        <v>3</v>
      </c>
      <c r="P1673" s="3" t="s">
        <v>25</v>
      </c>
      <c r="Q1673" s="2">
        <v>164.08</v>
      </c>
      <c r="R1673" s="3" t="s">
        <v>58</v>
      </c>
      <c r="S1673">
        <f>COUNTIF(A:A,A1673)</f>
        <v>1</v>
      </c>
      <c r="T1673" t="str">
        <f>IF(OR(H1673="",LOWER(TRIM(H1673&amp;""))="missing",LOWER(TRIM(H1673&amp;""))=""),"Missing/",IFERROR(IF(OR(VALUE(H1673)&lt;0,VALUE(H1673)&gt;110),"Invalid","Valid"),"Check Format"))</f>
        <v>Valid</v>
      </c>
      <c r="U1673">
        <f>IF(Raw_Data[[#This Row],[Age_Check]]="Valid",H1673,"")</f>
        <v>3</v>
      </c>
      <c r="V1673" t="str">
        <f>IF(OR(K1673="",UPPER(TRIM(K1673&amp;""))="",LOWER(TRIM(K1673&amp;""))="",LOWER(TRIM(K1673&amp;""))="",LOWER(TRIM(K1673&amp;""))="missing"),"Missing/",IFERROR(IF(VALUE(K1673)&lt;0,"Invalid","Valid"),"Check Format"))</f>
        <v>Valid</v>
      </c>
      <c r="W1673" t="str">
        <f>IF(OR(E1673="",F1673=""),"Missing Date/Time",IFERROR(IF(F1673&gt;E1673,"Arrival After Appointment","OK"),"Check Format"))</f>
        <v>OK</v>
      </c>
      <c r="X1673" t="str">
        <f>IF(OR(F1673="",G1673=""),"Missing Date/Time",IFERROR(IF(G1673&lt;F1673,"Discharge Before Arrival","OK"),"Check Format"))</f>
        <v>OK</v>
      </c>
    </row>
    <row r="1674" spans="1:24" x14ac:dyDescent="0.25">
      <c r="A1674" s="2" t="s">
        <v>2426</v>
      </c>
      <c r="B1674" s="2" t="s">
        <v>1849</v>
      </c>
      <c r="C1674" s="3" t="s">
        <v>94</v>
      </c>
      <c r="D1674" s="3" t="s">
        <v>38</v>
      </c>
      <c r="E1674" s="4">
        <v>45565.461805555555</v>
      </c>
      <c r="F1674" s="4">
        <v>45565.441666666666</v>
      </c>
      <c r="G1674" s="4">
        <v>45565.490277777775</v>
      </c>
      <c r="H1674" s="5">
        <v>145</v>
      </c>
      <c r="I1674" s="3" t="s">
        <v>95</v>
      </c>
      <c r="J1674" s="3" t="s">
        <v>171</v>
      </c>
      <c r="K1674" s="5">
        <v>12</v>
      </c>
      <c r="L1674" s="5">
        <v>29</v>
      </c>
      <c r="N1674" t="s">
        <v>24</v>
      </c>
      <c r="O1674" s="5">
        <v>3</v>
      </c>
      <c r="P1674" s="3" t="s">
        <v>25</v>
      </c>
      <c r="Q1674" s="2">
        <v>232.72</v>
      </c>
      <c r="R1674" s="3" t="s">
        <v>43</v>
      </c>
      <c r="S1674">
        <f>COUNTIF(A:A,A1674)</f>
        <v>1</v>
      </c>
      <c r="T1674" t="str">
        <f>IF(OR(H1674="",LOWER(TRIM(H1674&amp;""))="missing",LOWER(TRIM(H1674&amp;""))=""),"Missing/",IFERROR(IF(OR(VALUE(H1674)&lt;0,VALUE(H1674)&gt;110),"Invalid","Valid"),"Check Format"))</f>
        <v>Invalid</v>
      </c>
      <c r="U1674" t="str">
        <f>IF(Raw_Data[[#This Row],[Age_Check]]="Valid",H1674,"")</f>
        <v/>
      </c>
      <c r="V1674" t="str">
        <f>IF(OR(K1674="",UPPER(TRIM(K1674&amp;""))="",LOWER(TRIM(K1674&amp;""))="",LOWER(TRIM(K1674&amp;""))="",LOWER(TRIM(K1674&amp;""))="missing"),"Missing/",IFERROR(IF(VALUE(K1674)&lt;0,"Invalid","Valid"),"Check Format"))</f>
        <v>Valid</v>
      </c>
      <c r="W1674" t="str">
        <f>IF(OR(E1674="",F1674=""),"Missing Date/Time",IFERROR(IF(F1674&gt;E1674,"Arrival After Appointment","OK"),"Check Format"))</f>
        <v>OK</v>
      </c>
      <c r="X1674" t="str">
        <f>IF(OR(F1674="",G1674=""),"Missing Date/Time",IFERROR(IF(G1674&lt;F1674,"Discharge Before Arrival","OK"),"Check Format"))</f>
        <v>OK</v>
      </c>
    </row>
    <row r="1675" spans="1:24" x14ac:dyDescent="0.25">
      <c r="A1675" s="2" t="s">
        <v>2427</v>
      </c>
      <c r="B1675" s="2" t="s">
        <v>533</v>
      </c>
      <c r="C1675" s="3" t="s">
        <v>46</v>
      </c>
      <c r="D1675" s="3" t="s">
        <v>66</v>
      </c>
      <c r="E1675" s="4">
        <v>45786.690972222219</v>
      </c>
      <c r="F1675" s="4">
        <v>45786.686805555553</v>
      </c>
      <c r="H1675" s="5">
        <v>58</v>
      </c>
      <c r="I1675" s="3" t="s">
        <v>90</v>
      </c>
      <c r="J1675" s="3" t="s">
        <v>150</v>
      </c>
      <c r="K1675" s="5">
        <v>0</v>
      </c>
      <c r="L1675" s="5">
        <v>59</v>
      </c>
      <c r="M1675" s="3" t="s">
        <v>63</v>
      </c>
      <c r="N1675" t="s">
        <v>91</v>
      </c>
      <c r="P1675" s="3" t="s">
        <v>25</v>
      </c>
      <c r="Q1675" s="2">
        <v>234.79</v>
      </c>
      <c r="R1675" s="3" t="s">
        <v>58</v>
      </c>
      <c r="S1675">
        <f>COUNTIF(A:A,A1675)</f>
        <v>1</v>
      </c>
      <c r="T1675" t="str">
        <f>IF(OR(H1675="",LOWER(TRIM(H1675&amp;""))="missing",LOWER(TRIM(H1675&amp;""))=""),"Missing/",IFERROR(IF(OR(VALUE(H1675)&lt;0,VALUE(H1675)&gt;110),"Invalid","Valid"),"Check Format"))</f>
        <v>Valid</v>
      </c>
      <c r="U1675">
        <f>IF(Raw_Data[[#This Row],[Age_Check]]="Valid",H1675,"")</f>
        <v>58</v>
      </c>
      <c r="V1675" t="str">
        <f>IF(OR(K1675="",UPPER(TRIM(K1675&amp;""))="",LOWER(TRIM(K1675&amp;""))="",LOWER(TRIM(K1675&amp;""))="",LOWER(TRIM(K1675&amp;""))="missing"),"Missing/",IFERROR(IF(VALUE(K1675)&lt;0,"Invalid","Valid"),"Check Format"))</f>
        <v>Valid</v>
      </c>
      <c r="W1675" t="str">
        <f>IF(OR(E1675="",F1675=""),"Missing Date/Time",IFERROR(IF(F1675&gt;E1675,"Arrival After Appointment","OK"),"Check Format"))</f>
        <v>OK</v>
      </c>
      <c r="X1675" t="str">
        <f>IF(OR(F1675="",G1675=""),"Missing Date/Time",IFERROR(IF(G1675&lt;F1675,"Discharge Before Arrival","OK"),"Check Format"))</f>
        <v>Missing Date/Time</v>
      </c>
    </row>
    <row r="1676" spans="1:24" x14ac:dyDescent="0.25">
      <c r="A1676" s="2" t="s">
        <v>2428</v>
      </c>
      <c r="B1676" s="2" t="s">
        <v>1616</v>
      </c>
      <c r="C1676" s="3" t="s">
        <v>94</v>
      </c>
      <c r="D1676" s="3" t="s">
        <v>61</v>
      </c>
      <c r="E1676" s="4">
        <v>45567.545138888891</v>
      </c>
      <c r="F1676" s="4">
        <v>45567.527777777781</v>
      </c>
      <c r="G1676" s="4">
        <v>45567.602083333331</v>
      </c>
      <c r="H1676" s="5">
        <v>31</v>
      </c>
      <c r="I1676" s="3" t="s">
        <v>95</v>
      </c>
      <c r="J1676" s="3" t="s">
        <v>67</v>
      </c>
      <c r="K1676" s="5">
        <v>41</v>
      </c>
      <c r="L1676" s="5">
        <v>41</v>
      </c>
      <c r="M1676" s="3" t="s">
        <v>68</v>
      </c>
      <c r="N1676" t="s">
        <v>103</v>
      </c>
      <c r="P1676" s="3" t="s">
        <v>42</v>
      </c>
      <c r="Q1676" s="2">
        <v>145.25</v>
      </c>
      <c r="R1676" s="3" t="s">
        <v>58</v>
      </c>
      <c r="S1676">
        <f>COUNTIF(A:A,A1676)</f>
        <v>1</v>
      </c>
      <c r="T1676" t="str">
        <f>IF(OR(H1676="",LOWER(TRIM(H1676&amp;""))="missing",LOWER(TRIM(H1676&amp;""))=""),"Missing/",IFERROR(IF(OR(VALUE(H1676)&lt;0,VALUE(H1676)&gt;110),"Invalid","Valid"),"Check Format"))</f>
        <v>Valid</v>
      </c>
      <c r="U1676">
        <f>IF(Raw_Data[[#This Row],[Age_Check]]="Valid",H1676,"")</f>
        <v>31</v>
      </c>
      <c r="V1676" t="str">
        <f>IF(OR(K1676="",UPPER(TRIM(K1676&amp;""))="",LOWER(TRIM(K1676&amp;""))="",LOWER(TRIM(K1676&amp;""))="",LOWER(TRIM(K1676&amp;""))="missing"),"Missing/",IFERROR(IF(VALUE(K1676)&lt;0,"Invalid","Valid"),"Check Format"))</f>
        <v>Valid</v>
      </c>
      <c r="W1676" t="str">
        <f>IF(OR(E1676="",F1676=""),"Missing Date/Time",IFERROR(IF(F1676&gt;E1676,"Arrival After Appointment","OK"),"Check Format"))</f>
        <v>OK</v>
      </c>
      <c r="X1676" t="str">
        <f>IF(OR(F1676="",G1676=""),"Missing Date/Time",IFERROR(IF(G1676&lt;F1676,"Discharge Before Arrival","OK"),"Check Format"))</f>
        <v>OK</v>
      </c>
    </row>
    <row r="1677" spans="1:24" x14ac:dyDescent="0.25">
      <c r="A1677" s="2" t="s">
        <v>2429</v>
      </c>
      <c r="B1677" s="2" t="s">
        <v>844</v>
      </c>
      <c r="C1677" s="3" t="s">
        <v>46</v>
      </c>
      <c r="D1677" s="3" t="s">
        <v>149</v>
      </c>
      <c r="E1677" s="4" t="s">
        <v>2430</v>
      </c>
      <c r="F1677" s="4">
        <v>45888.757638888892</v>
      </c>
      <c r="G1677" s="4">
        <v>45888.878472222219</v>
      </c>
      <c r="I1677" s="3" t="s">
        <v>73</v>
      </c>
      <c r="J1677" s="3" t="s">
        <v>62</v>
      </c>
      <c r="L1677" s="5">
        <v>49</v>
      </c>
      <c r="M1677" s="3" t="s">
        <v>68</v>
      </c>
      <c r="N1677" t="s">
        <v>69</v>
      </c>
      <c r="O1677" s="5">
        <v>0</v>
      </c>
      <c r="Q1677" s="2">
        <v>32.99</v>
      </c>
      <c r="R1677" s="3" t="s">
        <v>43</v>
      </c>
      <c r="S1677">
        <f>COUNTIF(A:A,A1677)</f>
        <v>1</v>
      </c>
      <c r="T1677" t="str">
        <f>IF(OR(H1677="",LOWER(TRIM(H1677&amp;""))="missing",LOWER(TRIM(H1677&amp;""))=""),"Missing/",IFERROR(IF(OR(VALUE(H1677)&lt;0,VALUE(H1677)&gt;110),"Invalid","Valid"),"Check Format"))</f>
        <v>Missing/</v>
      </c>
      <c r="U1677" t="str">
        <f>IF(Raw_Data[[#This Row],[Age_Check]]="Valid",H1677,"")</f>
        <v/>
      </c>
      <c r="V1677" t="str">
        <f>IF(OR(K1677="",UPPER(TRIM(K1677&amp;""))="",LOWER(TRIM(K1677&amp;""))="",LOWER(TRIM(K1677&amp;""))="",LOWER(TRIM(K1677&amp;""))="missing"),"Missing/",IFERROR(IF(VALUE(K1677)&lt;0,"Invalid","Valid"),"Check Format"))</f>
        <v>Missing/</v>
      </c>
      <c r="W1677" t="str">
        <f>IF(OR(E1677="",F1677=""),"Missing Date/Time",IFERROR(IF(F1677&gt;E1677,"Arrival After Appointment","OK"),"Check Format"))</f>
        <v>OK</v>
      </c>
      <c r="X1677" t="str">
        <f>IF(OR(F1677="",G1677=""),"Missing Date/Time",IFERROR(IF(G1677&lt;F1677,"Discharge Before Arrival","OK"),"Check Format"))</f>
        <v>OK</v>
      </c>
    </row>
    <row r="1678" spans="1:24" x14ac:dyDescent="0.25">
      <c r="A1678" s="2" t="s">
        <v>2431</v>
      </c>
      <c r="B1678" s="2" t="s">
        <v>805</v>
      </c>
      <c r="C1678" s="3" t="s">
        <v>46</v>
      </c>
      <c r="D1678" s="3" t="s">
        <v>30</v>
      </c>
      <c r="E1678" s="4">
        <v>45819.65625</v>
      </c>
      <c r="G1678" s="4">
        <v>45819.729861111111</v>
      </c>
      <c r="I1678" s="3" t="s">
        <v>95</v>
      </c>
      <c r="J1678" s="3" t="s">
        <v>67</v>
      </c>
      <c r="K1678" s="5">
        <v>78</v>
      </c>
      <c r="L1678" s="5">
        <v>28</v>
      </c>
      <c r="M1678" s="3" t="s">
        <v>23</v>
      </c>
      <c r="N1678" t="s">
        <v>74</v>
      </c>
      <c r="P1678" s="3" t="s">
        <v>80</v>
      </c>
      <c r="Q1678" s="2">
        <v>151.63</v>
      </c>
      <c r="R1678" s="3" t="s">
        <v>26</v>
      </c>
      <c r="S1678">
        <f>COUNTIF(A:A,A1678)</f>
        <v>1</v>
      </c>
      <c r="T1678" t="str">
        <f>IF(OR(H1678="",LOWER(TRIM(H1678&amp;""))="missing",LOWER(TRIM(H1678&amp;""))=""),"Missing/",IFERROR(IF(OR(VALUE(H1678)&lt;0,VALUE(H1678)&gt;110),"Invalid","Valid"),"Check Format"))</f>
        <v>Missing/</v>
      </c>
      <c r="U1678" t="str">
        <f>IF(Raw_Data[[#This Row],[Age_Check]]="Valid",H1678,"")</f>
        <v/>
      </c>
      <c r="V1678" t="str">
        <f>IF(OR(K1678="",UPPER(TRIM(K1678&amp;""))="",LOWER(TRIM(K1678&amp;""))="",LOWER(TRIM(K1678&amp;""))="",LOWER(TRIM(K1678&amp;""))="missing"),"Missing/",IFERROR(IF(VALUE(K1678)&lt;0,"Invalid","Valid"),"Check Format"))</f>
        <v>Valid</v>
      </c>
      <c r="W1678" t="str">
        <f>IF(OR(E1678="",F1678=""),"Missing Date/Time",IFERROR(IF(F1678&gt;E1678,"Arrival After Appointment","OK"),"Check Format"))</f>
        <v>Missing Date/Time</v>
      </c>
      <c r="X1678" t="str">
        <f>IF(OR(F1678="",G1678=""),"Missing Date/Time",IFERROR(IF(G1678&lt;F1678,"Discharge Before Arrival","OK"),"Check Format"))</f>
        <v>Missing Date/Time</v>
      </c>
    </row>
    <row r="1679" spans="1:24" x14ac:dyDescent="0.25">
      <c r="A1679" s="2" t="s">
        <v>2432</v>
      </c>
      <c r="B1679" s="2" t="s">
        <v>1599</v>
      </c>
      <c r="C1679" s="3" t="s">
        <v>94</v>
      </c>
      <c r="D1679" s="3" t="s">
        <v>66</v>
      </c>
      <c r="E1679" s="4">
        <v>45897.666666666664</v>
      </c>
      <c r="F1679" s="4">
        <v>45897.654166666667</v>
      </c>
      <c r="G1679" s="4">
        <v>45897.732638888891</v>
      </c>
      <c r="I1679" s="3" t="s">
        <v>73</v>
      </c>
      <c r="J1679" s="3" t="s">
        <v>171</v>
      </c>
      <c r="K1679" s="5">
        <v>32</v>
      </c>
      <c r="L1679" s="5">
        <v>63</v>
      </c>
      <c r="M1679" s="3" t="s">
        <v>68</v>
      </c>
      <c r="N1679" t="s">
        <v>103</v>
      </c>
      <c r="O1679" s="5">
        <v>0</v>
      </c>
      <c r="Q1679" s="2">
        <v>228.2</v>
      </c>
      <c r="R1679" s="3" t="s">
        <v>26</v>
      </c>
      <c r="S1679">
        <f>COUNTIF(A:A,A1679)</f>
        <v>1</v>
      </c>
      <c r="T1679" t="str">
        <f>IF(OR(H1679="",LOWER(TRIM(H1679&amp;""))="missing",LOWER(TRIM(H1679&amp;""))=""),"Missing/",IFERROR(IF(OR(VALUE(H1679)&lt;0,VALUE(H1679)&gt;110),"Invalid","Valid"),"Check Format"))</f>
        <v>Missing/</v>
      </c>
      <c r="U1679" t="str">
        <f>IF(Raw_Data[[#This Row],[Age_Check]]="Valid",H1679,"")</f>
        <v/>
      </c>
      <c r="V1679" t="str">
        <f>IF(OR(K1679="",UPPER(TRIM(K1679&amp;""))="",LOWER(TRIM(K1679&amp;""))="",LOWER(TRIM(K1679&amp;""))="",LOWER(TRIM(K1679&amp;""))="missing"),"Missing/",IFERROR(IF(VALUE(K1679)&lt;0,"Invalid","Valid"),"Check Format"))</f>
        <v>Valid</v>
      </c>
      <c r="W1679" t="str">
        <f>IF(OR(E1679="",F1679=""),"Missing Date/Time",IFERROR(IF(F1679&gt;E1679,"Arrival After Appointment","OK"),"Check Format"))</f>
        <v>OK</v>
      </c>
      <c r="X1679" t="str">
        <f>IF(OR(F1679="",G1679=""),"Missing Date/Time",IFERROR(IF(G1679&lt;F1679,"Discharge Before Arrival","OK"),"Check Format"))</f>
        <v>OK</v>
      </c>
    </row>
    <row r="1680" spans="1:24" x14ac:dyDescent="0.25">
      <c r="A1680" s="2" t="s">
        <v>2433</v>
      </c>
      <c r="B1680" s="2" t="s">
        <v>506</v>
      </c>
      <c r="C1680" s="3" t="s">
        <v>46</v>
      </c>
      <c r="D1680" s="3" t="s">
        <v>72</v>
      </c>
      <c r="E1680" s="4" t="s">
        <v>78</v>
      </c>
      <c r="F1680" s="4">
        <v>45647.676388888889</v>
      </c>
      <c r="G1680" s="4">
        <v>45647.72152777778</v>
      </c>
      <c r="I1680" s="3" t="s">
        <v>39</v>
      </c>
      <c r="J1680" s="3" t="s">
        <v>2639</v>
      </c>
      <c r="K1680" s="5">
        <v>32</v>
      </c>
      <c r="L1680" s="5">
        <v>7</v>
      </c>
      <c r="M1680" s="3" t="s">
        <v>23</v>
      </c>
      <c r="N1680" t="s">
        <v>69</v>
      </c>
      <c r="O1680" s="5">
        <v>6</v>
      </c>
      <c r="P1680" s="3" t="s">
        <v>80</v>
      </c>
      <c r="R1680" s="3" t="s">
        <v>43</v>
      </c>
      <c r="S1680">
        <f>COUNTIF(A:A,A1680)</f>
        <v>1</v>
      </c>
      <c r="T1680" t="str">
        <f>IF(OR(H1680="",LOWER(TRIM(H1680&amp;""))="missing",LOWER(TRIM(H1680&amp;""))=""),"Missing/",IFERROR(IF(OR(VALUE(H1680)&lt;0,VALUE(H1680)&gt;110),"Invalid","Valid"),"Check Format"))</f>
        <v>Missing/</v>
      </c>
      <c r="U1680" t="str">
        <f>IF(Raw_Data[[#This Row],[Age_Check]]="Valid",H1680,"")</f>
        <v/>
      </c>
      <c r="V1680" t="str">
        <f>IF(OR(K1680="",UPPER(TRIM(K1680&amp;""))="",LOWER(TRIM(K1680&amp;""))="",LOWER(TRIM(K1680&amp;""))="",LOWER(TRIM(K1680&amp;""))="missing"),"Missing/",IFERROR(IF(VALUE(K1680)&lt;0,"Invalid","Valid"),"Check Format"))</f>
        <v>Valid</v>
      </c>
      <c r="W1680" t="str">
        <f>IF(OR(E1680="",F1680=""),"Missing Date/Time",IFERROR(IF(F1680&gt;E1680,"Arrival After Appointment","OK"),"Check Format"))</f>
        <v>OK</v>
      </c>
      <c r="X1680" t="str">
        <f>IF(OR(F1680="",G1680=""),"Missing Date/Time",IFERROR(IF(G1680&lt;F1680,"Discharge Before Arrival","OK"),"Check Format"))</f>
        <v>OK</v>
      </c>
    </row>
    <row r="1681" spans="1:24" x14ac:dyDescent="0.25">
      <c r="A1681" s="2" t="s">
        <v>2434</v>
      </c>
      <c r="B1681" s="2" t="s">
        <v>1327</v>
      </c>
      <c r="C1681" s="3" t="s">
        <v>29</v>
      </c>
      <c r="D1681" s="3" t="s">
        <v>174</v>
      </c>
      <c r="E1681" s="4">
        <v>45670.576388888891</v>
      </c>
      <c r="F1681" s="4">
        <v>45670.557638888888</v>
      </c>
      <c r="G1681" s="4">
        <v>45670.634027777778</v>
      </c>
      <c r="H1681" s="5">
        <v>12</v>
      </c>
      <c r="I1681" s="3" t="s">
        <v>95</v>
      </c>
      <c r="J1681" s="3" t="s">
        <v>150</v>
      </c>
      <c r="K1681" s="5">
        <v>44</v>
      </c>
      <c r="L1681" s="5">
        <v>39</v>
      </c>
      <c r="M1681" s="3" t="s">
        <v>63</v>
      </c>
      <c r="O1681" s="5">
        <v>5</v>
      </c>
      <c r="P1681" s="3" t="s">
        <v>25</v>
      </c>
      <c r="Q1681" s="2">
        <v>164.22</v>
      </c>
      <c r="R1681" s="3" t="s">
        <v>26</v>
      </c>
      <c r="S1681">
        <f>COUNTIF(A:A,A1681)</f>
        <v>1</v>
      </c>
      <c r="T1681" t="str">
        <f>IF(OR(H1681="",LOWER(TRIM(H1681&amp;""))="missing",LOWER(TRIM(H1681&amp;""))=""),"Missing/",IFERROR(IF(OR(VALUE(H1681)&lt;0,VALUE(H1681)&gt;110),"Invalid","Valid"),"Check Format"))</f>
        <v>Valid</v>
      </c>
      <c r="U1681">
        <f>IF(Raw_Data[[#This Row],[Age_Check]]="Valid",H1681,"")</f>
        <v>12</v>
      </c>
      <c r="V1681" t="str">
        <f>IF(OR(K1681="",UPPER(TRIM(K1681&amp;""))="",LOWER(TRIM(K1681&amp;""))="",LOWER(TRIM(K1681&amp;""))="",LOWER(TRIM(K1681&amp;""))="missing"),"Missing/",IFERROR(IF(VALUE(K1681)&lt;0,"Invalid","Valid"),"Check Format"))</f>
        <v>Valid</v>
      </c>
      <c r="W1681" t="str">
        <f>IF(OR(E1681="",F1681=""),"Missing Date/Time",IFERROR(IF(F1681&gt;E1681,"Arrival After Appointment","OK"),"Check Format"))</f>
        <v>OK</v>
      </c>
      <c r="X1681" t="str">
        <f>IF(OR(F1681="",G1681=""),"Missing Date/Time",IFERROR(IF(G1681&lt;F1681,"Discharge Before Arrival","OK"),"Check Format"))</f>
        <v>OK</v>
      </c>
    </row>
    <row r="1682" spans="1:24" x14ac:dyDescent="0.25">
      <c r="A1682" s="2" t="s">
        <v>2435</v>
      </c>
      <c r="B1682" s="2" t="s">
        <v>329</v>
      </c>
      <c r="C1682" s="3" t="s">
        <v>29</v>
      </c>
      <c r="D1682" s="3" t="s">
        <v>23</v>
      </c>
      <c r="E1682" s="4">
        <v>45394.555555555555</v>
      </c>
      <c r="F1682" s="4">
        <v>45394.536111111112</v>
      </c>
      <c r="G1682" s="4">
        <v>45394.657638888886</v>
      </c>
      <c r="H1682" s="5">
        <v>16</v>
      </c>
      <c r="I1682" s="3" t="s">
        <v>73</v>
      </c>
      <c r="J1682" s="3" t="s">
        <v>150</v>
      </c>
      <c r="K1682" s="5">
        <v>101</v>
      </c>
      <c r="L1682" s="5">
        <v>46</v>
      </c>
      <c r="M1682" s="3" t="s">
        <v>68</v>
      </c>
      <c r="N1682" t="s">
        <v>103</v>
      </c>
      <c r="O1682" s="5">
        <v>0</v>
      </c>
      <c r="P1682" s="3" t="s">
        <v>25</v>
      </c>
      <c r="Q1682" s="2">
        <v>222.57</v>
      </c>
      <c r="R1682" s="3" t="s">
        <v>43</v>
      </c>
      <c r="S1682">
        <f>COUNTIF(A:A,A1682)</f>
        <v>1</v>
      </c>
      <c r="T1682" t="str">
        <f>IF(OR(H1682="",LOWER(TRIM(H1682&amp;""))="missing",LOWER(TRIM(H1682&amp;""))=""),"Missing/",IFERROR(IF(OR(VALUE(H1682)&lt;0,VALUE(H1682)&gt;110),"Invalid","Valid"),"Check Format"))</f>
        <v>Valid</v>
      </c>
      <c r="U1682">
        <f>IF(Raw_Data[[#This Row],[Age_Check]]="Valid",H1682,"")</f>
        <v>16</v>
      </c>
      <c r="V1682" t="str">
        <f>IF(OR(K1682="",UPPER(TRIM(K1682&amp;""))="",LOWER(TRIM(K1682&amp;""))="",LOWER(TRIM(K1682&amp;""))="",LOWER(TRIM(K1682&amp;""))="missing"),"Missing/",IFERROR(IF(VALUE(K1682)&lt;0,"Invalid","Valid"),"Check Format"))</f>
        <v>Valid</v>
      </c>
      <c r="W1682" t="str">
        <f>IF(OR(E1682="",F1682=""),"Missing Date/Time",IFERROR(IF(F1682&gt;E1682,"Arrival After Appointment","OK"),"Check Format"))</f>
        <v>OK</v>
      </c>
      <c r="X1682" t="str">
        <f>IF(OR(F1682="",G1682=""),"Missing Date/Time",IFERROR(IF(G1682&lt;F1682,"Discharge Before Arrival","OK"),"Check Format"))</f>
        <v>OK</v>
      </c>
    </row>
    <row r="1683" spans="1:24" x14ac:dyDescent="0.25">
      <c r="A1683" s="2" t="s">
        <v>2436</v>
      </c>
      <c r="B1683" s="2" t="s">
        <v>222</v>
      </c>
      <c r="C1683" s="3" t="s">
        <v>19</v>
      </c>
      <c r="D1683" s="3" t="s">
        <v>61</v>
      </c>
      <c r="E1683" s="4">
        <v>45785.517361111109</v>
      </c>
      <c r="F1683" s="4">
        <v>45874.517361111109</v>
      </c>
      <c r="G1683" s="4">
        <v>45874.569444444445</v>
      </c>
      <c r="H1683" s="5">
        <v>145</v>
      </c>
      <c r="I1683" s="3" t="s">
        <v>73</v>
      </c>
      <c r="J1683" s="3" t="s">
        <v>62</v>
      </c>
      <c r="K1683" s="5">
        <v>69</v>
      </c>
      <c r="L1683" s="5">
        <v>6</v>
      </c>
      <c r="M1683" s="3" t="s">
        <v>63</v>
      </c>
      <c r="N1683" t="s">
        <v>74</v>
      </c>
      <c r="P1683" s="3" t="s">
        <v>25</v>
      </c>
      <c r="Q1683" s="2">
        <v>129.34</v>
      </c>
      <c r="R1683" s="3" t="s">
        <v>75</v>
      </c>
      <c r="S1683">
        <f>COUNTIF(A:A,A1683)</f>
        <v>1</v>
      </c>
      <c r="T1683" t="str">
        <f>IF(OR(H1683="",LOWER(TRIM(H1683&amp;""))="missing",LOWER(TRIM(H1683&amp;""))=""),"Missing/",IFERROR(IF(OR(VALUE(H1683)&lt;0,VALUE(H1683)&gt;110),"Invalid","Valid"),"Check Format"))</f>
        <v>Invalid</v>
      </c>
      <c r="U1683" t="str">
        <f>IF(Raw_Data[[#This Row],[Age_Check]]="Valid",H1683,"")</f>
        <v/>
      </c>
      <c r="V1683" t="str">
        <f>IF(OR(K1683="",UPPER(TRIM(K1683&amp;""))="",LOWER(TRIM(K1683&amp;""))="",LOWER(TRIM(K1683&amp;""))="",LOWER(TRIM(K1683&amp;""))="missing"),"Missing/",IFERROR(IF(VALUE(K1683)&lt;0,"Invalid","Valid"),"Check Format"))</f>
        <v>Valid</v>
      </c>
      <c r="W1683" t="str">
        <f>IF(OR(E1683="",F1683=""),"Missing Date/Time",IFERROR(IF(F1683&gt;E1683,"Arrival After Appointment","OK"),"Check Format"))</f>
        <v>Arrival After Appointment</v>
      </c>
      <c r="X1683" t="str">
        <f>IF(OR(F1683="",G1683=""),"Missing Date/Time",IFERROR(IF(G1683&lt;F1683,"Discharge Before Arrival","OK"),"Check Format"))</f>
        <v>OK</v>
      </c>
    </row>
    <row r="1684" spans="1:24" x14ac:dyDescent="0.25">
      <c r="A1684" s="2" t="s">
        <v>2437</v>
      </c>
      <c r="B1684" s="2" t="s">
        <v>495</v>
      </c>
      <c r="C1684" s="3" t="s">
        <v>46</v>
      </c>
      <c r="D1684" s="3" t="s">
        <v>209</v>
      </c>
      <c r="E1684" s="4">
        <v>45835.53125</v>
      </c>
      <c r="F1684" s="4">
        <v>45835.522916666669</v>
      </c>
      <c r="G1684" s="4">
        <v>45835.618750000001</v>
      </c>
      <c r="H1684" s="5">
        <v>25</v>
      </c>
      <c r="I1684" s="3" t="s">
        <v>39</v>
      </c>
      <c r="K1684" s="5">
        <v>95</v>
      </c>
      <c r="L1684" s="5">
        <v>31</v>
      </c>
      <c r="N1684" t="s">
        <v>69</v>
      </c>
      <c r="P1684" s="3" t="s">
        <v>80</v>
      </c>
      <c r="Q1684" s="2">
        <v>185.25</v>
      </c>
      <c r="R1684" s="3" t="s">
        <v>58</v>
      </c>
      <c r="S1684">
        <f>COUNTIF(A:A,A1684)</f>
        <v>1</v>
      </c>
      <c r="T1684" t="str">
        <f>IF(OR(H1684="",LOWER(TRIM(H1684&amp;""))="missing",LOWER(TRIM(H1684&amp;""))=""),"Missing/",IFERROR(IF(OR(VALUE(H1684)&lt;0,VALUE(H1684)&gt;110),"Invalid","Valid"),"Check Format"))</f>
        <v>Valid</v>
      </c>
      <c r="U1684">
        <f>IF(Raw_Data[[#This Row],[Age_Check]]="Valid",H1684,"")</f>
        <v>25</v>
      </c>
      <c r="V1684" t="str">
        <f>IF(OR(K1684="",UPPER(TRIM(K1684&amp;""))="",LOWER(TRIM(K1684&amp;""))="",LOWER(TRIM(K1684&amp;""))="",LOWER(TRIM(K1684&amp;""))="missing"),"Missing/",IFERROR(IF(VALUE(K1684)&lt;0,"Invalid","Valid"),"Check Format"))</f>
        <v>Valid</v>
      </c>
      <c r="W1684" t="str">
        <f>IF(OR(E1684="",F1684=""),"Missing Date/Time",IFERROR(IF(F1684&gt;E1684,"Arrival After Appointment","OK"),"Check Format"))</f>
        <v>OK</v>
      </c>
      <c r="X1684" t="str">
        <f>IF(OR(F1684="",G1684=""),"Missing Date/Time",IFERROR(IF(G1684&lt;F1684,"Discharge Before Arrival","OK"),"Check Format"))</f>
        <v>OK</v>
      </c>
    </row>
    <row r="1685" spans="1:24" x14ac:dyDescent="0.25">
      <c r="A1685" s="2" t="s">
        <v>2438</v>
      </c>
      <c r="B1685" s="2" t="s">
        <v>1072</v>
      </c>
      <c r="C1685" s="3" t="s">
        <v>29</v>
      </c>
      <c r="D1685" s="3" t="s">
        <v>115</v>
      </c>
      <c r="E1685" s="4">
        <v>45640.430555555555</v>
      </c>
      <c r="F1685" s="4">
        <v>45640.416666666664</v>
      </c>
      <c r="G1685" s="4">
        <v>45640.47152777778</v>
      </c>
      <c r="H1685" s="5">
        <v>71</v>
      </c>
      <c r="I1685" s="3" t="s">
        <v>95</v>
      </c>
      <c r="J1685" s="3" t="s">
        <v>62</v>
      </c>
      <c r="K1685" s="5">
        <v>46</v>
      </c>
      <c r="L1685" s="5">
        <v>13</v>
      </c>
      <c r="M1685" s="3" t="s">
        <v>68</v>
      </c>
      <c r="O1685" s="5">
        <v>0</v>
      </c>
      <c r="P1685" s="3" t="s">
        <v>80</v>
      </c>
      <c r="Q1685" s="2">
        <v>135.13</v>
      </c>
      <c r="R1685" s="3" t="s">
        <v>58</v>
      </c>
      <c r="S1685">
        <f>COUNTIF(A:A,A1685)</f>
        <v>1</v>
      </c>
      <c r="T1685" t="str">
        <f>IF(OR(H1685="",LOWER(TRIM(H1685&amp;""))="missing",LOWER(TRIM(H1685&amp;""))=""),"Missing/",IFERROR(IF(OR(VALUE(H1685)&lt;0,VALUE(H1685)&gt;110),"Invalid","Valid"),"Check Format"))</f>
        <v>Valid</v>
      </c>
      <c r="U1685">
        <f>IF(Raw_Data[[#This Row],[Age_Check]]="Valid",H1685,"")</f>
        <v>71</v>
      </c>
      <c r="V1685" t="str">
        <f>IF(OR(K1685="",UPPER(TRIM(K1685&amp;""))="",LOWER(TRIM(K1685&amp;""))="",LOWER(TRIM(K1685&amp;""))="",LOWER(TRIM(K1685&amp;""))="missing"),"Missing/",IFERROR(IF(VALUE(K1685)&lt;0,"Invalid","Valid"),"Check Format"))</f>
        <v>Valid</v>
      </c>
      <c r="W1685" t="str">
        <f>IF(OR(E1685="",F1685=""),"Missing Date/Time",IFERROR(IF(F1685&gt;E1685,"Arrival After Appointment","OK"),"Check Format"))</f>
        <v>OK</v>
      </c>
      <c r="X1685" t="str">
        <f>IF(OR(F1685="",G1685=""),"Missing Date/Time",IFERROR(IF(G1685&lt;F1685,"Discharge Before Arrival","OK"),"Check Format"))</f>
        <v>OK</v>
      </c>
    </row>
    <row r="1686" spans="1:24" x14ac:dyDescent="0.25">
      <c r="A1686" s="2" t="s">
        <v>2439</v>
      </c>
      <c r="B1686" s="2" t="s">
        <v>60</v>
      </c>
      <c r="C1686" s="3" t="s">
        <v>37</v>
      </c>
      <c r="D1686" s="3" t="s">
        <v>47</v>
      </c>
      <c r="E1686" s="4" t="s">
        <v>2440</v>
      </c>
      <c r="F1686" s="4">
        <v>45310.398611111108</v>
      </c>
      <c r="G1686" s="4">
        <v>45310.474305555559</v>
      </c>
      <c r="I1686" s="3" t="s">
        <v>73</v>
      </c>
      <c r="J1686" s="3" t="s">
        <v>67</v>
      </c>
      <c r="K1686" s="5">
        <v>68</v>
      </c>
      <c r="L1686" s="5">
        <v>20</v>
      </c>
      <c r="M1686" s="3" t="s">
        <v>23</v>
      </c>
      <c r="N1686" t="s">
        <v>74</v>
      </c>
      <c r="O1686" s="5">
        <v>2</v>
      </c>
      <c r="P1686" s="3" t="s">
        <v>42</v>
      </c>
      <c r="Q1686" s="2">
        <v>126.14</v>
      </c>
      <c r="R1686" s="3" t="s">
        <v>26</v>
      </c>
      <c r="S1686">
        <f>COUNTIF(A:A,A1686)</f>
        <v>1</v>
      </c>
      <c r="T1686" t="str">
        <f>IF(OR(H1686="",LOWER(TRIM(H1686&amp;""))="missing",LOWER(TRIM(H1686&amp;""))=""),"Missing/",IFERROR(IF(OR(VALUE(H1686)&lt;0,VALUE(H1686)&gt;110),"Invalid","Valid"),"Check Format"))</f>
        <v>Missing/</v>
      </c>
      <c r="U1686" t="str">
        <f>IF(Raw_Data[[#This Row],[Age_Check]]="Valid",H1686,"")</f>
        <v/>
      </c>
      <c r="V1686" t="str">
        <f>IF(OR(K1686="",UPPER(TRIM(K1686&amp;""))="",LOWER(TRIM(K1686&amp;""))="",LOWER(TRIM(K1686&amp;""))="",LOWER(TRIM(K1686&amp;""))="missing"),"Missing/",IFERROR(IF(VALUE(K1686)&lt;0,"Invalid","Valid"),"Check Format"))</f>
        <v>Valid</v>
      </c>
      <c r="W1686" t="str">
        <f>IF(OR(E1686="",F1686=""),"Missing Date/Time",IFERROR(IF(F1686&gt;E1686,"Arrival After Appointment","OK"),"Check Format"))</f>
        <v>OK</v>
      </c>
      <c r="X1686" t="str">
        <f>IF(OR(F1686="",G1686=""),"Missing Date/Time",IFERROR(IF(G1686&lt;F1686,"Discharge Before Arrival","OK"),"Check Format"))</f>
        <v>OK</v>
      </c>
    </row>
    <row r="1687" spans="1:24" x14ac:dyDescent="0.25">
      <c r="A1687" s="2" t="s">
        <v>2441</v>
      </c>
      <c r="B1687" s="2" t="s">
        <v>719</v>
      </c>
      <c r="D1687" s="3" t="s">
        <v>209</v>
      </c>
      <c r="E1687" s="4">
        <v>45771.701388888891</v>
      </c>
      <c r="F1687" s="4">
        <v>45771.695833333331</v>
      </c>
      <c r="G1687" s="4">
        <v>45771.754861111112</v>
      </c>
      <c r="H1687" s="5">
        <v>81</v>
      </c>
      <c r="I1687" s="3" t="s">
        <v>95</v>
      </c>
      <c r="J1687" s="3" t="s">
        <v>67</v>
      </c>
      <c r="K1687" s="5">
        <v>25</v>
      </c>
      <c r="L1687" s="5">
        <v>52</v>
      </c>
      <c r="M1687" s="3" t="s">
        <v>23</v>
      </c>
      <c r="N1687" t="s">
        <v>100</v>
      </c>
      <c r="O1687" s="5">
        <v>1</v>
      </c>
      <c r="P1687" s="3" t="s">
        <v>25</v>
      </c>
      <c r="Q1687" s="2">
        <v>121.44</v>
      </c>
      <c r="R1687" s="3" t="s">
        <v>75</v>
      </c>
      <c r="S1687">
        <f>COUNTIF(A:A,A1687)</f>
        <v>1</v>
      </c>
      <c r="T1687" t="str">
        <f>IF(OR(H1687="",LOWER(TRIM(H1687&amp;""))="missing",LOWER(TRIM(H1687&amp;""))=""),"Missing/",IFERROR(IF(OR(VALUE(H1687)&lt;0,VALUE(H1687)&gt;110),"Invalid","Valid"),"Check Format"))</f>
        <v>Valid</v>
      </c>
      <c r="U1687">
        <f>IF(Raw_Data[[#This Row],[Age_Check]]="Valid",H1687,"")</f>
        <v>81</v>
      </c>
      <c r="V1687" t="str">
        <f>IF(OR(K1687="",UPPER(TRIM(K1687&amp;""))="",LOWER(TRIM(K1687&amp;""))="",LOWER(TRIM(K1687&amp;""))="",LOWER(TRIM(K1687&amp;""))="missing"),"Missing/",IFERROR(IF(VALUE(K1687)&lt;0,"Invalid","Valid"),"Check Format"))</f>
        <v>Valid</v>
      </c>
      <c r="W1687" t="str">
        <f>IF(OR(E1687="",F1687=""),"Missing Date/Time",IFERROR(IF(F1687&gt;E1687,"Arrival After Appointment","OK"),"Check Format"))</f>
        <v>OK</v>
      </c>
      <c r="X1687" t="str">
        <f>IF(OR(F1687="",G1687=""),"Missing Date/Time",IFERROR(IF(G1687&lt;F1687,"Discharge Before Arrival","OK"),"Check Format"))</f>
        <v>OK</v>
      </c>
    </row>
    <row r="1688" spans="1:24" x14ac:dyDescent="0.25">
      <c r="A1688" s="2" t="s">
        <v>2442</v>
      </c>
      <c r="B1688" s="2" t="s">
        <v>1842</v>
      </c>
      <c r="C1688" s="3" t="s">
        <v>29</v>
      </c>
      <c r="D1688" s="3" t="s">
        <v>174</v>
      </c>
      <c r="E1688" s="4">
        <v>45695.295138888891</v>
      </c>
      <c r="F1688" s="4">
        <v>45695.290972222225</v>
      </c>
      <c r="G1688" s="4">
        <v>45695.411111111112</v>
      </c>
      <c r="H1688" s="5">
        <v>36</v>
      </c>
      <c r="I1688" s="3" t="s">
        <v>95</v>
      </c>
      <c r="K1688" s="5">
        <v>108</v>
      </c>
      <c r="L1688" s="5">
        <v>59</v>
      </c>
      <c r="M1688" s="3" t="s">
        <v>41</v>
      </c>
      <c r="N1688" t="s">
        <v>24</v>
      </c>
      <c r="O1688" s="5">
        <v>6</v>
      </c>
      <c r="P1688" s="3" t="s">
        <v>80</v>
      </c>
      <c r="Q1688" s="2">
        <v>138.52000000000001</v>
      </c>
      <c r="R1688" s="3" t="s">
        <v>43</v>
      </c>
      <c r="S1688">
        <f>COUNTIF(A:A,A1688)</f>
        <v>1</v>
      </c>
      <c r="T1688" t="str">
        <f>IF(OR(H1688="",LOWER(TRIM(H1688&amp;""))="missing",LOWER(TRIM(H1688&amp;""))=""),"Missing/",IFERROR(IF(OR(VALUE(H1688)&lt;0,VALUE(H1688)&gt;110),"Invalid","Valid"),"Check Format"))</f>
        <v>Valid</v>
      </c>
      <c r="U1688">
        <f>IF(Raw_Data[[#This Row],[Age_Check]]="Valid",H1688,"")</f>
        <v>36</v>
      </c>
      <c r="V1688" t="str">
        <f>IF(OR(K1688="",UPPER(TRIM(K1688&amp;""))="",LOWER(TRIM(K1688&amp;""))="",LOWER(TRIM(K1688&amp;""))="",LOWER(TRIM(K1688&amp;""))="missing"),"Missing/",IFERROR(IF(VALUE(K1688)&lt;0,"Invalid","Valid"),"Check Format"))</f>
        <v>Valid</v>
      </c>
      <c r="W1688" t="str">
        <f>IF(OR(E1688="",F1688=""),"Missing Date/Time",IFERROR(IF(F1688&gt;E1688,"Arrival After Appointment","OK"),"Check Format"))</f>
        <v>OK</v>
      </c>
      <c r="X1688" t="str">
        <f>IF(OR(F1688="",G1688=""),"Missing Date/Time",IFERROR(IF(G1688&lt;F1688,"Discharge Before Arrival","OK"),"Check Format"))</f>
        <v>OK</v>
      </c>
    </row>
    <row r="1689" spans="1:24" x14ac:dyDescent="0.25">
      <c r="A1689" s="2" t="s">
        <v>2443</v>
      </c>
      <c r="B1689" s="2" t="s">
        <v>2254</v>
      </c>
      <c r="C1689" s="3" t="s">
        <v>46</v>
      </c>
      <c r="D1689" s="3" t="s">
        <v>30</v>
      </c>
      <c r="E1689" s="4">
        <v>45477.607638888891</v>
      </c>
      <c r="F1689" s="4">
        <v>45477.605555555558</v>
      </c>
      <c r="G1689" s="4">
        <v>45477.626388888886</v>
      </c>
      <c r="I1689" s="3" t="s">
        <v>95</v>
      </c>
      <c r="J1689" s="3" t="s">
        <v>22</v>
      </c>
      <c r="K1689" s="5">
        <v>22</v>
      </c>
      <c r="L1689" s="5">
        <v>5</v>
      </c>
      <c r="M1689" s="3" t="s">
        <v>23</v>
      </c>
      <c r="N1689" t="s">
        <v>100</v>
      </c>
      <c r="P1689" s="3" t="s">
        <v>80</v>
      </c>
      <c r="Q1689" s="2">
        <v>27.24</v>
      </c>
      <c r="R1689" s="3" t="s">
        <v>43</v>
      </c>
      <c r="S1689">
        <f>COUNTIF(A:A,A1689)</f>
        <v>1</v>
      </c>
      <c r="T1689" t="str">
        <f>IF(OR(H1689="",LOWER(TRIM(H1689&amp;""))="missing",LOWER(TRIM(H1689&amp;""))=""),"Missing/",IFERROR(IF(OR(VALUE(H1689)&lt;0,VALUE(H1689)&gt;110),"Invalid","Valid"),"Check Format"))</f>
        <v>Missing/</v>
      </c>
      <c r="U1689" t="str">
        <f>IF(Raw_Data[[#This Row],[Age_Check]]="Valid",H1689,"")</f>
        <v/>
      </c>
      <c r="V1689" t="str">
        <f>IF(OR(K1689="",UPPER(TRIM(K1689&amp;""))="",LOWER(TRIM(K1689&amp;""))="",LOWER(TRIM(K1689&amp;""))="",LOWER(TRIM(K1689&amp;""))="missing"),"Missing/",IFERROR(IF(VALUE(K1689)&lt;0,"Invalid","Valid"),"Check Format"))</f>
        <v>Valid</v>
      </c>
      <c r="W1689" t="str">
        <f>IF(OR(E1689="",F1689=""),"Missing Date/Time",IFERROR(IF(F1689&gt;E1689,"Arrival After Appointment","OK"),"Check Format"))</f>
        <v>OK</v>
      </c>
      <c r="X1689" t="str">
        <f>IF(OR(F1689="",G1689=""),"Missing Date/Time",IFERROR(IF(G1689&lt;F1689,"Discharge Before Arrival","OK"),"Check Format"))</f>
        <v>OK</v>
      </c>
    </row>
    <row r="1690" spans="1:24" x14ac:dyDescent="0.25">
      <c r="A1690" s="2" t="s">
        <v>2444</v>
      </c>
      <c r="B1690" s="2" t="s">
        <v>1734</v>
      </c>
      <c r="C1690" s="3" t="s">
        <v>46</v>
      </c>
      <c r="D1690" s="3" t="s">
        <v>115</v>
      </c>
      <c r="E1690" s="4">
        <v>45902.777777777781</v>
      </c>
      <c r="F1690" s="4">
        <v>45697.760416666664</v>
      </c>
      <c r="G1690" s="4">
        <v>45697.822916666664</v>
      </c>
      <c r="J1690" s="3" t="s">
        <v>62</v>
      </c>
      <c r="K1690" s="5">
        <v>9</v>
      </c>
      <c r="L1690" s="5">
        <v>56</v>
      </c>
      <c r="M1690" s="3" t="s">
        <v>50</v>
      </c>
      <c r="N1690" t="s">
        <v>91</v>
      </c>
      <c r="P1690" s="3" t="s">
        <v>80</v>
      </c>
      <c r="Q1690" s="2">
        <v>154.27000000000001</v>
      </c>
      <c r="R1690" s="3" t="s">
        <v>58</v>
      </c>
      <c r="S1690">
        <f>COUNTIF(A:A,A1690)</f>
        <v>1</v>
      </c>
      <c r="T1690" t="str">
        <f>IF(OR(H1690="",LOWER(TRIM(H1690&amp;""))="missing",LOWER(TRIM(H1690&amp;""))=""),"Missing/",IFERROR(IF(OR(VALUE(H1690)&lt;0,VALUE(H1690)&gt;110),"Invalid","Valid"),"Check Format"))</f>
        <v>Missing/</v>
      </c>
      <c r="U1690" t="str">
        <f>IF(Raw_Data[[#This Row],[Age_Check]]="Valid",H1690,"")</f>
        <v/>
      </c>
      <c r="V1690" t="str">
        <f>IF(OR(K1690="",UPPER(TRIM(K1690&amp;""))="",LOWER(TRIM(K1690&amp;""))="",LOWER(TRIM(K1690&amp;""))="",LOWER(TRIM(K1690&amp;""))="missing"),"Missing/",IFERROR(IF(VALUE(K1690)&lt;0,"Invalid","Valid"),"Check Format"))</f>
        <v>Valid</v>
      </c>
      <c r="W1690" t="str">
        <f>IF(OR(E1690="",F1690=""),"Missing Date/Time",IFERROR(IF(F1690&gt;E1690,"Arrival After Appointment","OK"),"Check Format"))</f>
        <v>OK</v>
      </c>
      <c r="X1690" t="str">
        <f>IF(OR(F1690="",G1690=""),"Missing Date/Time",IFERROR(IF(G1690&lt;F1690,"Discharge Before Arrival","OK"),"Check Format"))</f>
        <v>OK</v>
      </c>
    </row>
    <row r="1691" spans="1:24" x14ac:dyDescent="0.25">
      <c r="A1691" s="2" t="s">
        <v>2445</v>
      </c>
      <c r="B1691" s="2" t="s">
        <v>1252</v>
      </c>
      <c r="C1691" s="3" t="s">
        <v>46</v>
      </c>
      <c r="D1691" s="3" t="s">
        <v>115</v>
      </c>
      <c r="E1691" s="4">
        <v>45482.739583333336</v>
      </c>
      <c r="F1691" s="4">
        <v>45542.719444444447</v>
      </c>
      <c r="G1691" s="4">
        <v>45542.792361111111</v>
      </c>
      <c r="I1691" s="3" t="s">
        <v>73</v>
      </c>
      <c r="J1691" s="3" t="s">
        <v>171</v>
      </c>
      <c r="K1691" s="5">
        <v>71</v>
      </c>
      <c r="L1691" s="5">
        <v>5</v>
      </c>
      <c r="M1691" s="3" t="s">
        <v>63</v>
      </c>
      <c r="N1691" t="s">
        <v>69</v>
      </c>
      <c r="O1691" s="5">
        <v>6</v>
      </c>
      <c r="P1691" s="3" t="s">
        <v>42</v>
      </c>
      <c r="Q1691" s="2">
        <v>49.16</v>
      </c>
      <c r="R1691" s="3" t="s">
        <v>26</v>
      </c>
      <c r="S1691">
        <f>COUNTIF(A:A,A1691)</f>
        <v>1</v>
      </c>
      <c r="T1691" t="str">
        <f>IF(OR(H1691="",LOWER(TRIM(H1691&amp;""))="missing",LOWER(TRIM(H1691&amp;""))=""),"Missing/",IFERROR(IF(OR(VALUE(H1691)&lt;0,VALUE(H1691)&gt;110),"Invalid","Valid"),"Check Format"))</f>
        <v>Missing/</v>
      </c>
      <c r="U1691" t="str">
        <f>IF(Raw_Data[[#This Row],[Age_Check]]="Valid",H1691,"")</f>
        <v/>
      </c>
      <c r="V1691" t="str">
        <f>IF(OR(K1691="",UPPER(TRIM(K1691&amp;""))="",LOWER(TRIM(K1691&amp;""))="",LOWER(TRIM(K1691&amp;""))="",LOWER(TRIM(K1691&amp;""))="missing"),"Missing/",IFERROR(IF(VALUE(K1691)&lt;0,"Invalid","Valid"),"Check Format"))</f>
        <v>Valid</v>
      </c>
      <c r="W1691" t="str">
        <f>IF(OR(E1691="",F1691=""),"Missing Date/Time",IFERROR(IF(F1691&gt;E1691,"Arrival After Appointment","OK"),"Check Format"))</f>
        <v>Arrival After Appointment</v>
      </c>
      <c r="X1691" t="str">
        <f>IF(OR(F1691="",G1691=""),"Missing Date/Time",IFERROR(IF(G1691&lt;F1691,"Discharge Before Arrival","OK"),"Check Format"))</f>
        <v>OK</v>
      </c>
    </row>
    <row r="1692" spans="1:24" x14ac:dyDescent="0.25">
      <c r="A1692" s="2" t="s">
        <v>2446</v>
      </c>
      <c r="B1692" s="2" t="s">
        <v>465</v>
      </c>
      <c r="C1692" s="3" t="s">
        <v>46</v>
      </c>
      <c r="D1692" s="3" t="s">
        <v>106</v>
      </c>
      <c r="E1692" s="4">
        <v>45512.770833333336</v>
      </c>
      <c r="F1692" s="4">
        <v>45512.763888888891</v>
      </c>
      <c r="G1692" s="4">
        <v>45512.85833333333</v>
      </c>
      <c r="I1692" s="3" t="s">
        <v>73</v>
      </c>
      <c r="J1692" s="3" t="s">
        <v>62</v>
      </c>
      <c r="K1692" s="5">
        <v>89</v>
      </c>
      <c r="L1692" s="5">
        <v>37</v>
      </c>
      <c r="M1692" s="3" t="s">
        <v>23</v>
      </c>
      <c r="O1692" s="5">
        <v>4</v>
      </c>
      <c r="P1692" s="3" t="s">
        <v>80</v>
      </c>
      <c r="Q1692" s="2">
        <v>133.22</v>
      </c>
      <c r="R1692" s="3" t="s">
        <v>75</v>
      </c>
      <c r="S1692">
        <f>COUNTIF(A:A,A1692)</f>
        <v>1</v>
      </c>
      <c r="T1692" t="str">
        <f>IF(OR(H1692="",LOWER(TRIM(H1692&amp;""))="missing",LOWER(TRIM(H1692&amp;""))=""),"Missing/",IFERROR(IF(OR(VALUE(H1692)&lt;0,VALUE(H1692)&gt;110),"Invalid","Valid"),"Check Format"))</f>
        <v>Missing/</v>
      </c>
      <c r="U1692" t="str">
        <f>IF(Raw_Data[[#This Row],[Age_Check]]="Valid",H1692,"")</f>
        <v/>
      </c>
      <c r="V1692" t="str">
        <f>IF(OR(K1692="",UPPER(TRIM(K1692&amp;""))="",LOWER(TRIM(K1692&amp;""))="",LOWER(TRIM(K1692&amp;""))="",LOWER(TRIM(K1692&amp;""))="missing"),"Missing/",IFERROR(IF(VALUE(K1692)&lt;0,"Invalid","Valid"),"Check Format"))</f>
        <v>Valid</v>
      </c>
      <c r="W1692" t="str">
        <f>IF(OR(E1692="",F1692=""),"Missing Date/Time",IFERROR(IF(F1692&gt;E1692,"Arrival After Appointment","OK"),"Check Format"))</f>
        <v>OK</v>
      </c>
      <c r="X1692" t="str">
        <f>IF(OR(F1692="",G1692=""),"Missing Date/Time",IFERROR(IF(G1692&lt;F1692,"Discharge Before Arrival","OK"),"Check Format"))</f>
        <v>OK</v>
      </c>
    </row>
    <row r="1693" spans="1:24" x14ac:dyDescent="0.25">
      <c r="A1693" s="2" t="s">
        <v>2447</v>
      </c>
      <c r="B1693" s="2" t="s">
        <v>682</v>
      </c>
      <c r="C1693" s="3" t="s">
        <v>37</v>
      </c>
      <c r="D1693" s="3" t="s">
        <v>149</v>
      </c>
      <c r="E1693" s="4">
        <v>45763.440972222219</v>
      </c>
      <c r="F1693" s="4">
        <v>45763.423611111109</v>
      </c>
      <c r="G1693" s="4">
        <v>45763.536805555559</v>
      </c>
      <c r="H1693" s="5">
        <v>145</v>
      </c>
      <c r="J1693" s="3" t="s">
        <v>62</v>
      </c>
      <c r="K1693" s="5">
        <v>77</v>
      </c>
      <c r="L1693" s="5">
        <v>61</v>
      </c>
      <c r="M1693" s="3" t="s">
        <v>32</v>
      </c>
      <c r="N1693" t="s">
        <v>24</v>
      </c>
      <c r="P1693" s="3" t="s">
        <v>80</v>
      </c>
      <c r="Q1693" s="2">
        <v>127.32</v>
      </c>
      <c r="R1693" s="3" t="s">
        <v>43</v>
      </c>
      <c r="S1693">
        <f>COUNTIF(A:A,A1693)</f>
        <v>1</v>
      </c>
      <c r="T1693" t="str">
        <f>IF(OR(H1693="",LOWER(TRIM(H1693&amp;""))="missing",LOWER(TRIM(H1693&amp;""))=""),"Missing/",IFERROR(IF(OR(VALUE(H1693)&lt;0,VALUE(H1693)&gt;110),"Invalid","Valid"),"Check Format"))</f>
        <v>Invalid</v>
      </c>
      <c r="U1693" t="str">
        <f>IF(Raw_Data[[#This Row],[Age_Check]]="Valid",H1693,"")</f>
        <v/>
      </c>
      <c r="V1693" t="str">
        <f>IF(OR(K1693="",UPPER(TRIM(K1693&amp;""))="",LOWER(TRIM(K1693&amp;""))="",LOWER(TRIM(K1693&amp;""))="",LOWER(TRIM(K1693&amp;""))="missing"),"Missing/",IFERROR(IF(VALUE(K1693)&lt;0,"Invalid","Valid"),"Check Format"))</f>
        <v>Valid</v>
      </c>
      <c r="W1693" t="str">
        <f>IF(OR(E1693="",F1693=""),"Missing Date/Time",IFERROR(IF(F1693&gt;E1693,"Arrival After Appointment","OK"),"Check Format"))</f>
        <v>OK</v>
      </c>
      <c r="X1693" t="str">
        <f>IF(OR(F1693="",G1693=""),"Missing Date/Time",IFERROR(IF(G1693&lt;F1693,"Discharge Before Arrival","OK"),"Check Format"))</f>
        <v>OK</v>
      </c>
    </row>
    <row r="1694" spans="1:24" x14ac:dyDescent="0.25">
      <c r="A1694" s="2" t="s">
        <v>2448</v>
      </c>
      <c r="B1694" s="2" t="s">
        <v>2347</v>
      </c>
      <c r="C1694" s="3" t="s">
        <v>46</v>
      </c>
      <c r="D1694" s="3" t="s">
        <v>23</v>
      </c>
      <c r="E1694" s="4">
        <v>45855.784722222219</v>
      </c>
      <c r="F1694" s="4">
        <v>45855.76666666667</v>
      </c>
      <c r="G1694" s="4">
        <v>45855.850694444445</v>
      </c>
      <c r="H1694" s="5">
        <v>53</v>
      </c>
      <c r="I1694" s="3" t="s">
        <v>95</v>
      </c>
      <c r="J1694" s="3" t="s">
        <v>62</v>
      </c>
      <c r="K1694" s="5">
        <v>60</v>
      </c>
      <c r="L1694" s="5">
        <v>35</v>
      </c>
      <c r="M1694" s="3" t="s">
        <v>68</v>
      </c>
      <c r="N1694" t="s">
        <v>91</v>
      </c>
      <c r="O1694" s="5">
        <v>0</v>
      </c>
      <c r="P1694" s="3" t="s">
        <v>25</v>
      </c>
      <c r="Q1694" s="2">
        <v>336.37</v>
      </c>
      <c r="R1694" s="3" t="s">
        <v>58</v>
      </c>
      <c r="S1694">
        <f>COUNTIF(A:A,A1694)</f>
        <v>1</v>
      </c>
      <c r="T1694" t="str">
        <f>IF(OR(H1694="",LOWER(TRIM(H1694&amp;""))="missing",LOWER(TRIM(H1694&amp;""))=""),"Missing/",IFERROR(IF(OR(VALUE(H1694)&lt;0,VALUE(H1694)&gt;110),"Invalid","Valid"),"Check Format"))</f>
        <v>Valid</v>
      </c>
      <c r="U1694">
        <f>IF(Raw_Data[[#This Row],[Age_Check]]="Valid",H1694,"")</f>
        <v>53</v>
      </c>
      <c r="V1694" t="str">
        <f>IF(OR(K1694="",UPPER(TRIM(K1694&amp;""))="",LOWER(TRIM(K1694&amp;""))="",LOWER(TRIM(K1694&amp;""))="",LOWER(TRIM(K1694&amp;""))="missing"),"Missing/",IFERROR(IF(VALUE(K1694)&lt;0,"Invalid","Valid"),"Check Format"))</f>
        <v>Valid</v>
      </c>
      <c r="W1694" t="str">
        <f>IF(OR(E1694="",F1694=""),"Missing Date/Time",IFERROR(IF(F1694&gt;E1694,"Arrival After Appointment","OK"),"Check Format"))</f>
        <v>OK</v>
      </c>
      <c r="X1694" t="str">
        <f>IF(OR(F1694="",G1694=""),"Missing Date/Time",IFERROR(IF(G1694&lt;F1694,"Discharge Before Arrival","OK"),"Check Format"))</f>
        <v>OK</v>
      </c>
    </row>
    <row r="1695" spans="1:24" x14ac:dyDescent="0.25">
      <c r="A1695" s="2" t="s">
        <v>2449</v>
      </c>
      <c r="B1695" s="2" t="s">
        <v>966</v>
      </c>
      <c r="C1695" s="3" t="s">
        <v>46</v>
      </c>
      <c r="D1695" s="3" t="s">
        <v>174</v>
      </c>
      <c r="E1695" s="4">
        <v>45335.704861111109</v>
      </c>
      <c r="F1695" s="4">
        <v>45335.704861111109</v>
      </c>
      <c r="J1695" s="3" t="s">
        <v>67</v>
      </c>
      <c r="K1695" s="5">
        <v>0</v>
      </c>
      <c r="L1695" s="5">
        <v>44</v>
      </c>
      <c r="M1695" s="3" t="s">
        <v>32</v>
      </c>
      <c r="N1695" t="s">
        <v>69</v>
      </c>
      <c r="P1695" s="3" t="s">
        <v>80</v>
      </c>
      <c r="Q1695" s="2">
        <v>135.82</v>
      </c>
      <c r="R1695" s="3" t="s">
        <v>75</v>
      </c>
      <c r="S1695">
        <f>COUNTIF(A:A,A1695)</f>
        <v>1</v>
      </c>
      <c r="T1695" t="str">
        <f>IF(OR(H1695="",LOWER(TRIM(H1695&amp;""))="missing",LOWER(TRIM(H1695&amp;""))=""),"Missing/",IFERROR(IF(OR(VALUE(H1695)&lt;0,VALUE(H1695)&gt;110),"Invalid","Valid"),"Check Format"))</f>
        <v>Missing/</v>
      </c>
      <c r="U1695" t="str">
        <f>IF(Raw_Data[[#This Row],[Age_Check]]="Valid",H1695,"")</f>
        <v/>
      </c>
      <c r="V1695" t="str">
        <f>IF(OR(K1695="",UPPER(TRIM(K1695&amp;""))="",LOWER(TRIM(K1695&amp;""))="",LOWER(TRIM(K1695&amp;""))="",LOWER(TRIM(K1695&amp;""))="missing"),"Missing/",IFERROR(IF(VALUE(K1695)&lt;0,"Invalid","Valid"),"Check Format"))</f>
        <v>Valid</v>
      </c>
      <c r="W1695" t="str">
        <f>IF(OR(E1695="",F1695=""),"Missing Date/Time",IFERROR(IF(F1695&gt;E1695,"Arrival After Appointment","OK"),"Check Format"))</f>
        <v>OK</v>
      </c>
      <c r="X1695" t="str">
        <f>IF(OR(F1695="",G1695=""),"Missing Date/Time",IFERROR(IF(G1695&lt;F1695,"Discharge Before Arrival","OK"),"Check Format"))</f>
        <v>Missing Date/Time</v>
      </c>
    </row>
    <row r="1696" spans="1:24" x14ac:dyDescent="0.25">
      <c r="A1696" s="2" t="s">
        <v>2450</v>
      </c>
      <c r="B1696" s="2" t="s">
        <v>721</v>
      </c>
      <c r="C1696" s="3" t="s">
        <v>46</v>
      </c>
      <c r="D1696" s="3" t="s">
        <v>149</v>
      </c>
      <c r="E1696" s="4">
        <v>45840.559027777781</v>
      </c>
      <c r="F1696" s="4">
        <v>45695.551388888889</v>
      </c>
      <c r="I1696" s="3" t="s">
        <v>95</v>
      </c>
      <c r="J1696" s="3" t="s">
        <v>171</v>
      </c>
      <c r="K1696" s="5">
        <v>77</v>
      </c>
      <c r="L1696" s="5">
        <v>20</v>
      </c>
      <c r="M1696" s="3" t="s">
        <v>41</v>
      </c>
      <c r="N1696" t="s">
        <v>100</v>
      </c>
      <c r="P1696" s="3" t="s">
        <v>80</v>
      </c>
      <c r="Q1696" s="2">
        <v>141.08000000000001</v>
      </c>
      <c r="R1696" s="3" t="s">
        <v>43</v>
      </c>
      <c r="S1696">
        <f>COUNTIF(A:A,A1696)</f>
        <v>1</v>
      </c>
      <c r="T1696" t="str">
        <f>IF(OR(H1696="",LOWER(TRIM(H1696&amp;""))="missing",LOWER(TRIM(H1696&amp;""))=""),"Missing/",IFERROR(IF(OR(VALUE(H1696)&lt;0,VALUE(H1696)&gt;110),"Invalid","Valid"),"Check Format"))</f>
        <v>Missing/</v>
      </c>
      <c r="U1696" t="str">
        <f>IF(Raw_Data[[#This Row],[Age_Check]]="Valid",H1696,"")</f>
        <v/>
      </c>
      <c r="V1696" t="str">
        <f>IF(OR(K1696="",UPPER(TRIM(K1696&amp;""))="",LOWER(TRIM(K1696&amp;""))="",LOWER(TRIM(K1696&amp;""))="",LOWER(TRIM(K1696&amp;""))="missing"),"Missing/",IFERROR(IF(VALUE(K1696)&lt;0,"Invalid","Valid"),"Check Format"))</f>
        <v>Valid</v>
      </c>
      <c r="W1696" t="str">
        <f>IF(OR(E1696="",F1696=""),"Missing Date/Time",IFERROR(IF(F1696&gt;E1696,"Arrival After Appointment","OK"),"Check Format"))</f>
        <v>OK</v>
      </c>
      <c r="X1696" t="str">
        <f>IF(OR(F1696="",G1696=""),"Missing Date/Time",IFERROR(IF(G1696&lt;F1696,"Discharge Before Arrival","OK"),"Check Format"))</f>
        <v>Missing Date/Time</v>
      </c>
    </row>
    <row r="1697" spans="1:24" x14ac:dyDescent="0.25">
      <c r="A1697" s="2" t="s">
        <v>1665</v>
      </c>
      <c r="B1697" s="2" t="s">
        <v>524</v>
      </c>
      <c r="C1697" s="3" t="s">
        <v>29</v>
      </c>
      <c r="D1697" s="3" t="s">
        <v>47</v>
      </c>
      <c r="E1697" s="4" t="s">
        <v>1667</v>
      </c>
      <c r="F1697" s="4">
        <v>45521.504861111112</v>
      </c>
      <c r="G1697" s="4">
        <v>45521.629166666666</v>
      </c>
      <c r="I1697" s="3" t="s">
        <v>73</v>
      </c>
      <c r="J1697" s="3" t="s">
        <v>2639</v>
      </c>
      <c r="K1697" s="5">
        <v>121</v>
      </c>
      <c r="L1697" s="5">
        <v>45</v>
      </c>
      <c r="O1697" s="5">
        <v>6</v>
      </c>
      <c r="P1697" s="3" t="s">
        <v>80</v>
      </c>
      <c r="Q1697" s="2">
        <v>189.24</v>
      </c>
      <c r="R1697" s="3" t="s">
        <v>43</v>
      </c>
      <c r="S1697">
        <f>COUNTIF(A:A,A1697)</f>
        <v>2</v>
      </c>
      <c r="T1697" t="str">
        <f>IF(OR(H1697="",LOWER(TRIM(H1697&amp;""))="missing",LOWER(TRIM(H1697&amp;""))=""),"Missing/",IFERROR(IF(OR(VALUE(H1697)&lt;0,VALUE(H1697)&gt;110),"Invalid","Valid"),"Check Format"))</f>
        <v>Missing/</v>
      </c>
      <c r="U1697" t="str">
        <f>IF(Raw_Data[[#This Row],[Age_Check]]="Valid",H1697,"")</f>
        <v/>
      </c>
      <c r="V1697" t="str">
        <f>IF(OR(K1697="",UPPER(TRIM(K1697&amp;""))="",LOWER(TRIM(K1697&amp;""))="",LOWER(TRIM(K1697&amp;""))="",LOWER(TRIM(K1697&amp;""))="missing"),"Missing/",IFERROR(IF(VALUE(K1697)&lt;0,"Invalid","Valid"),"Check Format"))</f>
        <v>Valid</v>
      </c>
      <c r="W1697" t="str">
        <f>IF(OR(E1697="",F1697=""),"Missing Date/Time",IFERROR(IF(F1697&gt;E1697,"Arrival After Appointment","OK"),"Check Format"))</f>
        <v>OK</v>
      </c>
      <c r="X1697" t="str">
        <f>IF(OR(F1697="",G1697=""),"Missing Date/Time",IFERROR(IF(G1697&lt;F1697,"Discharge Before Arrival","OK"),"Check Format"))</f>
        <v>OK</v>
      </c>
    </row>
    <row r="1698" spans="1:24" x14ac:dyDescent="0.25">
      <c r="A1698" s="2" t="s">
        <v>2452</v>
      </c>
      <c r="B1698" s="2" t="s">
        <v>1160</v>
      </c>
      <c r="C1698" s="3" t="s">
        <v>46</v>
      </c>
      <c r="D1698" s="3" t="s">
        <v>23</v>
      </c>
      <c r="E1698" s="4">
        <v>45994.715277777781</v>
      </c>
      <c r="F1698" s="4">
        <v>45994.709722222222</v>
      </c>
      <c r="G1698" s="4">
        <v>45994.751388888886</v>
      </c>
      <c r="K1698" s="5">
        <v>28</v>
      </c>
      <c r="L1698" s="5">
        <v>24</v>
      </c>
      <c r="M1698" s="3" t="s">
        <v>32</v>
      </c>
      <c r="N1698" t="s">
        <v>103</v>
      </c>
      <c r="P1698" s="3" t="s">
        <v>25</v>
      </c>
      <c r="Q1698" s="2">
        <v>108.73</v>
      </c>
      <c r="R1698" s="3" t="s">
        <v>43</v>
      </c>
      <c r="S1698">
        <f>COUNTIF(A:A,A1698)</f>
        <v>1</v>
      </c>
      <c r="T1698" t="str">
        <f>IF(OR(H1698="",LOWER(TRIM(H1698&amp;""))="missing",LOWER(TRIM(H1698&amp;""))=""),"Missing/",IFERROR(IF(OR(VALUE(H1698)&lt;0,VALUE(H1698)&gt;110),"Invalid","Valid"),"Check Format"))</f>
        <v>Missing/</v>
      </c>
      <c r="U1698" t="str">
        <f>IF(Raw_Data[[#This Row],[Age_Check]]="Valid",H1698,"")</f>
        <v/>
      </c>
      <c r="V1698" t="str">
        <f>IF(OR(K1698="",UPPER(TRIM(K1698&amp;""))="",LOWER(TRIM(K1698&amp;""))="",LOWER(TRIM(K1698&amp;""))="",LOWER(TRIM(K1698&amp;""))="missing"),"Missing/",IFERROR(IF(VALUE(K1698)&lt;0,"Invalid","Valid"),"Check Format"))</f>
        <v>Valid</v>
      </c>
      <c r="W1698" t="str">
        <f>IF(OR(E1698="",F1698=""),"Missing Date/Time",IFERROR(IF(F1698&gt;E1698,"Arrival After Appointment","OK"),"Check Format"))</f>
        <v>OK</v>
      </c>
      <c r="X1698" t="str">
        <f>IF(OR(F1698="",G1698=""),"Missing Date/Time",IFERROR(IF(G1698&lt;F1698,"Discharge Before Arrival","OK"),"Check Format"))</f>
        <v>OK</v>
      </c>
    </row>
    <row r="1699" spans="1:24" x14ac:dyDescent="0.25">
      <c r="A1699" s="2" t="s">
        <v>2453</v>
      </c>
      <c r="B1699" s="2" t="s">
        <v>154</v>
      </c>
      <c r="C1699" s="3" t="s">
        <v>37</v>
      </c>
      <c r="D1699" s="3" t="s">
        <v>20</v>
      </c>
      <c r="E1699" s="4">
        <v>45804.71875</v>
      </c>
      <c r="F1699" s="4">
        <v>45804.7</v>
      </c>
      <c r="G1699" s="4">
        <v>45804.736805555556</v>
      </c>
      <c r="H1699" s="5">
        <v>91</v>
      </c>
      <c r="I1699" s="3" t="s">
        <v>39</v>
      </c>
      <c r="J1699" s="3" t="s">
        <v>67</v>
      </c>
      <c r="K1699" s="5">
        <v>0</v>
      </c>
      <c r="L1699" s="5">
        <v>26</v>
      </c>
      <c r="M1699" s="3" t="s">
        <v>41</v>
      </c>
      <c r="O1699" s="5">
        <v>0</v>
      </c>
      <c r="P1699" s="3" t="s">
        <v>80</v>
      </c>
      <c r="Q1699" s="2">
        <v>203.63</v>
      </c>
      <c r="R1699" s="3" t="s">
        <v>58</v>
      </c>
      <c r="S1699">
        <f>COUNTIF(A:A,A1699)</f>
        <v>1</v>
      </c>
      <c r="T1699" t="str">
        <f>IF(OR(H1699="",LOWER(TRIM(H1699&amp;""))="missing",LOWER(TRIM(H1699&amp;""))=""),"Missing/",IFERROR(IF(OR(VALUE(H1699)&lt;0,VALUE(H1699)&gt;110),"Invalid","Valid"),"Check Format"))</f>
        <v>Valid</v>
      </c>
      <c r="U1699">
        <f>IF(Raw_Data[[#This Row],[Age_Check]]="Valid",H1699,"")</f>
        <v>91</v>
      </c>
      <c r="V1699" t="str">
        <f>IF(OR(K1699="",UPPER(TRIM(K1699&amp;""))="",LOWER(TRIM(K1699&amp;""))="",LOWER(TRIM(K1699&amp;""))="",LOWER(TRIM(K1699&amp;""))="missing"),"Missing/",IFERROR(IF(VALUE(K1699)&lt;0,"Invalid","Valid"),"Check Format"))</f>
        <v>Valid</v>
      </c>
      <c r="W1699" t="str">
        <f>IF(OR(E1699="",F1699=""),"Missing Date/Time",IFERROR(IF(F1699&gt;E1699,"Arrival After Appointment","OK"),"Check Format"))</f>
        <v>OK</v>
      </c>
      <c r="X1699" t="str">
        <f>IF(OR(F1699="",G1699=""),"Missing Date/Time",IFERROR(IF(G1699&lt;F1699,"Discharge Before Arrival","OK"),"Check Format"))</f>
        <v>OK</v>
      </c>
    </row>
    <row r="1700" spans="1:24" x14ac:dyDescent="0.25">
      <c r="A1700" s="2" t="s">
        <v>2454</v>
      </c>
      <c r="B1700" s="2" t="s">
        <v>1439</v>
      </c>
      <c r="C1700" s="3" t="s">
        <v>46</v>
      </c>
      <c r="D1700" s="3" t="s">
        <v>115</v>
      </c>
      <c r="E1700" s="4">
        <v>45348.732638888891</v>
      </c>
      <c r="F1700" s="4">
        <v>45348.714583333334</v>
      </c>
      <c r="G1700" s="4">
        <v>45348.776388888888</v>
      </c>
      <c r="I1700" s="3" t="s">
        <v>73</v>
      </c>
      <c r="J1700" s="3" t="s">
        <v>171</v>
      </c>
      <c r="K1700" s="5">
        <v>13</v>
      </c>
      <c r="L1700" s="5">
        <v>50</v>
      </c>
      <c r="M1700" s="3" t="s">
        <v>68</v>
      </c>
      <c r="N1700" t="s">
        <v>69</v>
      </c>
      <c r="O1700" s="5">
        <v>6</v>
      </c>
      <c r="P1700" s="3" t="s">
        <v>42</v>
      </c>
      <c r="Q1700" s="2">
        <v>184.02</v>
      </c>
      <c r="R1700" s="3" t="s">
        <v>26</v>
      </c>
      <c r="S1700">
        <f>COUNTIF(A:A,A1700)</f>
        <v>1</v>
      </c>
      <c r="T1700" t="str">
        <f>IF(OR(H1700="",LOWER(TRIM(H1700&amp;""))="missing",LOWER(TRIM(H1700&amp;""))=""),"Missing/",IFERROR(IF(OR(VALUE(H1700)&lt;0,VALUE(H1700)&gt;110),"Invalid","Valid"),"Check Format"))</f>
        <v>Missing/</v>
      </c>
      <c r="U1700" t="str">
        <f>IF(Raw_Data[[#This Row],[Age_Check]]="Valid",H1700,"")</f>
        <v/>
      </c>
      <c r="V1700" t="str">
        <f>IF(OR(K1700="",UPPER(TRIM(K1700&amp;""))="",LOWER(TRIM(K1700&amp;""))="",LOWER(TRIM(K1700&amp;""))="",LOWER(TRIM(K1700&amp;""))="missing"),"Missing/",IFERROR(IF(VALUE(K1700)&lt;0,"Invalid","Valid"),"Check Format"))</f>
        <v>Valid</v>
      </c>
      <c r="W1700" t="str">
        <f>IF(OR(E1700="",F1700=""),"Missing Date/Time",IFERROR(IF(F1700&gt;E1700,"Arrival After Appointment","OK"),"Check Format"))</f>
        <v>OK</v>
      </c>
      <c r="X1700" t="str">
        <f>IF(OR(F1700="",G1700=""),"Missing Date/Time",IFERROR(IF(G1700&lt;F1700,"Discharge Before Arrival","OK"),"Check Format"))</f>
        <v>OK</v>
      </c>
    </row>
    <row r="1701" spans="1:24" x14ac:dyDescent="0.25">
      <c r="A1701" s="2" t="s">
        <v>2455</v>
      </c>
      <c r="B1701" s="2" t="s">
        <v>508</v>
      </c>
      <c r="C1701" s="3" t="s">
        <v>46</v>
      </c>
      <c r="D1701" s="3" t="s">
        <v>106</v>
      </c>
      <c r="E1701" s="4">
        <v>45401.6875</v>
      </c>
      <c r="F1701" s="4">
        <v>45401.675000000003</v>
      </c>
      <c r="G1701" s="4">
        <v>45401.729861111111</v>
      </c>
      <c r="I1701" s="3" t="s">
        <v>73</v>
      </c>
      <c r="J1701" s="3" t="s">
        <v>171</v>
      </c>
      <c r="K1701" s="5">
        <v>32</v>
      </c>
      <c r="L1701" s="5">
        <v>29</v>
      </c>
      <c r="M1701" s="3" t="s">
        <v>41</v>
      </c>
      <c r="N1701" t="s">
        <v>69</v>
      </c>
      <c r="O1701" s="5">
        <v>4</v>
      </c>
      <c r="P1701" s="3" t="s">
        <v>25</v>
      </c>
      <c r="Q1701" s="2">
        <v>272.87</v>
      </c>
      <c r="R1701" s="3" t="s">
        <v>43</v>
      </c>
      <c r="S1701">
        <f>COUNTIF(A:A,A1701)</f>
        <v>1</v>
      </c>
      <c r="T1701" t="str">
        <f>IF(OR(H1701="",LOWER(TRIM(H1701&amp;""))="missing",LOWER(TRIM(H1701&amp;""))=""),"Missing/",IFERROR(IF(OR(VALUE(H1701)&lt;0,VALUE(H1701)&gt;110),"Invalid","Valid"),"Check Format"))</f>
        <v>Missing/</v>
      </c>
      <c r="U1701" t="str">
        <f>IF(Raw_Data[[#This Row],[Age_Check]]="Valid",H1701,"")</f>
        <v/>
      </c>
      <c r="V1701" t="str">
        <f>IF(OR(K1701="",UPPER(TRIM(K1701&amp;""))="",LOWER(TRIM(K1701&amp;""))="",LOWER(TRIM(K1701&amp;""))="",LOWER(TRIM(K1701&amp;""))="missing"),"Missing/",IFERROR(IF(VALUE(K1701)&lt;0,"Invalid","Valid"),"Check Format"))</f>
        <v>Valid</v>
      </c>
      <c r="W1701" t="str">
        <f>IF(OR(E1701="",F1701=""),"Missing Date/Time",IFERROR(IF(F1701&gt;E1701,"Arrival After Appointment","OK"),"Check Format"))</f>
        <v>OK</v>
      </c>
      <c r="X1701" t="str">
        <f>IF(OR(F1701="",G1701=""),"Missing Date/Time",IFERROR(IF(G1701&lt;F1701,"Discharge Before Arrival","OK"),"Check Format"))</f>
        <v>OK</v>
      </c>
    </row>
    <row r="1702" spans="1:24" x14ac:dyDescent="0.25">
      <c r="A1702" s="2" t="s">
        <v>2456</v>
      </c>
      <c r="B1702" s="2" t="s">
        <v>431</v>
      </c>
      <c r="D1702" s="3" t="s">
        <v>72</v>
      </c>
      <c r="E1702" s="4" t="s">
        <v>2457</v>
      </c>
      <c r="F1702" s="4">
        <v>45347.513888888891</v>
      </c>
      <c r="G1702" s="4">
        <v>45347.614583333336</v>
      </c>
      <c r="H1702" s="5">
        <v>91</v>
      </c>
      <c r="I1702" s="3" t="s">
        <v>90</v>
      </c>
      <c r="J1702" s="3" t="s">
        <v>62</v>
      </c>
      <c r="K1702" s="5">
        <v>83</v>
      </c>
      <c r="L1702" s="5">
        <v>32</v>
      </c>
      <c r="M1702" s="3" t="s">
        <v>23</v>
      </c>
      <c r="N1702" t="s">
        <v>100</v>
      </c>
      <c r="O1702" s="5">
        <v>3</v>
      </c>
      <c r="Q1702" s="2">
        <v>125.99</v>
      </c>
      <c r="R1702" s="3" t="s">
        <v>58</v>
      </c>
      <c r="S1702">
        <f>COUNTIF(A:A,A1702)</f>
        <v>1</v>
      </c>
      <c r="T1702" t="str">
        <f>IF(OR(H1702="",LOWER(TRIM(H1702&amp;""))="missing",LOWER(TRIM(H1702&amp;""))=""),"Missing/",IFERROR(IF(OR(VALUE(H1702)&lt;0,VALUE(H1702)&gt;110),"Invalid","Valid"),"Check Format"))</f>
        <v>Valid</v>
      </c>
      <c r="U1702">
        <f>IF(Raw_Data[[#This Row],[Age_Check]]="Valid",H1702,"")</f>
        <v>91</v>
      </c>
      <c r="V1702" t="str">
        <f>IF(OR(K1702="",UPPER(TRIM(K1702&amp;""))="",LOWER(TRIM(K1702&amp;""))="",LOWER(TRIM(K1702&amp;""))="",LOWER(TRIM(K1702&amp;""))="missing"),"Missing/",IFERROR(IF(VALUE(K1702)&lt;0,"Invalid","Valid"),"Check Format"))</f>
        <v>Valid</v>
      </c>
      <c r="W1702" t="str">
        <f>IF(OR(E1702="",F1702=""),"Missing Date/Time",IFERROR(IF(F1702&gt;E1702,"Arrival After Appointment","OK"),"Check Format"))</f>
        <v>OK</v>
      </c>
      <c r="X1702" t="str">
        <f>IF(OR(F1702="",G1702=""),"Missing Date/Time",IFERROR(IF(G1702&lt;F1702,"Discharge Before Arrival","OK"),"Check Format"))</f>
        <v>OK</v>
      </c>
    </row>
    <row r="1703" spans="1:24" x14ac:dyDescent="0.25">
      <c r="A1703" s="2" t="s">
        <v>2458</v>
      </c>
      <c r="B1703" s="2" t="s">
        <v>552</v>
      </c>
      <c r="C1703" s="3" t="s">
        <v>94</v>
      </c>
      <c r="D1703" s="3" t="s">
        <v>174</v>
      </c>
      <c r="E1703" s="4">
        <v>45910.559027777781</v>
      </c>
      <c r="F1703" s="4">
        <v>45910.548611111109</v>
      </c>
      <c r="G1703" s="4">
        <v>45910.615972222222</v>
      </c>
      <c r="J1703" s="3" t="s">
        <v>171</v>
      </c>
      <c r="K1703" s="5">
        <v>60</v>
      </c>
      <c r="L1703" s="5">
        <v>22</v>
      </c>
      <c r="M1703" s="3" t="s">
        <v>87</v>
      </c>
      <c r="N1703" t="s">
        <v>24</v>
      </c>
      <c r="P1703" s="3" t="s">
        <v>25</v>
      </c>
      <c r="Q1703" s="2">
        <v>0</v>
      </c>
      <c r="R1703" s="3" t="s">
        <v>58</v>
      </c>
      <c r="S1703">
        <f>COUNTIF(A:A,A1703)</f>
        <v>1</v>
      </c>
      <c r="T1703" t="str">
        <f>IF(OR(H1703="",LOWER(TRIM(H1703&amp;""))="missing",LOWER(TRIM(H1703&amp;""))=""),"Missing/",IFERROR(IF(OR(VALUE(H1703)&lt;0,VALUE(H1703)&gt;110),"Invalid","Valid"),"Check Format"))</f>
        <v>Missing/</v>
      </c>
      <c r="U1703" t="str">
        <f>IF(Raw_Data[[#This Row],[Age_Check]]="Valid",H1703,"")</f>
        <v/>
      </c>
      <c r="V1703" t="str">
        <f>IF(OR(K1703="",UPPER(TRIM(K1703&amp;""))="",LOWER(TRIM(K1703&amp;""))="",LOWER(TRIM(K1703&amp;""))="",LOWER(TRIM(K1703&amp;""))="missing"),"Missing/",IFERROR(IF(VALUE(K1703)&lt;0,"Invalid","Valid"),"Check Format"))</f>
        <v>Valid</v>
      </c>
      <c r="W1703" t="str">
        <f>IF(OR(E1703="",F1703=""),"Missing Date/Time",IFERROR(IF(F1703&gt;E1703,"Arrival After Appointment","OK"),"Check Format"))</f>
        <v>OK</v>
      </c>
      <c r="X1703" t="str">
        <f>IF(OR(F1703="",G1703=""),"Missing Date/Time",IFERROR(IF(G1703&lt;F1703,"Discharge Before Arrival","OK"),"Check Format"))</f>
        <v>OK</v>
      </c>
    </row>
    <row r="1704" spans="1:24" x14ac:dyDescent="0.25">
      <c r="A1704" s="2" t="s">
        <v>2459</v>
      </c>
      <c r="B1704" s="2" t="s">
        <v>379</v>
      </c>
      <c r="C1704" s="3" t="s">
        <v>94</v>
      </c>
      <c r="D1704" s="3" t="s">
        <v>106</v>
      </c>
      <c r="E1704" s="4">
        <v>45591.777777777781</v>
      </c>
      <c r="F1704" s="4">
        <v>45591.773611111108</v>
      </c>
      <c r="G1704" s="4">
        <v>45591.890972222223</v>
      </c>
      <c r="H1704" s="5">
        <v>27</v>
      </c>
      <c r="I1704" s="3" t="s">
        <v>95</v>
      </c>
      <c r="J1704" s="3" t="s">
        <v>171</v>
      </c>
      <c r="K1704" s="5">
        <v>129</v>
      </c>
      <c r="L1704" s="5">
        <v>34</v>
      </c>
      <c r="M1704" s="3" t="s">
        <v>50</v>
      </c>
      <c r="N1704" t="s">
        <v>24</v>
      </c>
      <c r="O1704" s="5">
        <v>3</v>
      </c>
      <c r="P1704" s="3" t="s">
        <v>80</v>
      </c>
      <c r="R1704" s="3" t="s">
        <v>58</v>
      </c>
      <c r="S1704">
        <f>COUNTIF(A:A,A1704)</f>
        <v>1</v>
      </c>
      <c r="T1704" t="str">
        <f>IF(OR(H1704="",LOWER(TRIM(H1704&amp;""))="missing",LOWER(TRIM(H1704&amp;""))=""),"Missing/",IFERROR(IF(OR(VALUE(H1704)&lt;0,VALUE(H1704)&gt;110),"Invalid","Valid"),"Check Format"))</f>
        <v>Valid</v>
      </c>
      <c r="U1704">
        <f>IF(Raw_Data[[#This Row],[Age_Check]]="Valid",H1704,"")</f>
        <v>27</v>
      </c>
      <c r="V1704" t="str">
        <f>IF(OR(K1704="",UPPER(TRIM(K1704&amp;""))="",LOWER(TRIM(K1704&amp;""))="",LOWER(TRIM(K1704&amp;""))="",LOWER(TRIM(K1704&amp;""))="missing"),"Missing/",IFERROR(IF(VALUE(K1704)&lt;0,"Invalid","Valid"),"Check Format"))</f>
        <v>Valid</v>
      </c>
      <c r="W1704" t="str">
        <f>IF(OR(E1704="",F1704=""),"Missing Date/Time",IFERROR(IF(F1704&gt;E1704,"Arrival After Appointment","OK"),"Check Format"))</f>
        <v>OK</v>
      </c>
      <c r="X1704" t="str">
        <f>IF(OR(F1704="",G1704=""),"Missing Date/Time",IFERROR(IF(G1704&lt;F1704,"Discharge Before Arrival","OK"),"Check Format"))</f>
        <v>OK</v>
      </c>
    </row>
    <row r="1705" spans="1:24" x14ac:dyDescent="0.25">
      <c r="A1705" s="2" t="s">
        <v>2460</v>
      </c>
      <c r="B1705" s="2" t="s">
        <v>1753</v>
      </c>
      <c r="C1705" s="3" t="s">
        <v>19</v>
      </c>
      <c r="D1705" s="3" t="s">
        <v>99</v>
      </c>
      <c r="E1705" s="4">
        <v>45660.607638888891</v>
      </c>
      <c r="F1705" s="4">
        <v>45660.604166666664</v>
      </c>
      <c r="G1705" s="4">
        <v>45660.677777777775</v>
      </c>
      <c r="H1705" s="5">
        <v>82</v>
      </c>
      <c r="J1705" s="3" t="s">
        <v>62</v>
      </c>
      <c r="K1705" s="5">
        <v>71</v>
      </c>
      <c r="L1705" s="5">
        <v>30</v>
      </c>
      <c r="M1705" s="3" t="s">
        <v>41</v>
      </c>
      <c r="N1705" t="s">
        <v>69</v>
      </c>
      <c r="O1705" s="5">
        <v>0</v>
      </c>
      <c r="P1705" s="3" t="s">
        <v>42</v>
      </c>
      <c r="Q1705" s="2">
        <v>86.19</v>
      </c>
      <c r="R1705" s="3" t="s">
        <v>75</v>
      </c>
      <c r="S1705">
        <f>COUNTIF(A:A,A1705)</f>
        <v>1</v>
      </c>
      <c r="T1705" t="str">
        <f>IF(OR(H1705="",LOWER(TRIM(H1705&amp;""))="missing",LOWER(TRIM(H1705&amp;""))=""),"Missing/",IFERROR(IF(OR(VALUE(H1705)&lt;0,VALUE(H1705)&gt;110),"Invalid","Valid"),"Check Format"))</f>
        <v>Valid</v>
      </c>
      <c r="U1705">
        <f>IF(Raw_Data[[#This Row],[Age_Check]]="Valid",H1705,"")</f>
        <v>82</v>
      </c>
      <c r="V1705" t="str">
        <f>IF(OR(K1705="",UPPER(TRIM(K1705&amp;""))="",LOWER(TRIM(K1705&amp;""))="",LOWER(TRIM(K1705&amp;""))="",LOWER(TRIM(K1705&amp;""))="missing"),"Missing/",IFERROR(IF(VALUE(K1705)&lt;0,"Invalid","Valid"),"Check Format"))</f>
        <v>Valid</v>
      </c>
      <c r="W1705" t="str">
        <f>IF(OR(E1705="",F1705=""),"Missing Date/Time",IFERROR(IF(F1705&gt;E1705,"Arrival After Appointment","OK"),"Check Format"))</f>
        <v>OK</v>
      </c>
      <c r="X1705" t="str">
        <f>IF(OR(F1705="",G1705=""),"Missing Date/Time",IFERROR(IF(G1705&lt;F1705,"Discharge Before Arrival","OK"),"Check Format"))</f>
        <v>OK</v>
      </c>
    </row>
    <row r="1706" spans="1:24" x14ac:dyDescent="0.25">
      <c r="A1706" s="2" t="s">
        <v>1855</v>
      </c>
      <c r="B1706" s="2" t="s">
        <v>60</v>
      </c>
      <c r="C1706" s="3" t="s">
        <v>37</v>
      </c>
      <c r="D1706" s="3" t="s">
        <v>47</v>
      </c>
      <c r="E1706" s="4" t="s">
        <v>1856</v>
      </c>
      <c r="F1706" s="4">
        <v>45340.323611111111</v>
      </c>
      <c r="G1706" s="4">
        <v>45340.411111111112</v>
      </c>
      <c r="H1706" s="5">
        <v>30</v>
      </c>
      <c r="I1706" s="3" t="s">
        <v>90</v>
      </c>
      <c r="J1706" s="3" t="s">
        <v>150</v>
      </c>
      <c r="K1706" s="5">
        <v>102</v>
      </c>
      <c r="L1706" s="5">
        <v>5</v>
      </c>
      <c r="M1706" s="3" t="s">
        <v>32</v>
      </c>
      <c r="N1706" t="s">
        <v>69</v>
      </c>
      <c r="P1706" s="3" t="s">
        <v>80</v>
      </c>
      <c r="Q1706" s="2">
        <v>185.22</v>
      </c>
      <c r="R1706" s="3" t="s">
        <v>75</v>
      </c>
      <c r="S1706">
        <f>COUNTIF(A:A,A1706)</f>
        <v>1</v>
      </c>
      <c r="T1706" t="str">
        <f>IF(OR(H1706="",LOWER(TRIM(H1706&amp;""))="missing",LOWER(TRIM(H1706&amp;""))=""),"Missing/",IFERROR(IF(OR(VALUE(H1706)&lt;0,VALUE(H1706)&gt;110),"Invalid","Valid"),"Check Format"))</f>
        <v>Valid</v>
      </c>
      <c r="U1706">
        <f>IF(Raw_Data[[#This Row],[Age_Check]]="Valid",H1706,"")</f>
        <v>30</v>
      </c>
      <c r="V1706" t="str">
        <f>IF(OR(K1706="",UPPER(TRIM(K1706&amp;""))="",LOWER(TRIM(K1706&amp;""))="",LOWER(TRIM(K1706&amp;""))="",LOWER(TRIM(K1706&amp;""))="missing"),"Missing/",IFERROR(IF(VALUE(K1706)&lt;0,"Invalid","Valid"),"Check Format"))</f>
        <v>Valid</v>
      </c>
      <c r="W1706" t="str">
        <f>IF(OR(E1706="",F1706=""),"Missing Date/Time",IFERROR(IF(F1706&gt;E1706,"Arrival After Appointment","OK"),"Check Format"))</f>
        <v>OK</v>
      </c>
      <c r="X1706" t="str">
        <f>IF(OR(F1706="",G1706=""),"Missing Date/Time",IFERROR(IF(G1706&lt;F1706,"Discharge Before Arrival","OK"),"Check Format"))</f>
        <v>OK</v>
      </c>
    </row>
    <row r="1707" spans="1:24" x14ac:dyDescent="0.25">
      <c r="A1707" s="2" t="s">
        <v>2462</v>
      </c>
      <c r="B1707" s="2" t="s">
        <v>949</v>
      </c>
      <c r="C1707" s="3" t="s">
        <v>46</v>
      </c>
      <c r="D1707" s="3" t="s">
        <v>61</v>
      </c>
      <c r="E1707" s="4">
        <v>45490.53125</v>
      </c>
      <c r="F1707" s="4">
        <v>45490.520833333336</v>
      </c>
      <c r="G1707" s="4">
        <v>45490.55</v>
      </c>
      <c r="I1707" s="3" t="s">
        <v>39</v>
      </c>
      <c r="J1707" s="3" t="s">
        <v>67</v>
      </c>
      <c r="K1707" s="5">
        <v>14</v>
      </c>
      <c r="L1707" s="5">
        <v>13</v>
      </c>
      <c r="M1707" s="3" t="s">
        <v>87</v>
      </c>
      <c r="N1707" t="s">
        <v>24</v>
      </c>
      <c r="O1707" s="5">
        <v>5</v>
      </c>
      <c r="P1707" s="3" t="s">
        <v>25</v>
      </c>
      <c r="Q1707" s="2">
        <v>109.78</v>
      </c>
      <c r="R1707" s="3" t="s">
        <v>58</v>
      </c>
      <c r="S1707">
        <f>COUNTIF(A:A,A1707)</f>
        <v>1</v>
      </c>
      <c r="T1707" t="str">
        <f>IF(OR(H1707="",LOWER(TRIM(H1707&amp;""))="missing",LOWER(TRIM(H1707&amp;""))=""),"Missing/",IFERROR(IF(OR(VALUE(H1707)&lt;0,VALUE(H1707)&gt;110),"Invalid","Valid"),"Check Format"))</f>
        <v>Missing/</v>
      </c>
      <c r="U1707" t="str">
        <f>IF(Raw_Data[[#This Row],[Age_Check]]="Valid",H1707,"")</f>
        <v/>
      </c>
      <c r="V1707" t="str">
        <f>IF(OR(K1707="",UPPER(TRIM(K1707&amp;""))="",LOWER(TRIM(K1707&amp;""))="",LOWER(TRIM(K1707&amp;""))="",LOWER(TRIM(K1707&amp;""))="missing"),"Missing/",IFERROR(IF(VALUE(K1707)&lt;0,"Invalid","Valid"),"Check Format"))</f>
        <v>Valid</v>
      </c>
      <c r="W1707" t="str">
        <f>IF(OR(E1707="",F1707=""),"Missing Date/Time",IFERROR(IF(F1707&gt;E1707,"Arrival After Appointment","OK"),"Check Format"))</f>
        <v>OK</v>
      </c>
      <c r="X1707" t="str">
        <f>IF(OR(F1707="",G1707=""),"Missing Date/Time",IFERROR(IF(G1707&lt;F1707,"Discharge Before Arrival","OK"),"Check Format"))</f>
        <v>OK</v>
      </c>
    </row>
    <row r="1708" spans="1:24" x14ac:dyDescent="0.25">
      <c r="A1708" s="2" t="s">
        <v>2463</v>
      </c>
      <c r="B1708" s="2" t="s">
        <v>988</v>
      </c>
      <c r="C1708" s="3" t="s">
        <v>46</v>
      </c>
      <c r="D1708" s="3" t="s">
        <v>209</v>
      </c>
      <c r="E1708" s="4">
        <v>45342.652777777781</v>
      </c>
      <c r="F1708" s="4">
        <v>45342.631944444445</v>
      </c>
      <c r="G1708" s="4">
        <v>45342.746527777781</v>
      </c>
      <c r="I1708" s="3" t="s">
        <v>39</v>
      </c>
      <c r="J1708" s="3" t="s">
        <v>67</v>
      </c>
      <c r="K1708" s="5">
        <v>103</v>
      </c>
      <c r="L1708" s="5">
        <v>32</v>
      </c>
      <c r="M1708" s="3" t="s">
        <v>23</v>
      </c>
      <c r="N1708" t="s">
        <v>74</v>
      </c>
      <c r="O1708" s="5">
        <v>3</v>
      </c>
      <c r="P1708" s="3" t="s">
        <v>25</v>
      </c>
      <c r="R1708" s="3" t="s">
        <v>26</v>
      </c>
      <c r="S1708">
        <f>COUNTIF(A:A,A1708)</f>
        <v>1</v>
      </c>
      <c r="T1708" t="str">
        <f>IF(OR(H1708="",LOWER(TRIM(H1708&amp;""))="missing",LOWER(TRIM(H1708&amp;""))=""),"Missing/",IFERROR(IF(OR(VALUE(H1708)&lt;0,VALUE(H1708)&gt;110),"Invalid","Valid"),"Check Format"))</f>
        <v>Missing/</v>
      </c>
      <c r="U1708" t="str">
        <f>IF(Raw_Data[[#This Row],[Age_Check]]="Valid",H1708,"")</f>
        <v/>
      </c>
      <c r="V1708" t="str">
        <f>IF(OR(K1708="",UPPER(TRIM(K1708&amp;""))="",LOWER(TRIM(K1708&amp;""))="",LOWER(TRIM(K1708&amp;""))="",LOWER(TRIM(K1708&amp;""))="missing"),"Missing/",IFERROR(IF(VALUE(K1708)&lt;0,"Invalid","Valid"),"Check Format"))</f>
        <v>Valid</v>
      </c>
      <c r="W1708" t="str">
        <f>IF(OR(E1708="",F1708=""),"Missing Date/Time",IFERROR(IF(F1708&gt;E1708,"Arrival After Appointment","OK"),"Check Format"))</f>
        <v>OK</v>
      </c>
      <c r="X1708" t="str">
        <f>IF(OR(F1708="",G1708=""),"Missing Date/Time",IFERROR(IF(G1708&lt;F1708,"Discharge Before Arrival","OK"),"Check Format"))</f>
        <v>OK</v>
      </c>
    </row>
    <row r="1709" spans="1:24" x14ac:dyDescent="0.25">
      <c r="A1709" s="2" t="s">
        <v>2464</v>
      </c>
      <c r="B1709" s="2" t="s">
        <v>286</v>
      </c>
      <c r="D1709" s="3" t="s">
        <v>72</v>
      </c>
      <c r="E1709" s="4">
        <v>45795.472222222219</v>
      </c>
      <c r="F1709" s="4">
        <v>45795.455555555556</v>
      </c>
      <c r="G1709" s="4">
        <v>45795.519444444442</v>
      </c>
      <c r="H1709" s="5">
        <v>48</v>
      </c>
      <c r="I1709" s="3" t="s">
        <v>95</v>
      </c>
      <c r="J1709" s="3" t="s">
        <v>62</v>
      </c>
      <c r="K1709" s="5">
        <v>14</v>
      </c>
      <c r="L1709" s="5">
        <v>54</v>
      </c>
      <c r="M1709" s="3" t="s">
        <v>63</v>
      </c>
      <c r="N1709" t="s">
        <v>69</v>
      </c>
      <c r="O1709" s="5">
        <v>2</v>
      </c>
      <c r="P1709" s="3" t="s">
        <v>80</v>
      </c>
      <c r="Q1709" s="2">
        <v>203.48</v>
      </c>
      <c r="R1709" s="3" t="s">
        <v>58</v>
      </c>
      <c r="S1709">
        <f>COUNTIF(A:A,A1709)</f>
        <v>1</v>
      </c>
      <c r="T1709" t="str">
        <f>IF(OR(H1709="",LOWER(TRIM(H1709&amp;""))="missing",LOWER(TRIM(H1709&amp;""))=""),"Missing/",IFERROR(IF(OR(VALUE(H1709)&lt;0,VALUE(H1709)&gt;110),"Invalid","Valid"),"Check Format"))</f>
        <v>Valid</v>
      </c>
      <c r="U1709">
        <f>IF(Raw_Data[[#This Row],[Age_Check]]="Valid",H1709,"")</f>
        <v>48</v>
      </c>
      <c r="V1709" t="str">
        <f>IF(OR(K1709="",UPPER(TRIM(K1709&amp;""))="",LOWER(TRIM(K1709&amp;""))="",LOWER(TRIM(K1709&amp;""))="",LOWER(TRIM(K1709&amp;""))="missing"),"Missing/",IFERROR(IF(VALUE(K1709)&lt;0,"Invalid","Valid"),"Check Format"))</f>
        <v>Valid</v>
      </c>
      <c r="W1709" t="str">
        <f>IF(OR(E1709="",F1709=""),"Missing Date/Time",IFERROR(IF(F1709&gt;E1709,"Arrival After Appointment","OK"),"Check Format"))</f>
        <v>OK</v>
      </c>
      <c r="X1709" t="str">
        <f>IF(OR(F1709="",G1709=""),"Missing Date/Time",IFERROR(IF(G1709&lt;F1709,"Discharge Before Arrival","OK"),"Check Format"))</f>
        <v>OK</v>
      </c>
    </row>
    <row r="1710" spans="1:24" x14ac:dyDescent="0.25">
      <c r="A1710" s="2" t="s">
        <v>2465</v>
      </c>
      <c r="B1710" s="2" t="s">
        <v>211</v>
      </c>
      <c r="C1710" s="3" t="s">
        <v>19</v>
      </c>
      <c r="D1710" s="3" t="s">
        <v>55</v>
      </c>
      <c r="E1710" s="4">
        <v>45526.440972222219</v>
      </c>
      <c r="F1710" s="4">
        <v>45526.439583333333</v>
      </c>
      <c r="G1710" s="4">
        <v>45526.524305555555</v>
      </c>
      <c r="I1710" s="3" t="s">
        <v>90</v>
      </c>
      <c r="J1710" s="3" t="s">
        <v>171</v>
      </c>
      <c r="K1710" s="5">
        <v>76</v>
      </c>
      <c r="L1710" s="5">
        <v>44</v>
      </c>
      <c r="M1710" s="3" t="s">
        <v>50</v>
      </c>
      <c r="P1710" s="3" t="s">
        <v>25</v>
      </c>
      <c r="R1710" s="3" t="s">
        <v>43</v>
      </c>
      <c r="S1710">
        <f>COUNTIF(A:A,A1710)</f>
        <v>1</v>
      </c>
      <c r="T1710" t="str">
        <f>IF(OR(H1710="",LOWER(TRIM(H1710&amp;""))="missing",LOWER(TRIM(H1710&amp;""))=""),"Missing/",IFERROR(IF(OR(VALUE(H1710)&lt;0,VALUE(H1710)&gt;110),"Invalid","Valid"),"Check Format"))</f>
        <v>Missing/</v>
      </c>
      <c r="U1710" t="str">
        <f>IF(Raw_Data[[#This Row],[Age_Check]]="Valid",H1710,"")</f>
        <v/>
      </c>
      <c r="V1710" t="str">
        <f>IF(OR(K1710="",UPPER(TRIM(K1710&amp;""))="",LOWER(TRIM(K1710&amp;""))="",LOWER(TRIM(K1710&amp;""))="",LOWER(TRIM(K1710&amp;""))="missing"),"Missing/",IFERROR(IF(VALUE(K1710)&lt;0,"Invalid","Valid"),"Check Format"))</f>
        <v>Valid</v>
      </c>
      <c r="W1710" t="str">
        <f>IF(OR(E1710="",F1710=""),"Missing Date/Time",IFERROR(IF(F1710&gt;E1710,"Arrival After Appointment","OK"),"Check Format"))</f>
        <v>OK</v>
      </c>
      <c r="X1710" t="str">
        <f>IF(OR(F1710="",G1710=""),"Missing Date/Time",IFERROR(IF(G1710&lt;F1710,"Discharge Before Arrival","OK"),"Check Format"))</f>
        <v>OK</v>
      </c>
    </row>
    <row r="1711" spans="1:24" x14ac:dyDescent="0.25">
      <c r="A1711" s="2" t="s">
        <v>2466</v>
      </c>
      <c r="B1711" s="2" t="s">
        <v>561</v>
      </c>
      <c r="D1711" s="3" t="s">
        <v>55</v>
      </c>
      <c r="E1711" s="4">
        <v>45940.305555555555</v>
      </c>
      <c r="F1711" s="4">
        <v>45940.291666666664</v>
      </c>
      <c r="G1711" s="4">
        <v>45940.452777777777</v>
      </c>
      <c r="H1711" s="5">
        <v>20</v>
      </c>
      <c r="I1711" s="3" t="s">
        <v>90</v>
      </c>
      <c r="J1711" s="3" t="s">
        <v>62</v>
      </c>
      <c r="K1711" s="5">
        <v>141</v>
      </c>
      <c r="L1711" s="5">
        <v>71</v>
      </c>
      <c r="M1711" s="3" t="s">
        <v>41</v>
      </c>
      <c r="O1711" s="5">
        <v>4</v>
      </c>
      <c r="P1711" s="3" t="s">
        <v>80</v>
      </c>
      <c r="Q1711" s="2">
        <v>90.06</v>
      </c>
      <c r="R1711" s="3" t="s">
        <v>26</v>
      </c>
      <c r="S1711">
        <f>COUNTIF(A:A,A1711)</f>
        <v>1</v>
      </c>
      <c r="T1711" t="str">
        <f>IF(OR(H1711="",LOWER(TRIM(H1711&amp;""))="missing",LOWER(TRIM(H1711&amp;""))=""),"Missing/",IFERROR(IF(OR(VALUE(H1711)&lt;0,VALUE(H1711)&gt;110),"Invalid","Valid"),"Check Format"))</f>
        <v>Valid</v>
      </c>
      <c r="U1711">
        <f>IF(Raw_Data[[#This Row],[Age_Check]]="Valid",H1711,"")</f>
        <v>20</v>
      </c>
      <c r="V1711" t="str">
        <f>IF(OR(K1711="",UPPER(TRIM(K1711&amp;""))="",LOWER(TRIM(K1711&amp;""))="",LOWER(TRIM(K1711&amp;""))="",LOWER(TRIM(K1711&amp;""))="missing"),"Missing/",IFERROR(IF(VALUE(K1711)&lt;0,"Invalid","Valid"),"Check Format"))</f>
        <v>Valid</v>
      </c>
      <c r="W1711" t="str">
        <f>IF(OR(E1711="",F1711=""),"Missing Date/Time",IFERROR(IF(F1711&gt;E1711,"Arrival After Appointment","OK"),"Check Format"))</f>
        <v>OK</v>
      </c>
      <c r="X1711" t="str">
        <f>IF(OR(F1711="",G1711=""),"Missing Date/Time",IFERROR(IF(G1711&lt;F1711,"Discharge Before Arrival","OK"),"Check Format"))</f>
        <v>OK</v>
      </c>
    </row>
    <row r="1712" spans="1:24" x14ac:dyDescent="0.25">
      <c r="A1712" s="2" t="s">
        <v>2467</v>
      </c>
      <c r="B1712" s="2" t="s">
        <v>397</v>
      </c>
      <c r="C1712" s="3" t="s">
        <v>37</v>
      </c>
      <c r="D1712" s="3" t="s">
        <v>174</v>
      </c>
      <c r="E1712" s="4" t="s">
        <v>2468</v>
      </c>
      <c r="F1712" s="4">
        <v>45409.686805555553</v>
      </c>
      <c r="G1712" s="4">
        <v>45409.8</v>
      </c>
      <c r="H1712" s="5">
        <v>145</v>
      </c>
      <c r="J1712" s="3" t="s">
        <v>62</v>
      </c>
      <c r="K1712" s="5">
        <v>114</v>
      </c>
      <c r="L1712" s="5">
        <v>38</v>
      </c>
      <c r="M1712" s="3" t="s">
        <v>41</v>
      </c>
      <c r="O1712" s="5">
        <v>6</v>
      </c>
      <c r="P1712" s="3" t="s">
        <v>42</v>
      </c>
      <c r="Q1712" s="2">
        <v>184.93</v>
      </c>
      <c r="R1712" s="3" t="s">
        <v>75</v>
      </c>
      <c r="S1712">
        <f>COUNTIF(A:A,A1712)</f>
        <v>1</v>
      </c>
      <c r="T1712" t="str">
        <f>IF(OR(H1712="",LOWER(TRIM(H1712&amp;""))="missing",LOWER(TRIM(H1712&amp;""))=""),"Missing/",IFERROR(IF(OR(VALUE(H1712)&lt;0,VALUE(H1712)&gt;110),"Invalid","Valid"),"Check Format"))</f>
        <v>Invalid</v>
      </c>
      <c r="U1712" t="str">
        <f>IF(Raw_Data[[#This Row],[Age_Check]]="Valid",H1712,"")</f>
        <v/>
      </c>
      <c r="V1712" t="str">
        <f>IF(OR(K1712="",UPPER(TRIM(K1712&amp;""))="",LOWER(TRIM(K1712&amp;""))="",LOWER(TRIM(K1712&amp;""))="",LOWER(TRIM(K1712&amp;""))="missing"),"Missing/",IFERROR(IF(VALUE(K1712)&lt;0,"Invalid","Valid"),"Check Format"))</f>
        <v>Valid</v>
      </c>
      <c r="W1712" t="str">
        <f>IF(OR(E1712="",F1712=""),"Missing Date/Time",IFERROR(IF(F1712&gt;E1712,"Arrival After Appointment","OK"),"Check Format"))</f>
        <v>OK</v>
      </c>
      <c r="X1712" t="str">
        <f>IF(OR(F1712="",G1712=""),"Missing Date/Time",IFERROR(IF(G1712&lt;F1712,"Discharge Before Arrival","OK"),"Check Format"))</f>
        <v>OK</v>
      </c>
    </row>
    <row r="1713" spans="1:24" x14ac:dyDescent="0.25">
      <c r="A1713" s="2" t="s">
        <v>2469</v>
      </c>
      <c r="B1713" s="2" t="s">
        <v>579</v>
      </c>
      <c r="C1713" s="3" t="s">
        <v>94</v>
      </c>
      <c r="D1713" s="3" t="s">
        <v>61</v>
      </c>
      <c r="E1713" s="4">
        <v>45482.368055555555</v>
      </c>
      <c r="F1713" s="4">
        <v>45542.359027777777</v>
      </c>
      <c r="G1713" s="4">
        <v>45542.387499999997</v>
      </c>
      <c r="H1713" s="5">
        <v>40</v>
      </c>
      <c r="I1713" s="3" t="s">
        <v>39</v>
      </c>
      <c r="K1713" s="5">
        <v>0</v>
      </c>
      <c r="L1713" s="5">
        <v>28</v>
      </c>
      <c r="M1713" s="3" t="s">
        <v>32</v>
      </c>
      <c r="N1713" t="s">
        <v>103</v>
      </c>
      <c r="O1713" s="5">
        <v>0</v>
      </c>
      <c r="P1713" s="3" t="s">
        <v>25</v>
      </c>
      <c r="Q1713" s="2">
        <v>79.97</v>
      </c>
      <c r="R1713" s="3" t="s">
        <v>43</v>
      </c>
      <c r="S1713">
        <f>COUNTIF(A:A,A1713)</f>
        <v>1</v>
      </c>
      <c r="T1713" t="str">
        <f>IF(OR(H1713="",LOWER(TRIM(H1713&amp;""))="missing",LOWER(TRIM(H1713&amp;""))=""),"Missing/",IFERROR(IF(OR(VALUE(H1713)&lt;0,VALUE(H1713)&gt;110),"Invalid","Valid"),"Check Format"))</f>
        <v>Valid</v>
      </c>
      <c r="U1713">
        <f>IF(Raw_Data[[#This Row],[Age_Check]]="Valid",H1713,"")</f>
        <v>40</v>
      </c>
      <c r="V1713" t="str">
        <f>IF(OR(K1713="",UPPER(TRIM(K1713&amp;""))="",LOWER(TRIM(K1713&amp;""))="",LOWER(TRIM(K1713&amp;""))="",LOWER(TRIM(K1713&amp;""))="missing"),"Missing/",IFERROR(IF(VALUE(K1713)&lt;0,"Invalid","Valid"),"Check Format"))</f>
        <v>Valid</v>
      </c>
      <c r="W1713" t="str">
        <f>IF(OR(E1713="",F1713=""),"Missing Date/Time",IFERROR(IF(F1713&gt;E1713,"Arrival After Appointment","OK"),"Check Format"))</f>
        <v>Arrival After Appointment</v>
      </c>
      <c r="X1713" t="str">
        <f>IF(OR(F1713="",G1713=""),"Missing Date/Time",IFERROR(IF(G1713&lt;F1713,"Discharge Before Arrival","OK"),"Check Format"))</f>
        <v>OK</v>
      </c>
    </row>
    <row r="1714" spans="1:24" x14ac:dyDescent="0.25">
      <c r="A1714" s="2" t="s">
        <v>2470</v>
      </c>
      <c r="B1714" s="2" t="s">
        <v>237</v>
      </c>
      <c r="D1714" s="3" t="s">
        <v>209</v>
      </c>
      <c r="E1714" s="4">
        <v>45758.600694444445</v>
      </c>
      <c r="F1714" s="4">
        <v>45758.590277777781</v>
      </c>
      <c r="G1714" s="4">
        <v>45758.695833333331</v>
      </c>
      <c r="H1714" s="5">
        <v>68</v>
      </c>
      <c r="I1714" s="3" t="s">
        <v>95</v>
      </c>
      <c r="J1714" s="3" t="s">
        <v>67</v>
      </c>
      <c r="K1714" s="5">
        <v>86</v>
      </c>
      <c r="L1714" s="5">
        <v>51</v>
      </c>
      <c r="M1714" s="3" t="s">
        <v>68</v>
      </c>
      <c r="O1714" s="5">
        <v>1</v>
      </c>
      <c r="P1714" s="3" t="s">
        <v>25</v>
      </c>
      <c r="Q1714" s="2">
        <v>0</v>
      </c>
      <c r="R1714" s="3" t="s">
        <v>75</v>
      </c>
      <c r="S1714">
        <f>COUNTIF(A:A,A1714)</f>
        <v>1</v>
      </c>
      <c r="T1714" t="str">
        <f>IF(OR(H1714="",LOWER(TRIM(H1714&amp;""))="missing",LOWER(TRIM(H1714&amp;""))=""),"Missing/",IFERROR(IF(OR(VALUE(H1714)&lt;0,VALUE(H1714)&gt;110),"Invalid","Valid"),"Check Format"))</f>
        <v>Valid</v>
      </c>
      <c r="U1714">
        <f>IF(Raw_Data[[#This Row],[Age_Check]]="Valid",H1714,"")</f>
        <v>68</v>
      </c>
      <c r="V1714" t="str">
        <f>IF(OR(K1714="",UPPER(TRIM(K1714&amp;""))="",LOWER(TRIM(K1714&amp;""))="",LOWER(TRIM(K1714&amp;""))="",LOWER(TRIM(K1714&amp;""))="missing"),"Missing/",IFERROR(IF(VALUE(K1714)&lt;0,"Invalid","Valid"),"Check Format"))</f>
        <v>Valid</v>
      </c>
      <c r="W1714" t="str">
        <f>IF(OR(E1714="",F1714=""),"Missing Date/Time",IFERROR(IF(F1714&gt;E1714,"Arrival After Appointment","OK"),"Check Format"))</f>
        <v>OK</v>
      </c>
      <c r="X1714" t="str">
        <f>IF(OR(F1714="",G1714=""),"Missing Date/Time",IFERROR(IF(G1714&lt;F1714,"Discharge Before Arrival","OK"),"Check Format"))</f>
        <v>OK</v>
      </c>
    </row>
    <row r="1715" spans="1:24" x14ac:dyDescent="0.25">
      <c r="A1715" s="2" t="s">
        <v>2471</v>
      </c>
      <c r="B1715" s="2" t="s">
        <v>269</v>
      </c>
      <c r="C1715" s="3" t="s">
        <v>19</v>
      </c>
      <c r="D1715" s="3" t="s">
        <v>61</v>
      </c>
      <c r="E1715" s="4">
        <v>45680.527777777781</v>
      </c>
      <c r="F1715" s="4">
        <v>45680.522222222222</v>
      </c>
      <c r="G1715" s="4">
        <v>45680.603472222225</v>
      </c>
      <c r="I1715" s="3" t="s">
        <v>95</v>
      </c>
      <c r="J1715" s="3" t="s">
        <v>150</v>
      </c>
      <c r="K1715" s="5">
        <v>57</v>
      </c>
      <c r="L1715" s="5">
        <v>52</v>
      </c>
      <c r="M1715" s="3" t="s">
        <v>32</v>
      </c>
      <c r="N1715" t="s">
        <v>100</v>
      </c>
      <c r="O1715" s="5">
        <v>6</v>
      </c>
      <c r="P1715" s="3" t="s">
        <v>80</v>
      </c>
      <c r="Q1715" s="2">
        <v>130.07</v>
      </c>
      <c r="R1715" s="3" t="s">
        <v>58</v>
      </c>
      <c r="S1715">
        <f>COUNTIF(A:A,A1715)</f>
        <v>1</v>
      </c>
      <c r="T1715" t="str">
        <f>IF(OR(H1715="",LOWER(TRIM(H1715&amp;""))="missing",LOWER(TRIM(H1715&amp;""))=""),"Missing/",IFERROR(IF(OR(VALUE(H1715)&lt;0,VALUE(H1715)&gt;110),"Invalid","Valid"),"Check Format"))</f>
        <v>Missing/</v>
      </c>
      <c r="U1715" t="str">
        <f>IF(Raw_Data[[#This Row],[Age_Check]]="Valid",H1715,"")</f>
        <v/>
      </c>
      <c r="V1715" t="str">
        <f>IF(OR(K1715="",UPPER(TRIM(K1715&amp;""))="",LOWER(TRIM(K1715&amp;""))="",LOWER(TRIM(K1715&amp;""))="",LOWER(TRIM(K1715&amp;""))="missing"),"Missing/",IFERROR(IF(VALUE(K1715)&lt;0,"Invalid","Valid"),"Check Format"))</f>
        <v>Valid</v>
      </c>
      <c r="W1715" t="str">
        <f>IF(OR(E1715="",F1715=""),"Missing Date/Time",IFERROR(IF(F1715&gt;E1715,"Arrival After Appointment","OK"),"Check Format"))</f>
        <v>OK</v>
      </c>
      <c r="X1715" t="str">
        <f>IF(OR(F1715="",G1715=""),"Missing Date/Time",IFERROR(IF(G1715&lt;F1715,"Discharge Before Arrival","OK"),"Check Format"))</f>
        <v>OK</v>
      </c>
    </row>
    <row r="1716" spans="1:24" x14ac:dyDescent="0.25">
      <c r="A1716" s="2" t="s">
        <v>2472</v>
      </c>
      <c r="B1716" s="2" t="s">
        <v>1181</v>
      </c>
      <c r="C1716" s="3" t="s">
        <v>46</v>
      </c>
      <c r="D1716" s="3" t="s">
        <v>149</v>
      </c>
      <c r="E1716" s="4">
        <v>45499.510416666664</v>
      </c>
      <c r="F1716" s="4">
        <v>45499.493055555555</v>
      </c>
      <c r="G1716" s="4">
        <v>45499.594444444447</v>
      </c>
      <c r="I1716" s="3" t="s">
        <v>73</v>
      </c>
      <c r="J1716" s="3" t="s">
        <v>150</v>
      </c>
      <c r="K1716" s="5">
        <v>83</v>
      </c>
      <c r="L1716" s="5">
        <v>38</v>
      </c>
      <c r="N1716" t="s">
        <v>74</v>
      </c>
      <c r="O1716" s="5">
        <v>6</v>
      </c>
      <c r="P1716" s="3" t="s">
        <v>80</v>
      </c>
      <c r="Q1716" s="2">
        <v>172.33</v>
      </c>
      <c r="R1716" s="3" t="s">
        <v>75</v>
      </c>
      <c r="S1716">
        <f>COUNTIF(A:A,A1716)</f>
        <v>1</v>
      </c>
      <c r="T1716" t="str">
        <f>IF(OR(H1716="",LOWER(TRIM(H1716&amp;""))="missing",LOWER(TRIM(H1716&amp;""))=""),"Missing/",IFERROR(IF(OR(VALUE(H1716)&lt;0,VALUE(H1716)&gt;110),"Invalid","Valid"),"Check Format"))</f>
        <v>Missing/</v>
      </c>
      <c r="U1716" t="str">
        <f>IF(Raw_Data[[#This Row],[Age_Check]]="Valid",H1716,"")</f>
        <v/>
      </c>
      <c r="V1716" t="str">
        <f>IF(OR(K1716="",UPPER(TRIM(K1716&amp;""))="",LOWER(TRIM(K1716&amp;""))="",LOWER(TRIM(K1716&amp;""))="",LOWER(TRIM(K1716&amp;""))="missing"),"Missing/",IFERROR(IF(VALUE(K1716)&lt;0,"Invalid","Valid"),"Check Format"))</f>
        <v>Valid</v>
      </c>
      <c r="W1716" t="str">
        <f>IF(OR(E1716="",F1716=""),"Missing Date/Time",IFERROR(IF(F1716&gt;E1716,"Arrival After Appointment","OK"),"Check Format"))</f>
        <v>OK</v>
      </c>
      <c r="X1716" t="str">
        <f>IF(OR(F1716="",G1716=""),"Missing Date/Time",IFERROR(IF(G1716&lt;F1716,"Discharge Before Arrival","OK"),"Check Format"))</f>
        <v>OK</v>
      </c>
    </row>
    <row r="1717" spans="1:24" x14ac:dyDescent="0.25">
      <c r="A1717" s="2" t="s">
        <v>2473</v>
      </c>
      <c r="B1717" s="2" t="s">
        <v>395</v>
      </c>
      <c r="D1717" s="3" t="s">
        <v>174</v>
      </c>
      <c r="E1717" s="4">
        <v>45441.774305555555</v>
      </c>
      <c r="F1717" s="4">
        <v>45441.761805555558</v>
      </c>
      <c r="G1717" s="4">
        <v>45441.814583333333</v>
      </c>
      <c r="H1717" s="5">
        <v>92</v>
      </c>
      <c r="I1717" s="3" t="s">
        <v>95</v>
      </c>
      <c r="J1717" s="3" t="s">
        <v>2639</v>
      </c>
      <c r="K1717" s="5">
        <v>48</v>
      </c>
      <c r="L1717" s="5">
        <v>10</v>
      </c>
      <c r="N1717" t="s">
        <v>69</v>
      </c>
      <c r="O1717" s="5">
        <v>0</v>
      </c>
      <c r="P1717" s="3" t="s">
        <v>42</v>
      </c>
      <c r="Q1717" s="2">
        <v>55.28</v>
      </c>
      <c r="R1717" s="3" t="s">
        <v>58</v>
      </c>
      <c r="S1717">
        <f>COUNTIF(A:A,A1717)</f>
        <v>1</v>
      </c>
      <c r="T1717" t="str">
        <f>IF(OR(H1717="",LOWER(TRIM(H1717&amp;""))="missing",LOWER(TRIM(H1717&amp;""))=""),"Missing/",IFERROR(IF(OR(VALUE(H1717)&lt;0,VALUE(H1717)&gt;110),"Invalid","Valid"),"Check Format"))</f>
        <v>Valid</v>
      </c>
      <c r="U1717">
        <f>IF(Raw_Data[[#This Row],[Age_Check]]="Valid",H1717,"")</f>
        <v>92</v>
      </c>
      <c r="V1717" t="str">
        <f>IF(OR(K1717="",UPPER(TRIM(K1717&amp;""))="",LOWER(TRIM(K1717&amp;""))="",LOWER(TRIM(K1717&amp;""))="",LOWER(TRIM(K1717&amp;""))="missing"),"Missing/",IFERROR(IF(VALUE(K1717)&lt;0,"Invalid","Valid"),"Check Format"))</f>
        <v>Valid</v>
      </c>
      <c r="W1717" t="str">
        <f>IF(OR(E1717="",F1717=""),"Missing Date/Time",IFERROR(IF(F1717&gt;E1717,"Arrival After Appointment","OK"),"Check Format"))</f>
        <v>OK</v>
      </c>
      <c r="X1717" t="str">
        <f>IF(OR(F1717="",G1717=""),"Missing Date/Time",IFERROR(IF(G1717&lt;F1717,"Discharge Before Arrival","OK"),"Check Format"))</f>
        <v>OK</v>
      </c>
    </row>
    <row r="1718" spans="1:24" x14ac:dyDescent="0.25">
      <c r="A1718" s="2" t="s">
        <v>2474</v>
      </c>
      <c r="B1718" s="2" t="s">
        <v>1329</v>
      </c>
      <c r="D1718" s="3" t="s">
        <v>61</v>
      </c>
      <c r="E1718" s="4">
        <v>45627.326388888891</v>
      </c>
      <c r="F1718" s="4">
        <v>45303.313194444447</v>
      </c>
      <c r="G1718" s="4">
        <v>45303.405555555553</v>
      </c>
      <c r="I1718" s="3" t="s">
        <v>95</v>
      </c>
      <c r="J1718" s="3" t="s">
        <v>22</v>
      </c>
      <c r="K1718" s="5">
        <v>82</v>
      </c>
      <c r="L1718" s="5">
        <v>32</v>
      </c>
      <c r="M1718" s="3" t="s">
        <v>23</v>
      </c>
      <c r="N1718" t="s">
        <v>74</v>
      </c>
      <c r="O1718" s="5">
        <v>5</v>
      </c>
      <c r="P1718" s="3" t="s">
        <v>42</v>
      </c>
      <c r="Q1718" s="2">
        <v>133.91999999999999</v>
      </c>
      <c r="R1718" s="3" t="s">
        <v>43</v>
      </c>
      <c r="S1718">
        <f>COUNTIF(A:A,A1718)</f>
        <v>1</v>
      </c>
      <c r="T1718" t="str">
        <f>IF(OR(H1718="",LOWER(TRIM(H1718&amp;""))="missing",LOWER(TRIM(H1718&amp;""))=""),"Missing/",IFERROR(IF(OR(VALUE(H1718)&lt;0,VALUE(H1718)&gt;110),"Invalid","Valid"),"Check Format"))</f>
        <v>Missing/</v>
      </c>
      <c r="U1718" t="str">
        <f>IF(Raw_Data[[#This Row],[Age_Check]]="Valid",H1718,"")</f>
        <v/>
      </c>
      <c r="V1718" t="str">
        <f>IF(OR(K1718="",UPPER(TRIM(K1718&amp;""))="",LOWER(TRIM(K1718&amp;""))="",LOWER(TRIM(K1718&amp;""))="",LOWER(TRIM(K1718&amp;""))="missing"),"Missing/",IFERROR(IF(VALUE(K1718)&lt;0,"Invalid","Valid"),"Check Format"))</f>
        <v>Valid</v>
      </c>
      <c r="W1718" t="str">
        <f>IF(OR(E1718="",F1718=""),"Missing Date/Time",IFERROR(IF(F1718&gt;E1718,"Arrival After Appointment","OK"),"Check Format"))</f>
        <v>OK</v>
      </c>
      <c r="X1718" t="str">
        <f>IF(OR(F1718="",G1718=""),"Missing Date/Time",IFERROR(IF(G1718&lt;F1718,"Discharge Before Arrival","OK"),"Check Format"))</f>
        <v>OK</v>
      </c>
    </row>
    <row r="1719" spans="1:24" x14ac:dyDescent="0.25">
      <c r="A1719" s="2" t="s">
        <v>2475</v>
      </c>
      <c r="B1719" s="2" t="s">
        <v>143</v>
      </c>
      <c r="C1719" s="3" t="s">
        <v>19</v>
      </c>
      <c r="D1719" s="3" t="s">
        <v>23</v>
      </c>
      <c r="E1719" s="4" t="s">
        <v>2476</v>
      </c>
      <c r="F1719" s="4">
        <v>45645.470138888886</v>
      </c>
      <c r="G1719" s="4">
        <v>45645.527083333334</v>
      </c>
      <c r="I1719" s="3" t="s">
        <v>39</v>
      </c>
      <c r="J1719" s="3" t="s">
        <v>2639</v>
      </c>
      <c r="K1719" s="5">
        <v>43</v>
      </c>
      <c r="L1719" s="5">
        <v>26</v>
      </c>
      <c r="M1719" s="3" t="s">
        <v>50</v>
      </c>
      <c r="O1719" s="5">
        <v>4</v>
      </c>
      <c r="P1719" s="3" t="s">
        <v>25</v>
      </c>
      <c r="Q1719" s="2">
        <v>228.75</v>
      </c>
      <c r="R1719" s="3" t="s">
        <v>75</v>
      </c>
      <c r="S1719">
        <f>COUNTIF(A:A,A1719)</f>
        <v>1</v>
      </c>
      <c r="T1719" t="str">
        <f>IF(OR(H1719="",LOWER(TRIM(H1719&amp;""))="missing",LOWER(TRIM(H1719&amp;""))=""),"Missing/",IFERROR(IF(OR(VALUE(H1719)&lt;0,VALUE(H1719)&gt;110),"Invalid","Valid"),"Check Format"))</f>
        <v>Missing/</v>
      </c>
      <c r="U1719" t="str">
        <f>IF(Raw_Data[[#This Row],[Age_Check]]="Valid",H1719,"")</f>
        <v/>
      </c>
      <c r="V1719" t="str">
        <f>IF(OR(K1719="",UPPER(TRIM(K1719&amp;""))="",LOWER(TRIM(K1719&amp;""))="",LOWER(TRIM(K1719&amp;""))="",LOWER(TRIM(K1719&amp;""))="missing"),"Missing/",IFERROR(IF(VALUE(K1719)&lt;0,"Invalid","Valid"),"Check Format"))</f>
        <v>Valid</v>
      </c>
      <c r="W1719" t="str">
        <f>IF(OR(E1719="",F1719=""),"Missing Date/Time",IFERROR(IF(F1719&gt;E1719,"Arrival After Appointment","OK"),"Check Format"))</f>
        <v>OK</v>
      </c>
      <c r="X1719" t="str">
        <f>IF(OR(F1719="",G1719=""),"Missing Date/Time",IFERROR(IF(G1719&lt;F1719,"Discharge Before Arrival","OK"),"Check Format"))</f>
        <v>OK</v>
      </c>
    </row>
    <row r="1720" spans="1:24" x14ac:dyDescent="0.25">
      <c r="A1720" s="2" t="s">
        <v>2477</v>
      </c>
      <c r="B1720" s="2" t="s">
        <v>321</v>
      </c>
      <c r="C1720" s="3" t="s">
        <v>29</v>
      </c>
      <c r="D1720" s="3" t="s">
        <v>115</v>
      </c>
      <c r="E1720" s="4" t="s">
        <v>2478</v>
      </c>
      <c r="F1720" s="4">
        <v>45858.601388888892</v>
      </c>
      <c r="G1720" s="4">
        <v>45858.654861111114</v>
      </c>
      <c r="I1720" s="3" t="s">
        <v>73</v>
      </c>
      <c r="J1720" s="3" t="s">
        <v>67</v>
      </c>
      <c r="K1720" s="5">
        <v>46</v>
      </c>
      <c r="L1720" s="5">
        <v>7</v>
      </c>
      <c r="N1720" t="s">
        <v>91</v>
      </c>
      <c r="O1720" s="5">
        <v>4</v>
      </c>
      <c r="P1720" s="3" t="s">
        <v>80</v>
      </c>
      <c r="Q1720" s="2">
        <v>204.49</v>
      </c>
      <c r="R1720" s="3" t="s">
        <v>26</v>
      </c>
      <c r="S1720">
        <f>COUNTIF(A:A,A1720)</f>
        <v>1</v>
      </c>
      <c r="T1720" t="str">
        <f>IF(OR(H1720="",LOWER(TRIM(H1720&amp;""))="missing",LOWER(TRIM(H1720&amp;""))=""),"Missing/",IFERROR(IF(OR(VALUE(H1720)&lt;0,VALUE(H1720)&gt;110),"Invalid","Valid"),"Check Format"))</f>
        <v>Missing/</v>
      </c>
      <c r="U1720" t="str">
        <f>IF(Raw_Data[[#This Row],[Age_Check]]="Valid",H1720,"")</f>
        <v/>
      </c>
      <c r="V1720" t="str">
        <f>IF(OR(K1720="",UPPER(TRIM(K1720&amp;""))="",LOWER(TRIM(K1720&amp;""))="",LOWER(TRIM(K1720&amp;""))="",LOWER(TRIM(K1720&amp;""))="missing"),"Missing/",IFERROR(IF(VALUE(K1720)&lt;0,"Invalid","Valid"),"Check Format"))</f>
        <v>Valid</v>
      </c>
      <c r="W1720" t="str">
        <f>IF(OR(E1720="",F1720=""),"Missing Date/Time",IFERROR(IF(F1720&gt;E1720,"Arrival After Appointment","OK"),"Check Format"))</f>
        <v>OK</v>
      </c>
      <c r="X1720" t="str">
        <f>IF(OR(F1720="",G1720=""),"Missing Date/Time",IFERROR(IF(G1720&lt;F1720,"Discharge Before Arrival","OK"),"Check Format"))</f>
        <v>OK</v>
      </c>
    </row>
    <row r="1721" spans="1:24" x14ac:dyDescent="0.25">
      <c r="A1721" s="2" t="s">
        <v>2479</v>
      </c>
      <c r="B1721" s="2" t="s">
        <v>645</v>
      </c>
      <c r="C1721" s="3" t="s">
        <v>94</v>
      </c>
      <c r="D1721" s="3" t="s">
        <v>38</v>
      </c>
      <c r="E1721" s="4">
        <v>46006.309027777781</v>
      </c>
      <c r="F1721" s="4">
        <v>46006.307638888888</v>
      </c>
      <c r="G1721" s="4">
        <v>46006.365972222222</v>
      </c>
      <c r="I1721" s="3" t="s">
        <v>95</v>
      </c>
      <c r="J1721" s="3" t="s">
        <v>62</v>
      </c>
      <c r="K1721" s="5">
        <v>50</v>
      </c>
      <c r="L1721" s="5">
        <v>32</v>
      </c>
      <c r="M1721" s="3" t="s">
        <v>50</v>
      </c>
      <c r="O1721" s="5">
        <v>1</v>
      </c>
      <c r="P1721" s="3" t="s">
        <v>80</v>
      </c>
      <c r="Q1721" s="2">
        <v>273.61</v>
      </c>
      <c r="R1721" s="3" t="s">
        <v>26</v>
      </c>
      <c r="S1721">
        <f>COUNTIF(A:A,A1721)</f>
        <v>1</v>
      </c>
      <c r="T1721" t="str">
        <f>IF(OR(H1721="",LOWER(TRIM(H1721&amp;""))="missing",LOWER(TRIM(H1721&amp;""))=""),"Missing/",IFERROR(IF(OR(VALUE(H1721)&lt;0,VALUE(H1721)&gt;110),"Invalid","Valid"),"Check Format"))</f>
        <v>Missing/</v>
      </c>
      <c r="U1721" t="str">
        <f>IF(Raw_Data[[#This Row],[Age_Check]]="Valid",H1721,"")</f>
        <v/>
      </c>
      <c r="V1721" t="str">
        <f>IF(OR(K1721="",UPPER(TRIM(K1721&amp;""))="",LOWER(TRIM(K1721&amp;""))="",LOWER(TRIM(K1721&amp;""))="",LOWER(TRIM(K1721&amp;""))="missing"),"Missing/",IFERROR(IF(VALUE(K1721)&lt;0,"Invalid","Valid"),"Check Format"))</f>
        <v>Valid</v>
      </c>
      <c r="W1721" t="str">
        <f>IF(OR(E1721="",F1721=""),"Missing Date/Time",IFERROR(IF(F1721&gt;E1721,"Arrival After Appointment","OK"),"Check Format"))</f>
        <v>OK</v>
      </c>
      <c r="X1721" t="str">
        <f>IF(OR(F1721="",G1721=""),"Missing Date/Time",IFERROR(IF(G1721&lt;F1721,"Discharge Before Arrival","OK"),"Check Format"))</f>
        <v>OK</v>
      </c>
    </row>
    <row r="1722" spans="1:24" x14ac:dyDescent="0.25">
      <c r="A1722" s="2" t="s">
        <v>2480</v>
      </c>
      <c r="B1722" s="2" t="s">
        <v>500</v>
      </c>
      <c r="C1722" s="3" t="s">
        <v>37</v>
      </c>
      <c r="D1722" s="3" t="s">
        <v>99</v>
      </c>
      <c r="E1722" s="4">
        <v>45862.378472222219</v>
      </c>
      <c r="F1722" s="4">
        <v>45862.368055555555</v>
      </c>
      <c r="G1722" s="4">
        <v>45862.443749999999</v>
      </c>
      <c r="H1722" s="5">
        <v>88</v>
      </c>
      <c r="J1722" s="3" t="s">
        <v>22</v>
      </c>
      <c r="K1722" s="5">
        <v>57</v>
      </c>
      <c r="L1722" s="5">
        <v>37</v>
      </c>
      <c r="M1722" s="3" t="s">
        <v>87</v>
      </c>
      <c r="O1722" s="5">
        <v>5</v>
      </c>
      <c r="P1722" s="3" t="s">
        <v>25</v>
      </c>
      <c r="Q1722" s="2">
        <v>50.69</v>
      </c>
      <c r="R1722" s="3" t="s">
        <v>75</v>
      </c>
      <c r="S1722">
        <f>COUNTIF(A:A,A1722)</f>
        <v>1</v>
      </c>
      <c r="T1722" t="str">
        <f>IF(OR(H1722="",LOWER(TRIM(H1722&amp;""))="missing",LOWER(TRIM(H1722&amp;""))=""),"Missing/",IFERROR(IF(OR(VALUE(H1722)&lt;0,VALUE(H1722)&gt;110),"Invalid","Valid"),"Check Format"))</f>
        <v>Valid</v>
      </c>
      <c r="U1722">
        <f>IF(Raw_Data[[#This Row],[Age_Check]]="Valid",H1722,"")</f>
        <v>88</v>
      </c>
      <c r="V1722" t="str">
        <f>IF(OR(K1722="",UPPER(TRIM(K1722&amp;""))="",LOWER(TRIM(K1722&amp;""))="",LOWER(TRIM(K1722&amp;""))="",LOWER(TRIM(K1722&amp;""))="missing"),"Missing/",IFERROR(IF(VALUE(K1722)&lt;0,"Invalid","Valid"),"Check Format"))</f>
        <v>Valid</v>
      </c>
      <c r="W1722" t="str">
        <f>IF(OR(E1722="",F1722=""),"Missing Date/Time",IFERROR(IF(F1722&gt;E1722,"Arrival After Appointment","OK"),"Check Format"))</f>
        <v>OK</v>
      </c>
      <c r="X1722" t="str">
        <f>IF(OR(F1722="",G1722=""),"Missing Date/Time",IFERROR(IF(G1722&lt;F1722,"Discharge Before Arrival","OK"),"Check Format"))</f>
        <v>OK</v>
      </c>
    </row>
    <row r="1723" spans="1:24" x14ac:dyDescent="0.25">
      <c r="A1723" s="2" t="s">
        <v>2481</v>
      </c>
      <c r="B1723" s="2" t="s">
        <v>333</v>
      </c>
      <c r="C1723" s="3" t="s">
        <v>94</v>
      </c>
      <c r="D1723" s="3" t="s">
        <v>174</v>
      </c>
      <c r="E1723" s="4">
        <v>45727.628472222219</v>
      </c>
      <c r="F1723" s="4">
        <v>45727.613888888889</v>
      </c>
      <c r="G1723" s="4">
        <v>45727.692361111112</v>
      </c>
      <c r="I1723" s="3" t="s">
        <v>39</v>
      </c>
      <c r="J1723" s="3" t="s">
        <v>67</v>
      </c>
      <c r="K1723" s="5">
        <v>50</v>
      </c>
      <c r="L1723" s="5">
        <v>42</v>
      </c>
      <c r="M1723" s="3" t="s">
        <v>41</v>
      </c>
      <c r="O1723" s="5">
        <v>4</v>
      </c>
      <c r="P1723" s="3" t="s">
        <v>42</v>
      </c>
      <c r="Q1723" s="2">
        <v>20.57</v>
      </c>
      <c r="R1723" s="3" t="s">
        <v>75</v>
      </c>
      <c r="S1723">
        <f>COUNTIF(A:A,A1723)</f>
        <v>1</v>
      </c>
      <c r="T1723" t="str">
        <f>IF(OR(H1723="",LOWER(TRIM(H1723&amp;""))="missing",LOWER(TRIM(H1723&amp;""))=""),"Missing/",IFERROR(IF(OR(VALUE(H1723)&lt;0,VALUE(H1723)&gt;110),"Invalid","Valid"),"Check Format"))</f>
        <v>Missing/</v>
      </c>
      <c r="U1723" t="str">
        <f>IF(Raw_Data[[#This Row],[Age_Check]]="Valid",H1723,"")</f>
        <v/>
      </c>
      <c r="V1723" t="str">
        <f>IF(OR(K1723="",UPPER(TRIM(K1723&amp;""))="",LOWER(TRIM(K1723&amp;""))="",LOWER(TRIM(K1723&amp;""))="",LOWER(TRIM(K1723&amp;""))="missing"),"Missing/",IFERROR(IF(VALUE(K1723)&lt;0,"Invalid","Valid"),"Check Format"))</f>
        <v>Valid</v>
      </c>
      <c r="W1723" t="str">
        <f>IF(OR(E1723="",F1723=""),"Missing Date/Time",IFERROR(IF(F1723&gt;E1723,"Arrival After Appointment","OK"),"Check Format"))</f>
        <v>OK</v>
      </c>
      <c r="X1723" t="str">
        <f>IF(OR(F1723="",G1723=""),"Missing Date/Time",IFERROR(IF(G1723&lt;F1723,"Discharge Before Arrival","OK"),"Check Format"))</f>
        <v>OK</v>
      </c>
    </row>
    <row r="1724" spans="1:24" x14ac:dyDescent="0.25">
      <c r="A1724" s="2" t="s">
        <v>2482</v>
      </c>
      <c r="B1724" s="2" t="s">
        <v>351</v>
      </c>
      <c r="C1724" s="3" t="s">
        <v>46</v>
      </c>
      <c r="D1724" s="3" t="s">
        <v>209</v>
      </c>
      <c r="E1724" s="4">
        <v>45946.732638888891</v>
      </c>
      <c r="G1724" s="4">
        <v>45946.800694444442</v>
      </c>
      <c r="J1724" s="3" t="s">
        <v>62</v>
      </c>
      <c r="K1724" s="5">
        <v>65</v>
      </c>
      <c r="L1724" s="5">
        <v>33</v>
      </c>
      <c r="M1724" s="3" t="s">
        <v>23</v>
      </c>
      <c r="N1724" t="s">
        <v>74</v>
      </c>
      <c r="P1724" s="3" t="s">
        <v>25</v>
      </c>
      <c r="Q1724" s="2">
        <v>148.30000000000001</v>
      </c>
      <c r="R1724" s="3" t="s">
        <v>43</v>
      </c>
      <c r="S1724">
        <f>COUNTIF(A:A,A1724)</f>
        <v>1</v>
      </c>
      <c r="T1724" t="str">
        <f>IF(OR(H1724="",LOWER(TRIM(H1724&amp;""))="missing",LOWER(TRIM(H1724&amp;""))=""),"Missing/",IFERROR(IF(OR(VALUE(H1724)&lt;0,VALUE(H1724)&gt;110),"Invalid","Valid"),"Check Format"))</f>
        <v>Missing/</v>
      </c>
      <c r="U1724" t="str">
        <f>IF(Raw_Data[[#This Row],[Age_Check]]="Valid",H1724,"")</f>
        <v/>
      </c>
      <c r="V1724" t="str">
        <f>IF(OR(K1724="",UPPER(TRIM(K1724&amp;""))="",LOWER(TRIM(K1724&amp;""))="",LOWER(TRIM(K1724&amp;""))="",LOWER(TRIM(K1724&amp;""))="missing"),"Missing/",IFERROR(IF(VALUE(K1724)&lt;0,"Invalid","Valid"),"Check Format"))</f>
        <v>Valid</v>
      </c>
      <c r="W1724" t="str">
        <f>IF(OR(E1724="",F1724=""),"Missing Date/Time",IFERROR(IF(F1724&gt;E1724,"Arrival After Appointment","OK"),"Check Format"))</f>
        <v>Missing Date/Time</v>
      </c>
      <c r="X1724" t="str">
        <f>IF(OR(F1724="",G1724=""),"Missing Date/Time",IFERROR(IF(G1724&lt;F1724,"Discharge Before Arrival","OK"),"Check Format"))</f>
        <v>Missing Date/Time</v>
      </c>
    </row>
    <row r="1725" spans="1:24" x14ac:dyDescent="0.25">
      <c r="A1725" s="2" t="s">
        <v>2483</v>
      </c>
      <c r="B1725" s="2" t="s">
        <v>2484</v>
      </c>
      <c r="C1725" s="3" t="s">
        <v>19</v>
      </c>
      <c r="D1725" s="3" t="s">
        <v>115</v>
      </c>
      <c r="E1725" s="4">
        <v>45775.715277777781</v>
      </c>
      <c r="G1725" s="4">
        <v>45775.806944444441</v>
      </c>
      <c r="I1725" s="3" t="s">
        <v>90</v>
      </c>
      <c r="J1725" s="3" t="s">
        <v>67</v>
      </c>
      <c r="K1725" s="5">
        <v>94</v>
      </c>
      <c r="L1725" s="5">
        <v>38</v>
      </c>
      <c r="M1725" s="3" t="s">
        <v>50</v>
      </c>
      <c r="N1725" t="s">
        <v>100</v>
      </c>
      <c r="O1725" s="5">
        <v>4</v>
      </c>
      <c r="P1725" s="3" t="s">
        <v>25</v>
      </c>
      <c r="Q1725" s="2">
        <v>263.25</v>
      </c>
      <c r="R1725" s="3" t="s">
        <v>58</v>
      </c>
      <c r="S1725">
        <f>COUNTIF(A:A,A1725)</f>
        <v>1</v>
      </c>
      <c r="T1725" t="str">
        <f>IF(OR(H1725="",LOWER(TRIM(H1725&amp;""))="missing",LOWER(TRIM(H1725&amp;""))=""),"Missing/",IFERROR(IF(OR(VALUE(H1725)&lt;0,VALUE(H1725)&gt;110),"Invalid","Valid"),"Check Format"))</f>
        <v>Missing/</v>
      </c>
      <c r="U1725" t="str">
        <f>IF(Raw_Data[[#This Row],[Age_Check]]="Valid",H1725,"")</f>
        <v/>
      </c>
      <c r="V1725" t="str">
        <f>IF(OR(K1725="",UPPER(TRIM(K1725&amp;""))="",LOWER(TRIM(K1725&amp;""))="",LOWER(TRIM(K1725&amp;""))="",LOWER(TRIM(K1725&amp;""))="missing"),"Missing/",IFERROR(IF(VALUE(K1725)&lt;0,"Invalid","Valid"),"Check Format"))</f>
        <v>Valid</v>
      </c>
      <c r="W1725" t="str">
        <f>IF(OR(E1725="",F1725=""),"Missing Date/Time",IFERROR(IF(F1725&gt;E1725,"Arrival After Appointment","OK"),"Check Format"))</f>
        <v>Missing Date/Time</v>
      </c>
      <c r="X1725" t="str">
        <f>IF(OR(F1725="",G1725=""),"Missing Date/Time",IFERROR(IF(G1725&lt;F1725,"Discharge Before Arrival","OK"),"Check Format"))</f>
        <v>Missing Date/Time</v>
      </c>
    </row>
    <row r="1726" spans="1:24" x14ac:dyDescent="0.25">
      <c r="A1726" s="2" t="s">
        <v>2485</v>
      </c>
      <c r="B1726" s="2" t="s">
        <v>400</v>
      </c>
      <c r="C1726" s="3" t="s">
        <v>46</v>
      </c>
      <c r="D1726" s="3" t="s">
        <v>72</v>
      </c>
      <c r="E1726" s="4">
        <v>45942.534722222219</v>
      </c>
      <c r="G1726" s="4">
        <v>45942.574305555558</v>
      </c>
      <c r="I1726" s="3" t="s">
        <v>95</v>
      </c>
      <c r="J1726" s="3" t="s">
        <v>67</v>
      </c>
      <c r="K1726" s="5">
        <v>23</v>
      </c>
      <c r="L1726" s="5">
        <v>34</v>
      </c>
      <c r="M1726" s="3" t="s">
        <v>87</v>
      </c>
      <c r="N1726" t="s">
        <v>74</v>
      </c>
      <c r="O1726" s="5">
        <v>6</v>
      </c>
      <c r="P1726" s="3" t="s">
        <v>25</v>
      </c>
      <c r="R1726" s="3" t="s">
        <v>26</v>
      </c>
      <c r="S1726">
        <f>COUNTIF(A:A,A1726)</f>
        <v>1</v>
      </c>
      <c r="T1726" t="str">
        <f>IF(OR(H1726="",LOWER(TRIM(H1726&amp;""))="missing",LOWER(TRIM(H1726&amp;""))=""),"Missing/",IFERROR(IF(OR(VALUE(H1726)&lt;0,VALUE(H1726)&gt;110),"Invalid","Valid"),"Check Format"))</f>
        <v>Missing/</v>
      </c>
      <c r="U1726" t="str">
        <f>IF(Raw_Data[[#This Row],[Age_Check]]="Valid",H1726,"")</f>
        <v/>
      </c>
      <c r="V1726" t="str">
        <f>IF(OR(K1726="",UPPER(TRIM(K1726&amp;""))="",LOWER(TRIM(K1726&amp;""))="",LOWER(TRIM(K1726&amp;""))="",LOWER(TRIM(K1726&amp;""))="missing"),"Missing/",IFERROR(IF(VALUE(K1726)&lt;0,"Invalid","Valid"),"Check Format"))</f>
        <v>Valid</v>
      </c>
      <c r="W1726" t="str">
        <f>IF(OR(E1726="",F1726=""),"Missing Date/Time",IFERROR(IF(F1726&gt;E1726,"Arrival After Appointment","OK"),"Check Format"))</f>
        <v>Missing Date/Time</v>
      </c>
      <c r="X1726" t="str">
        <f>IF(OR(F1726="",G1726=""),"Missing Date/Time",IFERROR(IF(G1726&lt;F1726,"Discharge Before Arrival","OK"),"Check Format"))</f>
        <v>Missing Date/Time</v>
      </c>
    </row>
    <row r="1727" spans="1:24" x14ac:dyDescent="0.25">
      <c r="A1727" s="2" t="s">
        <v>2486</v>
      </c>
      <c r="B1727" s="2" t="s">
        <v>1144</v>
      </c>
      <c r="C1727" s="3" t="s">
        <v>46</v>
      </c>
      <c r="D1727" s="3" t="s">
        <v>209</v>
      </c>
      <c r="E1727" s="4">
        <v>45707.697916666664</v>
      </c>
      <c r="F1727" s="4">
        <v>45707.690972222219</v>
      </c>
      <c r="G1727" s="4">
        <v>45707.747916666667</v>
      </c>
      <c r="J1727" s="3" t="s">
        <v>67</v>
      </c>
      <c r="K1727" s="5">
        <v>60</v>
      </c>
      <c r="L1727" s="5">
        <v>12</v>
      </c>
      <c r="M1727" s="3" t="s">
        <v>87</v>
      </c>
      <c r="N1727" t="s">
        <v>24</v>
      </c>
      <c r="O1727" s="5">
        <v>6</v>
      </c>
      <c r="P1727" s="3" t="s">
        <v>80</v>
      </c>
      <c r="Q1727" s="2">
        <v>221.5</v>
      </c>
      <c r="R1727" s="3" t="s">
        <v>58</v>
      </c>
      <c r="S1727">
        <f>COUNTIF(A:A,A1727)</f>
        <v>1</v>
      </c>
      <c r="T1727" t="str">
        <f>IF(OR(H1727="",LOWER(TRIM(H1727&amp;""))="missing",LOWER(TRIM(H1727&amp;""))=""),"Missing/",IFERROR(IF(OR(VALUE(H1727)&lt;0,VALUE(H1727)&gt;110),"Invalid","Valid"),"Check Format"))</f>
        <v>Missing/</v>
      </c>
      <c r="U1727" t="str">
        <f>IF(Raw_Data[[#This Row],[Age_Check]]="Valid",H1727,"")</f>
        <v/>
      </c>
      <c r="V1727" t="str">
        <f>IF(OR(K1727="",UPPER(TRIM(K1727&amp;""))="",LOWER(TRIM(K1727&amp;""))="",LOWER(TRIM(K1727&amp;""))="",LOWER(TRIM(K1727&amp;""))="missing"),"Missing/",IFERROR(IF(VALUE(K1727)&lt;0,"Invalid","Valid"),"Check Format"))</f>
        <v>Valid</v>
      </c>
      <c r="W1727" t="str">
        <f>IF(OR(E1727="",F1727=""),"Missing Date/Time",IFERROR(IF(F1727&gt;E1727,"Arrival After Appointment","OK"),"Check Format"))</f>
        <v>OK</v>
      </c>
      <c r="X1727" t="str">
        <f>IF(OR(F1727="",G1727=""),"Missing Date/Time",IFERROR(IF(G1727&lt;F1727,"Discharge Before Arrival","OK"),"Check Format"))</f>
        <v>OK</v>
      </c>
    </row>
    <row r="1728" spans="1:24" x14ac:dyDescent="0.25">
      <c r="A1728" s="2" t="s">
        <v>2487</v>
      </c>
      <c r="B1728" s="2" t="s">
        <v>214</v>
      </c>
      <c r="C1728" s="3" t="s">
        <v>19</v>
      </c>
      <c r="D1728" s="3" t="s">
        <v>23</v>
      </c>
      <c r="E1728" s="4">
        <v>45814.753472222219</v>
      </c>
      <c r="F1728" s="4">
        <v>45814.736805555556</v>
      </c>
      <c r="G1728" s="4">
        <v>45814.871527777781</v>
      </c>
      <c r="H1728" s="5">
        <v>85</v>
      </c>
      <c r="I1728" s="3" t="s">
        <v>90</v>
      </c>
      <c r="J1728" s="3" t="s">
        <v>62</v>
      </c>
      <c r="K1728" s="5">
        <v>139</v>
      </c>
      <c r="L1728" s="5">
        <v>31</v>
      </c>
      <c r="M1728" s="3" t="s">
        <v>63</v>
      </c>
      <c r="P1728" s="3" t="s">
        <v>80</v>
      </c>
      <c r="Q1728" s="2">
        <v>185.4</v>
      </c>
      <c r="R1728" s="3" t="s">
        <v>58</v>
      </c>
      <c r="S1728">
        <f>COUNTIF(A:A,A1728)</f>
        <v>1</v>
      </c>
      <c r="T1728" t="str">
        <f>IF(OR(H1728="",LOWER(TRIM(H1728&amp;""))="missing",LOWER(TRIM(H1728&amp;""))=""),"Missing/",IFERROR(IF(OR(VALUE(H1728)&lt;0,VALUE(H1728)&gt;110),"Invalid","Valid"),"Check Format"))</f>
        <v>Valid</v>
      </c>
      <c r="U1728">
        <f>IF(Raw_Data[[#This Row],[Age_Check]]="Valid",H1728,"")</f>
        <v>85</v>
      </c>
      <c r="V1728" t="str">
        <f>IF(OR(K1728="",UPPER(TRIM(K1728&amp;""))="",LOWER(TRIM(K1728&amp;""))="",LOWER(TRIM(K1728&amp;""))="",LOWER(TRIM(K1728&amp;""))="missing"),"Missing/",IFERROR(IF(VALUE(K1728)&lt;0,"Invalid","Valid"),"Check Format"))</f>
        <v>Valid</v>
      </c>
      <c r="W1728" t="str">
        <f>IF(OR(E1728="",F1728=""),"Missing Date/Time",IFERROR(IF(F1728&gt;E1728,"Arrival After Appointment","OK"),"Check Format"))</f>
        <v>OK</v>
      </c>
      <c r="X1728" t="str">
        <f>IF(OR(F1728="",G1728=""),"Missing Date/Time",IFERROR(IF(G1728&lt;F1728,"Discharge Before Arrival","OK"),"Check Format"))</f>
        <v>OK</v>
      </c>
    </row>
    <row r="1729" spans="1:24" x14ac:dyDescent="0.25">
      <c r="A1729" s="2" t="s">
        <v>2488</v>
      </c>
      <c r="B1729" s="2" t="s">
        <v>1148</v>
      </c>
      <c r="C1729" s="3" t="s">
        <v>94</v>
      </c>
      <c r="D1729" s="3" t="s">
        <v>23</v>
      </c>
      <c r="E1729" s="4">
        <v>45390.704861111109</v>
      </c>
      <c r="F1729" s="4">
        <v>45508.701388888891</v>
      </c>
      <c r="G1729" s="4">
        <v>45508.759722222225</v>
      </c>
      <c r="H1729" s="5">
        <v>13</v>
      </c>
      <c r="K1729" s="5">
        <v>60</v>
      </c>
      <c r="L1729" s="5">
        <v>19</v>
      </c>
      <c r="N1729" t="s">
        <v>100</v>
      </c>
      <c r="O1729" s="5">
        <v>6</v>
      </c>
      <c r="P1729" s="3" t="s">
        <v>25</v>
      </c>
      <c r="Q1729" s="2">
        <v>0</v>
      </c>
      <c r="R1729" s="3" t="s">
        <v>58</v>
      </c>
      <c r="S1729">
        <f>COUNTIF(A:A,A1729)</f>
        <v>1</v>
      </c>
      <c r="T1729" t="str">
        <f>IF(OR(H1729="",LOWER(TRIM(H1729&amp;""))="missing",LOWER(TRIM(H1729&amp;""))=""),"Missing/",IFERROR(IF(OR(VALUE(H1729)&lt;0,VALUE(H1729)&gt;110),"Invalid","Valid"),"Check Format"))</f>
        <v>Valid</v>
      </c>
      <c r="U1729">
        <f>IF(Raw_Data[[#This Row],[Age_Check]]="Valid",H1729,"")</f>
        <v>13</v>
      </c>
      <c r="V1729" t="str">
        <f>IF(OR(K1729="",UPPER(TRIM(K1729&amp;""))="",LOWER(TRIM(K1729&amp;""))="",LOWER(TRIM(K1729&amp;""))="",LOWER(TRIM(K1729&amp;""))="missing"),"Missing/",IFERROR(IF(VALUE(K1729)&lt;0,"Invalid","Valid"),"Check Format"))</f>
        <v>Valid</v>
      </c>
      <c r="W1729" t="str">
        <f>IF(OR(E1729="",F1729=""),"Missing Date/Time",IFERROR(IF(F1729&gt;E1729,"Arrival After Appointment","OK"),"Check Format"))</f>
        <v>Arrival After Appointment</v>
      </c>
      <c r="X1729" t="str">
        <f>IF(OR(F1729="",G1729=""),"Missing Date/Time",IFERROR(IF(G1729&lt;F1729,"Discharge Before Arrival","OK"),"Check Format"))</f>
        <v>OK</v>
      </c>
    </row>
    <row r="1730" spans="1:24" x14ac:dyDescent="0.25">
      <c r="A1730" s="2" t="s">
        <v>2489</v>
      </c>
      <c r="B1730" s="2" t="s">
        <v>216</v>
      </c>
      <c r="C1730" s="3" t="s">
        <v>37</v>
      </c>
      <c r="D1730" s="3" t="s">
        <v>72</v>
      </c>
      <c r="E1730" s="4">
        <v>45896.628472222219</v>
      </c>
      <c r="F1730" s="4">
        <v>45896.616666666669</v>
      </c>
      <c r="G1730" s="4">
        <v>45896.655555555553</v>
      </c>
      <c r="I1730" s="3" t="s">
        <v>95</v>
      </c>
      <c r="J1730" s="3" t="s">
        <v>67</v>
      </c>
      <c r="K1730" s="5">
        <v>33</v>
      </c>
      <c r="L1730" s="5">
        <v>6</v>
      </c>
      <c r="M1730" s="3" t="s">
        <v>23</v>
      </c>
      <c r="N1730" t="s">
        <v>91</v>
      </c>
      <c r="O1730" s="5">
        <v>0</v>
      </c>
      <c r="P1730" s="3" t="s">
        <v>25</v>
      </c>
      <c r="Q1730" s="2">
        <v>281.33</v>
      </c>
      <c r="R1730" s="3" t="s">
        <v>58</v>
      </c>
      <c r="S1730">
        <f>COUNTIF(A:A,A1730)</f>
        <v>1</v>
      </c>
      <c r="T1730" t="str">
        <f>IF(OR(H1730="",LOWER(TRIM(H1730&amp;""))="missing",LOWER(TRIM(H1730&amp;""))=""),"Missing/",IFERROR(IF(OR(VALUE(H1730)&lt;0,VALUE(H1730)&gt;110),"Invalid","Valid"),"Check Format"))</f>
        <v>Missing/</v>
      </c>
      <c r="U1730" t="str">
        <f>IF(Raw_Data[[#This Row],[Age_Check]]="Valid",H1730,"")</f>
        <v/>
      </c>
      <c r="V1730" t="str">
        <f>IF(OR(K1730="",UPPER(TRIM(K1730&amp;""))="",LOWER(TRIM(K1730&amp;""))="",LOWER(TRIM(K1730&amp;""))="",LOWER(TRIM(K1730&amp;""))="missing"),"Missing/",IFERROR(IF(VALUE(K1730)&lt;0,"Invalid","Valid"),"Check Format"))</f>
        <v>Valid</v>
      </c>
      <c r="W1730" t="str">
        <f>IF(OR(E1730="",F1730=""),"Missing Date/Time",IFERROR(IF(F1730&gt;E1730,"Arrival After Appointment","OK"),"Check Format"))</f>
        <v>OK</v>
      </c>
      <c r="X1730" t="str">
        <f>IF(OR(F1730="",G1730=""),"Missing Date/Time",IFERROR(IF(G1730&lt;F1730,"Discharge Before Arrival","OK"),"Check Format"))</f>
        <v>OK</v>
      </c>
    </row>
    <row r="1731" spans="1:24" x14ac:dyDescent="0.25">
      <c r="A1731" s="2" t="s">
        <v>2490</v>
      </c>
      <c r="B1731" s="2" t="s">
        <v>745</v>
      </c>
      <c r="C1731" s="3" t="s">
        <v>94</v>
      </c>
      <c r="D1731" s="3" t="s">
        <v>72</v>
      </c>
      <c r="E1731" s="4">
        <v>45406.392361111109</v>
      </c>
      <c r="F1731" s="4">
        <v>45406.382638888892</v>
      </c>
      <c r="G1731" s="4">
        <v>45406.446527777778</v>
      </c>
      <c r="I1731" s="3" t="s">
        <v>73</v>
      </c>
      <c r="J1731" s="3" t="s">
        <v>2639</v>
      </c>
      <c r="K1731" s="5">
        <v>53</v>
      </c>
      <c r="L1731" s="5">
        <v>25</v>
      </c>
      <c r="M1731" s="3" t="s">
        <v>63</v>
      </c>
      <c r="N1731" t="s">
        <v>24</v>
      </c>
      <c r="O1731" s="5">
        <v>3</v>
      </c>
      <c r="P1731" s="3" t="s">
        <v>25</v>
      </c>
      <c r="R1731" s="3" t="s">
        <v>26</v>
      </c>
      <c r="S1731">
        <f>COUNTIF(A:A,A1731)</f>
        <v>1</v>
      </c>
      <c r="T1731" t="str">
        <f>IF(OR(H1731="",LOWER(TRIM(H1731&amp;""))="missing",LOWER(TRIM(H1731&amp;""))=""),"Missing/",IFERROR(IF(OR(VALUE(H1731)&lt;0,VALUE(H1731)&gt;110),"Invalid","Valid"),"Check Format"))</f>
        <v>Missing/</v>
      </c>
      <c r="U1731" t="str">
        <f>IF(Raw_Data[[#This Row],[Age_Check]]="Valid",H1731,"")</f>
        <v/>
      </c>
      <c r="V1731" t="str">
        <f>IF(OR(K1731="",UPPER(TRIM(K1731&amp;""))="",LOWER(TRIM(K1731&amp;""))="",LOWER(TRIM(K1731&amp;""))="",LOWER(TRIM(K1731&amp;""))="missing"),"Missing/",IFERROR(IF(VALUE(K1731)&lt;0,"Invalid","Valid"),"Check Format"))</f>
        <v>Valid</v>
      </c>
      <c r="W1731" t="str">
        <f>IF(OR(E1731="",F1731=""),"Missing Date/Time",IFERROR(IF(F1731&gt;E1731,"Arrival After Appointment","OK"),"Check Format"))</f>
        <v>OK</v>
      </c>
      <c r="X1731" t="str">
        <f>IF(OR(F1731="",G1731=""),"Missing Date/Time",IFERROR(IF(G1731&lt;F1731,"Discharge Before Arrival","OK"),"Check Format"))</f>
        <v>OK</v>
      </c>
    </row>
    <row r="1732" spans="1:24" x14ac:dyDescent="0.25">
      <c r="A1732" s="2" t="s">
        <v>2491</v>
      </c>
      <c r="B1732" s="2" t="s">
        <v>1660</v>
      </c>
      <c r="C1732" s="3" t="s">
        <v>94</v>
      </c>
      <c r="D1732" s="3" t="s">
        <v>66</v>
      </c>
      <c r="E1732" s="4" t="s">
        <v>2492</v>
      </c>
      <c r="G1732" s="4">
        <v>45769.520833333336</v>
      </c>
      <c r="I1732" s="3" t="s">
        <v>90</v>
      </c>
      <c r="J1732" s="3" t="s">
        <v>2639</v>
      </c>
      <c r="K1732" s="5">
        <v>89</v>
      </c>
      <c r="L1732" s="5">
        <v>11</v>
      </c>
      <c r="M1732" s="3" t="s">
        <v>32</v>
      </c>
      <c r="N1732" t="s">
        <v>100</v>
      </c>
      <c r="O1732" s="5">
        <v>4</v>
      </c>
      <c r="Q1732" s="2">
        <v>83.65</v>
      </c>
      <c r="R1732" s="3" t="s">
        <v>58</v>
      </c>
      <c r="S1732">
        <f>COUNTIF(A:A,A1732)</f>
        <v>1</v>
      </c>
      <c r="T1732" t="str">
        <f>IF(OR(H1732="",LOWER(TRIM(H1732&amp;""))="missing",LOWER(TRIM(H1732&amp;""))=""),"Missing/",IFERROR(IF(OR(VALUE(H1732)&lt;0,VALUE(H1732)&gt;110),"Invalid","Valid"),"Check Format"))</f>
        <v>Missing/</v>
      </c>
      <c r="U1732" t="str">
        <f>IF(Raw_Data[[#This Row],[Age_Check]]="Valid",H1732,"")</f>
        <v/>
      </c>
      <c r="V1732" t="str">
        <f>IF(OR(K1732="",UPPER(TRIM(K1732&amp;""))="",LOWER(TRIM(K1732&amp;""))="",LOWER(TRIM(K1732&amp;""))="",LOWER(TRIM(K1732&amp;""))="missing"),"Missing/",IFERROR(IF(VALUE(K1732)&lt;0,"Invalid","Valid"),"Check Format"))</f>
        <v>Valid</v>
      </c>
      <c r="W1732" t="str">
        <f>IF(OR(E1732="",F1732=""),"Missing Date/Time",IFERROR(IF(F1732&gt;E1732,"Arrival After Appointment","OK"),"Check Format"))</f>
        <v>Missing Date/Time</v>
      </c>
      <c r="X1732" t="str">
        <f>IF(OR(F1732="",G1732=""),"Missing Date/Time",IFERROR(IF(G1732&lt;F1732,"Discharge Before Arrival","OK"),"Check Format"))</f>
        <v>Missing Date/Time</v>
      </c>
    </row>
    <row r="1733" spans="1:24" x14ac:dyDescent="0.25">
      <c r="A1733" s="2" t="s">
        <v>2493</v>
      </c>
      <c r="B1733" s="2" t="s">
        <v>579</v>
      </c>
      <c r="C1733" s="3" t="s">
        <v>94</v>
      </c>
      <c r="D1733" s="3" t="s">
        <v>99</v>
      </c>
      <c r="E1733" s="4">
        <v>45645.743055555555</v>
      </c>
      <c r="F1733" s="4">
        <v>45645.736805555556</v>
      </c>
      <c r="G1733" s="4">
        <v>45645.819444444445</v>
      </c>
      <c r="H1733" s="5">
        <v>47</v>
      </c>
      <c r="K1733" s="5">
        <v>60</v>
      </c>
      <c r="L1733" s="5">
        <v>50</v>
      </c>
      <c r="M1733" s="3" t="s">
        <v>23</v>
      </c>
      <c r="N1733" t="s">
        <v>24</v>
      </c>
      <c r="O1733" s="5">
        <v>4</v>
      </c>
      <c r="P1733" s="3" t="s">
        <v>25</v>
      </c>
      <c r="Q1733" s="2">
        <v>185.13</v>
      </c>
      <c r="R1733" s="3" t="s">
        <v>58</v>
      </c>
      <c r="S1733">
        <f>COUNTIF(A:A,A1733)</f>
        <v>1</v>
      </c>
      <c r="T1733" t="str">
        <f>IF(OR(H1733="",LOWER(TRIM(H1733&amp;""))="missing",LOWER(TRIM(H1733&amp;""))=""),"Missing/",IFERROR(IF(OR(VALUE(H1733)&lt;0,VALUE(H1733)&gt;110),"Invalid","Valid"),"Check Format"))</f>
        <v>Valid</v>
      </c>
      <c r="U1733">
        <f>IF(Raw_Data[[#This Row],[Age_Check]]="Valid",H1733,"")</f>
        <v>47</v>
      </c>
      <c r="V1733" t="str">
        <f>IF(OR(K1733="",UPPER(TRIM(K1733&amp;""))="",LOWER(TRIM(K1733&amp;""))="",LOWER(TRIM(K1733&amp;""))="",LOWER(TRIM(K1733&amp;""))="missing"),"Missing/",IFERROR(IF(VALUE(K1733)&lt;0,"Invalid","Valid"),"Check Format"))</f>
        <v>Valid</v>
      </c>
      <c r="W1733" t="str">
        <f>IF(OR(E1733="",F1733=""),"Missing Date/Time",IFERROR(IF(F1733&gt;E1733,"Arrival After Appointment","OK"),"Check Format"))</f>
        <v>OK</v>
      </c>
      <c r="X1733" t="str">
        <f>IF(OR(F1733="",G1733=""),"Missing Date/Time",IFERROR(IF(G1733&lt;F1733,"Discharge Before Arrival","OK"),"Check Format"))</f>
        <v>OK</v>
      </c>
    </row>
    <row r="1734" spans="1:24" x14ac:dyDescent="0.25">
      <c r="A1734" s="2" t="s">
        <v>2494</v>
      </c>
      <c r="B1734" s="2" t="s">
        <v>581</v>
      </c>
      <c r="C1734" s="3" t="s">
        <v>94</v>
      </c>
      <c r="D1734" s="3" t="s">
        <v>149</v>
      </c>
      <c r="E1734" s="4">
        <v>45852.440972222219</v>
      </c>
      <c r="F1734" s="4">
        <v>45852.4375</v>
      </c>
      <c r="G1734" s="4">
        <v>45852.509722222225</v>
      </c>
      <c r="H1734" s="5">
        <v>85</v>
      </c>
      <c r="I1734" s="3" t="s">
        <v>73</v>
      </c>
      <c r="J1734" s="3" t="s">
        <v>2639</v>
      </c>
      <c r="K1734" s="5">
        <v>999</v>
      </c>
      <c r="L1734" s="5">
        <v>33</v>
      </c>
      <c r="M1734" s="3" t="s">
        <v>63</v>
      </c>
      <c r="N1734" t="s">
        <v>100</v>
      </c>
      <c r="Q1734" s="2">
        <v>177.02</v>
      </c>
      <c r="R1734" s="3" t="s">
        <v>75</v>
      </c>
      <c r="S1734">
        <f>COUNTIF(A:A,A1734)</f>
        <v>1</v>
      </c>
      <c r="T1734" t="str">
        <f>IF(OR(H1734="",LOWER(TRIM(H1734&amp;""))="missing",LOWER(TRIM(H1734&amp;""))=""),"Missing/",IFERROR(IF(OR(VALUE(H1734)&lt;0,VALUE(H1734)&gt;110),"Invalid","Valid"),"Check Format"))</f>
        <v>Valid</v>
      </c>
      <c r="U1734">
        <f>IF(Raw_Data[[#This Row],[Age_Check]]="Valid",H1734,"")</f>
        <v>85</v>
      </c>
      <c r="V1734" t="str">
        <f>IF(OR(K1734="",UPPER(TRIM(K1734&amp;""))="",LOWER(TRIM(K1734&amp;""))="",LOWER(TRIM(K1734&amp;""))="",LOWER(TRIM(K1734&amp;""))="missing"),"Missing/",IFERROR(IF(VALUE(K1734)&lt;0,"Invalid","Valid"),"Check Format"))</f>
        <v>Valid</v>
      </c>
      <c r="W1734" t="str">
        <f>IF(OR(E1734="",F1734=""),"Missing Date/Time",IFERROR(IF(F1734&gt;E1734,"Arrival After Appointment","OK"),"Check Format"))</f>
        <v>OK</v>
      </c>
      <c r="X1734" t="str">
        <f>IF(OR(F1734="",G1734=""),"Missing Date/Time",IFERROR(IF(G1734&lt;F1734,"Discharge Before Arrival","OK"),"Check Format"))</f>
        <v>OK</v>
      </c>
    </row>
    <row r="1735" spans="1:24" x14ac:dyDescent="0.25">
      <c r="A1735" s="2" t="s">
        <v>2495</v>
      </c>
      <c r="B1735" s="2" t="s">
        <v>735</v>
      </c>
      <c r="C1735" s="3" t="s">
        <v>19</v>
      </c>
      <c r="D1735" s="3" t="s">
        <v>30</v>
      </c>
      <c r="E1735" s="4" t="s">
        <v>2496</v>
      </c>
      <c r="F1735" s="4">
        <v>45652.427777777775</v>
      </c>
      <c r="G1735" s="4">
        <v>45652.484722222223</v>
      </c>
      <c r="H1735" s="5">
        <v>92</v>
      </c>
      <c r="I1735" s="3" t="s">
        <v>73</v>
      </c>
      <c r="J1735" s="3" t="s">
        <v>171</v>
      </c>
      <c r="K1735" s="5">
        <v>65</v>
      </c>
      <c r="L1735" s="5">
        <v>13</v>
      </c>
      <c r="M1735" s="3" t="s">
        <v>50</v>
      </c>
      <c r="P1735" s="3" t="s">
        <v>25</v>
      </c>
      <c r="Q1735" s="2">
        <v>148.69</v>
      </c>
      <c r="R1735" s="3" t="s">
        <v>58</v>
      </c>
      <c r="S1735">
        <f>COUNTIF(A:A,A1735)</f>
        <v>1</v>
      </c>
      <c r="T1735" t="str">
        <f>IF(OR(H1735="",LOWER(TRIM(H1735&amp;""))="missing",LOWER(TRIM(H1735&amp;""))=""),"Missing/",IFERROR(IF(OR(VALUE(H1735)&lt;0,VALUE(H1735)&gt;110),"Invalid","Valid"),"Check Format"))</f>
        <v>Valid</v>
      </c>
      <c r="U1735">
        <f>IF(Raw_Data[[#This Row],[Age_Check]]="Valid",H1735,"")</f>
        <v>92</v>
      </c>
      <c r="V1735" t="str">
        <f>IF(OR(K1735="",UPPER(TRIM(K1735&amp;""))="",LOWER(TRIM(K1735&amp;""))="",LOWER(TRIM(K1735&amp;""))="",LOWER(TRIM(K1735&amp;""))="missing"),"Missing/",IFERROR(IF(VALUE(K1735)&lt;0,"Invalid","Valid"),"Check Format"))</f>
        <v>Valid</v>
      </c>
      <c r="W1735" t="str">
        <f>IF(OR(E1735="",F1735=""),"Missing Date/Time",IFERROR(IF(F1735&gt;E1735,"Arrival After Appointment","OK"),"Check Format"))</f>
        <v>OK</v>
      </c>
      <c r="X1735" t="str">
        <f>IF(OR(F1735="",G1735=""),"Missing Date/Time",IFERROR(IF(G1735&lt;F1735,"Discharge Before Arrival","OK"),"Check Format"))</f>
        <v>OK</v>
      </c>
    </row>
    <row r="1736" spans="1:24" x14ac:dyDescent="0.25">
      <c r="A1736" s="2" t="s">
        <v>2497</v>
      </c>
      <c r="B1736" s="2" t="s">
        <v>682</v>
      </c>
      <c r="C1736" s="3" t="s">
        <v>46</v>
      </c>
      <c r="D1736" s="3" t="s">
        <v>30</v>
      </c>
      <c r="E1736" s="4">
        <v>45935.506944444445</v>
      </c>
      <c r="F1736" s="4">
        <v>45935.501388888886</v>
      </c>
      <c r="G1736" s="4">
        <v>45935.543749999997</v>
      </c>
      <c r="I1736" s="3" t="s">
        <v>95</v>
      </c>
      <c r="J1736" s="3" t="s">
        <v>62</v>
      </c>
      <c r="K1736" s="5">
        <v>20</v>
      </c>
      <c r="L1736" s="5">
        <v>33</v>
      </c>
      <c r="M1736" s="3" t="s">
        <v>32</v>
      </c>
      <c r="N1736" t="s">
        <v>69</v>
      </c>
      <c r="O1736" s="5">
        <v>1</v>
      </c>
      <c r="P1736" s="3" t="s">
        <v>80</v>
      </c>
      <c r="Q1736" s="2">
        <v>106.55</v>
      </c>
      <c r="R1736" s="3" t="s">
        <v>75</v>
      </c>
      <c r="S1736">
        <f>COUNTIF(A:A,A1736)</f>
        <v>1</v>
      </c>
      <c r="T1736" t="str">
        <f>IF(OR(H1736="",LOWER(TRIM(H1736&amp;""))="missing",LOWER(TRIM(H1736&amp;""))=""),"Missing/",IFERROR(IF(OR(VALUE(H1736)&lt;0,VALUE(H1736)&gt;110),"Invalid","Valid"),"Check Format"))</f>
        <v>Missing/</v>
      </c>
      <c r="U1736" t="str">
        <f>IF(Raw_Data[[#This Row],[Age_Check]]="Valid",H1736,"")</f>
        <v/>
      </c>
      <c r="V1736" t="str">
        <f>IF(OR(K1736="",UPPER(TRIM(K1736&amp;""))="",LOWER(TRIM(K1736&amp;""))="",LOWER(TRIM(K1736&amp;""))="",LOWER(TRIM(K1736&amp;""))="missing"),"Missing/",IFERROR(IF(VALUE(K1736)&lt;0,"Invalid","Valid"),"Check Format"))</f>
        <v>Valid</v>
      </c>
      <c r="W1736" t="str">
        <f>IF(OR(E1736="",F1736=""),"Missing Date/Time",IFERROR(IF(F1736&gt;E1736,"Arrival After Appointment","OK"),"Check Format"))</f>
        <v>OK</v>
      </c>
      <c r="X1736" t="str">
        <f>IF(OR(F1736="",G1736=""),"Missing Date/Time",IFERROR(IF(G1736&lt;F1736,"Discharge Before Arrival","OK"),"Check Format"))</f>
        <v>OK</v>
      </c>
    </row>
    <row r="1737" spans="1:24" x14ac:dyDescent="0.25">
      <c r="A1737" s="2" t="s">
        <v>2498</v>
      </c>
      <c r="B1737" s="2" t="s">
        <v>136</v>
      </c>
      <c r="D1737" s="3" t="s">
        <v>99</v>
      </c>
      <c r="E1737" s="4">
        <v>45508.611111111109</v>
      </c>
      <c r="F1737" s="4">
        <v>45508.606249999997</v>
      </c>
      <c r="G1737" s="4">
        <v>45508.734027777777</v>
      </c>
      <c r="I1737" s="3" t="s">
        <v>73</v>
      </c>
      <c r="J1737" s="3" t="s">
        <v>62</v>
      </c>
      <c r="K1737" s="5">
        <v>146</v>
      </c>
      <c r="L1737" s="5">
        <v>31</v>
      </c>
      <c r="N1737" t="s">
        <v>24</v>
      </c>
      <c r="O1737" s="5">
        <v>6</v>
      </c>
      <c r="P1737" s="3" t="s">
        <v>25</v>
      </c>
      <c r="Q1737" s="2">
        <v>32.659999999999997</v>
      </c>
      <c r="R1737" s="3" t="s">
        <v>26</v>
      </c>
      <c r="S1737">
        <f>COUNTIF(A:A,A1737)</f>
        <v>1</v>
      </c>
      <c r="T1737" t="str">
        <f>IF(OR(H1737="",LOWER(TRIM(H1737&amp;""))="missing",LOWER(TRIM(H1737&amp;""))=""),"Missing/",IFERROR(IF(OR(VALUE(H1737)&lt;0,VALUE(H1737)&gt;110),"Invalid","Valid"),"Check Format"))</f>
        <v>Missing/</v>
      </c>
      <c r="U1737" t="str">
        <f>IF(Raw_Data[[#This Row],[Age_Check]]="Valid",H1737,"")</f>
        <v/>
      </c>
      <c r="V1737" t="str">
        <f>IF(OR(K1737="",UPPER(TRIM(K1737&amp;""))="",LOWER(TRIM(K1737&amp;""))="",LOWER(TRIM(K1737&amp;""))="",LOWER(TRIM(K1737&amp;""))="missing"),"Missing/",IFERROR(IF(VALUE(K1737)&lt;0,"Invalid","Valid"),"Check Format"))</f>
        <v>Valid</v>
      </c>
      <c r="W1737" t="str">
        <f>IF(OR(E1737="",F1737=""),"Missing Date/Time",IFERROR(IF(F1737&gt;E1737,"Arrival After Appointment","OK"),"Check Format"))</f>
        <v>OK</v>
      </c>
      <c r="X1737" t="str">
        <f>IF(OR(F1737="",G1737=""),"Missing Date/Time",IFERROR(IF(G1737&lt;F1737,"Discharge Before Arrival","OK"),"Check Format"))</f>
        <v>OK</v>
      </c>
    </row>
    <row r="1738" spans="1:24" x14ac:dyDescent="0.25">
      <c r="A1738" s="2" t="s">
        <v>2499</v>
      </c>
      <c r="B1738" s="2" t="s">
        <v>392</v>
      </c>
      <c r="C1738" s="3" t="s">
        <v>94</v>
      </c>
      <c r="D1738" s="3" t="s">
        <v>38</v>
      </c>
      <c r="E1738" s="4" t="s">
        <v>2500</v>
      </c>
      <c r="F1738" s="4">
        <v>45686.643055555556</v>
      </c>
      <c r="G1738" s="4">
        <v>45686.714583333334</v>
      </c>
      <c r="H1738" s="5">
        <v>78</v>
      </c>
      <c r="I1738" s="3" t="s">
        <v>73</v>
      </c>
      <c r="J1738" s="3" t="s">
        <v>62</v>
      </c>
      <c r="K1738" s="5">
        <v>53</v>
      </c>
      <c r="L1738" s="5">
        <v>41</v>
      </c>
      <c r="N1738" t="s">
        <v>24</v>
      </c>
      <c r="O1738" s="5">
        <v>4</v>
      </c>
      <c r="Q1738" s="2">
        <v>278.87</v>
      </c>
      <c r="R1738" s="3" t="s">
        <v>58</v>
      </c>
      <c r="S1738">
        <f>COUNTIF(A:A,A1738)</f>
        <v>1</v>
      </c>
      <c r="T1738" t="str">
        <f>IF(OR(H1738="",LOWER(TRIM(H1738&amp;""))="missing",LOWER(TRIM(H1738&amp;""))=""),"Missing/",IFERROR(IF(OR(VALUE(H1738)&lt;0,VALUE(H1738)&gt;110),"Invalid","Valid"),"Check Format"))</f>
        <v>Valid</v>
      </c>
      <c r="U1738">
        <f>IF(Raw_Data[[#This Row],[Age_Check]]="Valid",H1738,"")</f>
        <v>78</v>
      </c>
      <c r="V1738" t="str">
        <f>IF(OR(K1738="",UPPER(TRIM(K1738&amp;""))="",LOWER(TRIM(K1738&amp;""))="",LOWER(TRIM(K1738&amp;""))="",LOWER(TRIM(K1738&amp;""))="missing"),"Missing/",IFERROR(IF(VALUE(K1738)&lt;0,"Invalid","Valid"),"Check Format"))</f>
        <v>Valid</v>
      </c>
      <c r="W1738" t="str">
        <f>IF(OR(E1738="",F1738=""),"Missing Date/Time",IFERROR(IF(F1738&gt;E1738,"Arrival After Appointment","OK"),"Check Format"))</f>
        <v>OK</v>
      </c>
      <c r="X1738" t="str">
        <f>IF(OR(F1738="",G1738=""),"Missing Date/Time",IFERROR(IF(G1738&lt;F1738,"Discharge Before Arrival","OK"),"Check Format"))</f>
        <v>OK</v>
      </c>
    </row>
    <row r="1739" spans="1:24" x14ac:dyDescent="0.25">
      <c r="A1739" s="2" t="s">
        <v>1870</v>
      </c>
      <c r="B1739" s="2" t="s">
        <v>335</v>
      </c>
      <c r="C1739" s="3" t="s">
        <v>37</v>
      </c>
      <c r="D1739" s="3" t="s">
        <v>55</v>
      </c>
      <c r="E1739" s="4">
        <v>45391.340277777781</v>
      </c>
      <c r="G1739" s="4">
        <v>45391.361805555556</v>
      </c>
      <c r="I1739" s="3" t="s">
        <v>73</v>
      </c>
      <c r="J1739" s="3" t="s">
        <v>62</v>
      </c>
      <c r="K1739" s="5">
        <v>0</v>
      </c>
      <c r="L1739" s="5">
        <v>31</v>
      </c>
      <c r="M1739" s="3" t="s">
        <v>87</v>
      </c>
      <c r="P1739" s="3" t="s">
        <v>42</v>
      </c>
      <c r="Q1739" s="2">
        <v>196.24</v>
      </c>
      <c r="R1739" s="3" t="s">
        <v>58</v>
      </c>
      <c r="S1739">
        <f>COUNTIF(A:A,A1739)</f>
        <v>1</v>
      </c>
      <c r="T1739" t="str">
        <f>IF(OR(H1739="",LOWER(TRIM(H1739&amp;""))="missing",LOWER(TRIM(H1739&amp;""))=""),"Missing/",IFERROR(IF(OR(VALUE(H1739)&lt;0,VALUE(H1739)&gt;110),"Invalid","Valid"),"Check Format"))</f>
        <v>Missing/</v>
      </c>
      <c r="U1739" t="str">
        <f>IF(Raw_Data[[#This Row],[Age_Check]]="Valid",H1739,"")</f>
        <v/>
      </c>
      <c r="V1739" t="str">
        <f>IF(OR(K1739="",UPPER(TRIM(K1739&amp;""))="",LOWER(TRIM(K1739&amp;""))="",LOWER(TRIM(K1739&amp;""))="",LOWER(TRIM(K1739&amp;""))="missing"),"Missing/",IFERROR(IF(VALUE(K1739)&lt;0,"Invalid","Valid"),"Check Format"))</f>
        <v>Valid</v>
      </c>
      <c r="W1739" t="str">
        <f>IF(OR(E1739="",F1739=""),"Missing Date/Time",IFERROR(IF(F1739&gt;E1739,"Arrival After Appointment","OK"),"Check Format"))</f>
        <v>Missing Date/Time</v>
      </c>
      <c r="X1739" t="str">
        <f>IF(OR(F1739="",G1739=""),"Missing Date/Time",IFERROR(IF(G1739&lt;F1739,"Discharge Before Arrival","OK"),"Check Format"))</f>
        <v>Missing Date/Time</v>
      </c>
    </row>
    <row r="1740" spans="1:24" x14ac:dyDescent="0.25">
      <c r="A1740" s="2" t="s">
        <v>2502</v>
      </c>
      <c r="B1740" s="2" t="s">
        <v>1660</v>
      </c>
      <c r="C1740" s="3" t="s">
        <v>29</v>
      </c>
      <c r="D1740" s="3" t="s">
        <v>149</v>
      </c>
      <c r="E1740" s="4">
        <v>45404.513888888891</v>
      </c>
      <c r="F1740" s="4">
        <v>45404.508333333331</v>
      </c>
      <c r="G1740" s="4">
        <v>45404.582638888889</v>
      </c>
      <c r="H1740" s="5">
        <v>40</v>
      </c>
      <c r="I1740" s="3" t="s">
        <v>95</v>
      </c>
      <c r="J1740" s="3" t="s">
        <v>2639</v>
      </c>
      <c r="K1740" s="5">
        <v>55</v>
      </c>
      <c r="L1740" s="5">
        <v>44</v>
      </c>
      <c r="N1740" t="s">
        <v>69</v>
      </c>
      <c r="O1740" s="5">
        <v>0</v>
      </c>
      <c r="Q1740" s="2">
        <v>90.31</v>
      </c>
      <c r="R1740" s="3" t="s">
        <v>58</v>
      </c>
      <c r="S1740">
        <f>COUNTIF(A:A,A1740)</f>
        <v>1</v>
      </c>
      <c r="T1740" t="str">
        <f>IF(OR(H1740="",LOWER(TRIM(H1740&amp;""))="missing",LOWER(TRIM(H1740&amp;""))=""),"Missing/",IFERROR(IF(OR(VALUE(H1740)&lt;0,VALUE(H1740)&gt;110),"Invalid","Valid"),"Check Format"))</f>
        <v>Valid</v>
      </c>
      <c r="U1740">
        <f>IF(Raw_Data[[#This Row],[Age_Check]]="Valid",H1740,"")</f>
        <v>40</v>
      </c>
      <c r="V1740" t="str">
        <f>IF(OR(K1740="",UPPER(TRIM(K1740&amp;""))="",LOWER(TRIM(K1740&amp;""))="",LOWER(TRIM(K1740&amp;""))="",LOWER(TRIM(K1740&amp;""))="missing"),"Missing/",IFERROR(IF(VALUE(K1740)&lt;0,"Invalid","Valid"),"Check Format"))</f>
        <v>Valid</v>
      </c>
      <c r="W1740" t="str">
        <f>IF(OR(E1740="",F1740=""),"Missing Date/Time",IFERROR(IF(F1740&gt;E1740,"Arrival After Appointment","OK"),"Check Format"))</f>
        <v>OK</v>
      </c>
      <c r="X1740" t="str">
        <f>IF(OR(F1740="",G1740=""),"Missing Date/Time",IFERROR(IF(G1740&lt;F1740,"Discharge Before Arrival","OK"),"Check Format"))</f>
        <v>OK</v>
      </c>
    </row>
    <row r="1741" spans="1:24" x14ac:dyDescent="0.25">
      <c r="A1741" s="2" t="s">
        <v>2503</v>
      </c>
      <c r="B1741" s="2" t="s">
        <v>564</v>
      </c>
      <c r="D1741" s="3" t="s">
        <v>38</v>
      </c>
      <c r="E1741" s="4">
        <v>45436.576388888891</v>
      </c>
      <c r="F1741" s="4">
        <v>45436.563194444447</v>
      </c>
      <c r="G1741" s="4">
        <v>45436.631249999999</v>
      </c>
      <c r="J1741" s="3" t="s">
        <v>171</v>
      </c>
      <c r="K1741" s="5">
        <v>48</v>
      </c>
      <c r="L1741" s="5">
        <v>31</v>
      </c>
      <c r="M1741" s="3" t="s">
        <v>68</v>
      </c>
      <c r="N1741" t="s">
        <v>69</v>
      </c>
      <c r="P1741" s="3" t="s">
        <v>25</v>
      </c>
      <c r="Q1741" s="2">
        <v>156.97</v>
      </c>
      <c r="R1741" s="3" t="s">
        <v>43</v>
      </c>
      <c r="S1741">
        <f>COUNTIF(A:A,A1741)</f>
        <v>1</v>
      </c>
      <c r="T1741" t="str">
        <f>IF(OR(H1741="",LOWER(TRIM(H1741&amp;""))="missing",LOWER(TRIM(H1741&amp;""))=""),"Missing/",IFERROR(IF(OR(VALUE(H1741)&lt;0,VALUE(H1741)&gt;110),"Invalid","Valid"),"Check Format"))</f>
        <v>Missing/</v>
      </c>
      <c r="U1741" t="str">
        <f>IF(Raw_Data[[#This Row],[Age_Check]]="Valid",H1741,"")</f>
        <v/>
      </c>
      <c r="V1741" t="str">
        <f>IF(OR(K1741="",UPPER(TRIM(K1741&amp;""))="",LOWER(TRIM(K1741&amp;""))="",LOWER(TRIM(K1741&amp;""))="",LOWER(TRIM(K1741&amp;""))="missing"),"Missing/",IFERROR(IF(VALUE(K1741)&lt;0,"Invalid","Valid"),"Check Format"))</f>
        <v>Valid</v>
      </c>
      <c r="W1741" t="str">
        <f>IF(OR(E1741="",F1741=""),"Missing Date/Time",IFERROR(IF(F1741&gt;E1741,"Arrival After Appointment","OK"),"Check Format"))</f>
        <v>OK</v>
      </c>
      <c r="X1741" t="str">
        <f>IF(OR(F1741="",G1741=""),"Missing Date/Time",IFERROR(IF(G1741&lt;F1741,"Discharge Before Arrival","OK"),"Check Format"))</f>
        <v>OK</v>
      </c>
    </row>
    <row r="1742" spans="1:24" x14ac:dyDescent="0.25">
      <c r="A1742" s="2" t="s">
        <v>2504</v>
      </c>
      <c r="B1742" s="2" t="s">
        <v>650</v>
      </c>
      <c r="C1742" s="3" t="s">
        <v>19</v>
      </c>
      <c r="D1742" s="3" t="s">
        <v>209</v>
      </c>
      <c r="E1742" s="4">
        <v>45622.614583333336</v>
      </c>
      <c r="G1742" s="4">
        <v>45622.684027777781</v>
      </c>
      <c r="I1742" s="3" t="s">
        <v>95</v>
      </c>
      <c r="J1742" s="3" t="s">
        <v>62</v>
      </c>
      <c r="K1742" s="5">
        <v>61</v>
      </c>
      <c r="L1742" s="5">
        <v>39</v>
      </c>
      <c r="P1742" s="3" t="s">
        <v>25</v>
      </c>
      <c r="Q1742" s="2">
        <v>212.51</v>
      </c>
      <c r="R1742" s="3" t="s">
        <v>43</v>
      </c>
      <c r="S1742">
        <f>COUNTIF(A:A,A1742)</f>
        <v>1</v>
      </c>
      <c r="T1742" t="str">
        <f>IF(OR(H1742="",LOWER(TRIM(H1742&amp;""))="missing",LOWER(TRIM(H1742&amp;""))=""),"Missing/",IFERROR(IF(OR(VALUE(H1742)&lt;0,VALUE(H1742)&gt;110),"Invalid","Valid"),"Check Format"))</f>
        <v>Missing/</v>
      </c>
      <c r="U1742" t="str">
        <f>IF(Raw_Data[[#This Row],[Age_Check]]="Valid",H1742,"")</f>
        <v/>
      </c>
      <c r="V1742" t="str">
        <f>IF(OR(K1742="",UPPER(TRIM(K1742&amp;""))="",LOWER(TRIM(K1742&amp;""))="",LOWER(TRIM(K1742&amp;""))="",LOWER(TRIM(K1742&amp;""))="missing"),"Missing/",IFERROR(IF(VALUE(K1742)&lt;0,"Invalid","Valid"),"Check Format"))</f>
        <v>Valid</v>
      </c>
      <c r="W1742" t="str">
        <f>IF(OR(E1742="",F1742=""),"Missing Date/Time",IFERROR(IF(F1742&gt;E1742,"Arrival After Appointment","OK"),"Check Format"))</f>
        <v>Missing Date/Time</v>
      </c>
      <c r="X1742" t="str">
        <f>IF(OR(F1742="",G1742=""),"Missing Date/Time",IFERROR(IF(G1742&lt;F1742,"Discharge Before Arrival","OK"),"Check Format"))</f>
        <v>Missing Date/Time</v>
      </c>
    </row>
    <row r="1743" spans="1:24" x14ac:dyDescent="0.25">
      <c r="A1743" s="2" t="s">
        <v>2505</v>
      </c>
      <c r="B1743" s="2" t="s">
        <v>896</v>
      </c>
      <c r="C1743" s="3" t="s">
        <v>37</v>
      </c>
      <c r="D1743" s="3" t="s">
        <v>23</v>
      </c>
      <c r="E1743" s="4">
        <v>45981.378472222219</v>
      </c>
      <c r="G1743" s="4">
        <v>45981.455555555556</v>
      </c>
      <c r="I1743" s="3" t="s">
        <v>73</v>
      </c>
      <c r="J1743" s="3" t="s">
        <v>22</v>
      </c>
      <c r="K1743" s="5">
        <v>71</v>
      </c>
      <c r="L1743" s="5">
        <v>40</v>
      </c>
      <c r="M1743" s="3" t="s">
        <v>87</v>
      </c>
      <c r="N1743" t="s">
        <v>24</v>
      </c>
      <c r="O1743" s="5">
        <v>6</v>
      </c>
      <c r="P1743" s="3" t="s">
        <v>80</v>
      </c>
      <c r="R1743" s="3" t="s">
        <v>58</v>
      </c>
      <c r="S1743">
        <f>COUNTIF(A:A,A1743)</f>
        <v>1</v>
      </c>
      <c r="T1743" t="str">
        <f>IF(OR(H1743="",LOWER(TRIM(H1743&amp;""))="missing",LOWER(TRIM(H1743&amp;""))=""),"Missing/",IFERROR(IF(OR(VALUE(H1743)&lt;0,VALUE(H1743)&gt;110),"Invalid","Valid"),"Check Format"))</f>
        <v>Missing/</v>
      </c>
      <c r="U1743" t="str">
        <f>IF(Raw_Data[[#This Row],[Age_Check]]="Valid",H1743,"")</f>
        <v/>
      </c>
      <c r="V1743" t="str">
        <f>IF(OR(K1743="",UPPER(TRIM(K1743&amp;""))="",LOWER(TRIM(K1743&amp;""))="",LOWER(TRIM(K1743&amp;""))="",LOWER(TRIM(K1743&amp;""))="missing"),"Missing/",IFERROR(IF(VALUE(K1743)&lt;0,"Invalid","Valid"),"Check Format"))</f>
        <v>Valid</v>
      </c>
      <c r="W1743" t="str">
        <f>IF(OR(E1743="",F1743=""),"Missing Date/Time",IFERROR(IF(F1743&gt;E1743,"Arrival After Appointment","OK"),"Check Format"))</f>
        <v>Missing Date/Time</v>
      </c>
      <c r="X1743" t="str">
        <f>IF(OR(F1743="",G1743=""),"Missing Date/Time",IFERROR(IF(G1743&lt;F1743,"Discharge Before Arrival","OK"),"Check Format"))</f>
        <v>Missing Date/Time</v>
      </c>
    </row>
    <row r="1744" spans="1:24" x14ac:dyDescent="0.25">
      <c r="A1744" s="2" t="s">
        <v>2506</v>
      </c>
      <c r="B1744" s="2" t="s">
        <v>1179</v>
      </c>
      <c r="D1744" s="3" t="s">
        <v>23</v>
      </c>
      <c r="E1744" s="4">
        <v>45473.541666666664</v>
      </c>
      <c r="F1744" s="4">
        <v>45473.523611111108</v>
      </c>
      <c r="G1744" s="4">
        <v>45473.56527777778</v>
      </c>
      <c r="H1744" s="5">
        <v>145</v>
      </c>
      <c r="J1744" s="3" t="s">
        <v>62</v>
      </c>
      <c r="K1744" s="5">
        <v>2</v>
      </c>
      <c r="L1744" s="5">
        <v>32</v>
      </c>
      <c r="M1744" s="3" t="s">
        <v>68</v>
      </c>
      <c r="N1744" t="s">
        <v>100</v>
      </c>
      <c r="O1744" s="5">
        <v>0</v>
      </c>
      <c r="P1744" s="3" t="s">
        <v>80</v>
      </c>
      <c r="Q1744" s="2">
        <v>183.36</v>
      </c>
      <c r="R1744" s="3" t="s">
        <v>75</v>
      </c>
      <c r="S1744">
        <f>COUNTIF(A:A,A1744)</f>
        <v>1</v>
      </c>
      <c r="T1744" t="str">
        <f>IF(OR(H1744="",LOWER(TRIM(H1744&amp;""))="missing",LOWER(TRIM(H1744&amp;""))=""),"Missing/",IFERROR(IF(OR(VALUE(H1744)&lt;0,VALUE(H1744)&gt;110),"Invalid","Valid"),"Check Format"))</f>
        <v>Invalid</v>
      </c>
      <c r="U1744" t="str">
        <f>IF(Raw_Data[[#This Row],[Age_Check]]="Valid",H1744,"")</f>
        <v/>
      </c>
      <c r="V1744" t="str">
        <f>IF(OR(K1744="",UPPER(TRIM(K1744&amp;""))="",LOWER(TRIM(K1744&amp;""))="",LOWER(TRIM(K1744&amp;""))="",LOWER(TRIM(K1744&amp;""))="missing"),"Missing/",IFERROR(IF(VALUE(K1744)&lt;0,"Invalid","Valid"),"Check Format"))</f>
        <v>Valid</v>
      </c>
      <c r="W1744" t="str">
        <f>IF(OR(E1744="",F1744=""),"Missing Date/Time",IFERROR(IF(F1744&gt;E1744,"Arrival After Appointment","OK"),"Check Format"))</f>
        <v>OK</v>
      </c>
      <c r="X1744" t="str">
        <f>IF(OR(F1744="",G1744=""),"Missing Date/Time",IFERROR(IF(G1744&lt;F1744,"Discharge Before Arrival","OK"),"Check Format"))</f>
        <v>OK</v>
      </c>
    </row>
    <row r="1745" spans="1:24" x14ac:dyDescent="0.25">
      <c r="A1745" s="2" t="s">
        <v>2507</v>
      </c>
      <c r="B1745" s="2" t="s">
        <v>1417</v>
      </c>
      <c r="C1745" s="3" t="s">
        <v>46</v>
      </c>
      <c r="D1745" s="3" t="s">
        <v>47</v>
      </c>
      <c r="E1745" s="4">
        <v>45504.381944444445</v>
      </c>
      <c r="F1745" s="4">
        <v>45504.369444444441</v>
      </c>
      <c r="G1745" s="4">
        <v>45504.452777777777</v>
      </c>
      <c r="H1745" s="5">
        <v>145</v>
      </c>
      <c r="I1745" s="3" t="s">
        <v>90</v>
      </c>
      <c r="J1745" s="3" t="s">
        <v>62</v>
      </c>
      <c r="K1745" s="5">
        <v>83</v>
      </c>
      <c r="L1745" s="5">
        <v>19</v>
      </c>
      <c r="M1745" s="3" t="s">
        <v>32</v>
      </c>
      <c r="N1745" t="s">
        <v>91</v>
      </c>
      <c r="P1745" s="3" t="s">
        <v>25</v>
      </c>
      <c r="Q1745" s="2">
        <v>92.28</v>
      </c>
      <c r="R1745" s="3" t="s">
        <v>58</v>
      </c>
      <c r="S1745">
        <f>COUNTIF(A:A,A1745)</f>
        <v>1</v>
      </c>
      <c r="T1745" t="str">
        <f>IF(OR(H1745="",LOWER(TRIM(H1745&amp;""))="missing",LOWER(TRIM(H1745&amp;""))=""),"Missing/",IFERROR(IF(OR(VALUE(H1745)&lt;0,VALUE(H1745)&gt;110),"Invalid","Valid"),"Check Format"))</f>
        <v>Invalid</v>
      </c>
      <c r="U1745" t="str">
        <f>IF(Raw_Data[[#This Row],[Age_Check]]="Valid",H1745,"")</f>
        <v/>
      </c>
      <c r="V1745" t="str">
        <f>IF(OR(K1745="",UPPER(TRIM(K1745&amp;""))="",LOWER(TRIM(K1745&amp;""))="",LOWER(TRIM(K1745&amp;""))="",LOWER(TRIM(K1745&amp;""))="missing"),"Missing/",IFERROR(IF(VALUE(K1745)&lt;0,"Invalid","Valid"),"Check Format"))</f>
        <v>Valid</v>
      </c>
      <c r="W1745" t="str">
        <f>IF(OR(E1745="",F1745=""),"Missing Date/Time",IFERROR(IF(F1745&gt;E1745,"Arrival After Appointment","OK"),"Check Format"))</f>
        <v>OK</v>
      </c>
      <c r="X1745" t="str">
        <f>IF(OR(F1745="",G1745=""),"Missing Date/Time",IFERROR(IF(G1745&lt;F1745,"Discharge Before Arrival","OK"),"Check Format"))</f>
        <v>OK</v>
      </c>
    </row>
    <row r="1746" spans="1:24" x14ac:dyDescent="0.25">
      <c r="A1746" s="2" t="s">
        <v>2508</v>
      </c>
      <c r="B1746" s="2" t="s">
        <v>462</v>
      </c>
      <c r="C1746" s="3" t="s">
        <v>94</v>
      </c>
      <c r="D1746" s="3" t="s">
        <v>106</v>
      </c>
      <c r="E1746" s="4">
        <v>45851.291666666664</v>
      </c>
      <c r="F1746" s="4">
        <v>45851.282638888886</v>
      </c>
      <c r="G1746" s="4">
        <v>45851.345833333333</v>
      </c>
      <c r="I1746" s="3" t="s">
        <v>39</v>
      </c>
      <c r="J1746" s="3" t="s">
        <v>62</v>
      </c>
      <c r="K1746" s="5">
        <v>37</v>
      </c>
      <c r="L1746" s="5">
        <v>41</v>
      </c>
      <c r="M1746" s="3" t="s">
        <v>41</v>
      </c>
      <c r="N1746" t="s">
        <v>91</v>
      </c>
      <c r="P1746" s="3" t="s">
        <v>25</v>
      </c>
      <c r="Q1746" s="2">
        <v>227.71</v>
      </c>
      <c r="R1746" s="3" t="s">
        <v>58</v>
      </c>
      <c r="S1746">
        <f>COUNTIF(A:A,A1746)</f>
        <v>1</v>
      </c>
      <c r="T1746" t="str">
        <f>IF(OR(H1746="",LOWER(TRIM(H1746&amp;""))="missing",LOWER(TRIM(H1746&amp;""))=""),"Missing/",IFERROR(IF(OR(VALUE(H1746)&lt;0,VALUE(H1746)&gt;110),"Invalid","Valid"),"Check Format"))</f>
        <v>Missing/</v>
      </c>
      <c r="U1746" t="str">
        <f>IF(Raw_Data[[#This Row],[Age_Check]]="Valid",H1746,"")</f>
        <v/>
      </c>
      <c r="V1746" t="str">
        <f>IF(OR(K1746="",UPPER(TRIM(K1746&amp;""))="",LOWER(TRIM(K1746&amp;""))="",LOWER(TRIM(K1746&amp;""))="",LOWER(TRIM(K1746&amp;""))="missing"),"Missing/",IFERROR(IF(VALUE(K1746)&lt;0,"Invalid","Valid"),"Check Format"))</f>
        <v>Valid</v>
      </c>
      <c r="W1746" t="str">
        <f>IF(OR(E1746="",F1746=""),"Missing Date/Time",IFERROR(IF(F1746&gt;E1746,"Arrival After Appointment","OK"),"Check Format"))</f>
        <v>OK</v>
      </c>
      <c r="X1746" t="str">
        <f>IF(OR(F1746="",G1746=""),"Missing Date/Time",IFERROR(IF(G1746&lt;F1746,"Discharge Before Arrival","OK"),"Check Format"))</f>
        <v>OK</v>
      </c>
    </row>
    <row r="1747" spans="1:24" x14ac:dyDescent="0.25">
      <c r="A1747" s="2" t="s">
        <v>2008</v>
      </c>
      <c r="B1747" s="2" t="s">
        <v>1968</v>
      </c>
      <c r="C1747" s="3" t="s">
        <v>94</v>
      </c>
      <c r="D1747" s="3" t="s">
        <v>72</v>
      </c>
      <c r="E1747" s="4">
        <v>45696.78125</v>
      </c>
      <c r="F1747" s="4">
        <v>45696.78125</v>
      </c>
      <c r="G1747" s="4">
        <v>45696.871527777781</v>
      </c>
      <c r="I1747" s="3" t="s">
        <v>73</v>
      </c>
      <c r="J1747" s="3" t="s">
        <v>62</v>
      </c>
      <c r="K1747" s="5">
        <v>69</v>
      </c>
      <c r="L1747" s="5">
        <v>61</v>
      </c>
      <c r="M1747" s="3" t="s">
        <v>32</v>
      </c>
      <c r="N1747" t="s">
        <v>103</v>
      </c>
      <c r="P1747" s="3" t="s">
        <v>25</v>
      </c>
      <c r="Q1747" s="2">
        <v>156.19</v>
      </c>
      <c r="R1747" s="3" t="s">
        <v>58</v>
      </c>
      <c r="S1747">
        <f>COUNTIF(A:A,A1747)</f>
        <v>1</v>
      </c>
      <c r="T1747" t="str">
        <f>IF(OR(H1747="",LOWER(TRIM(H1747&amp;""))="missing",LOWER(TRIM(H1747&amp;""))=""),"Missing/",IFERROR(IF(OR(VALUE(H1747)&lt;0,VALUE(H1747)&gt;110),"Invalid","Valid"),"Check Format"))</f>
        <v>Missing/</v>
      </c>
      <c r="U1747" t="str">
        <f>IF(Raw_Data[[#This Row],[Age_Check]]="Valid",H1747,"")</f>
        <v/>
      </c>
      <c r="V1747" t="str">
        <f>IF(OR(K1747="",UPPER(TRIM(K1747&amp;""))="",LOWER(TRIM(K1747&amp;""))="",LOWER(TRIM(K1747&amp;""))="",LOWER(TRIM(K1747&amp;""))="missing"),"Missing/",IFERROR(IF(VALUE(K1747)&lt;0,"Invalid","Valid"),"Check Format"))</f>
        <v>Valid</v>
      </c>
      <c r="W1747" t="str">
        <f>IF(OR(E1747="",F1747=""),"Missing Date/Time",IFERROR(IF(F1747&gt;E1747,"Arrival After Appointment","OK"),"Check Format"))</f>
        <v>OK</v>
      </c>
      <c r="X1747" t="str">
        <f>IF(OR(F1747="",G1747=""),"Missing Date/Time",IFERROR(IF(G1747&lt;F1747,"Discharge Before Arrival","OK"),"Check Format"))</f>
        <v>OK</v>
      </c>
    </row>
    <row r="1748" spans="1:24" x14ac:dyDescent="0.25">
      <c r="A1748" s="2" t="s">
        <v>2510</v>
      </c>
      <c r="B1748" s="2" t="s">
        <v>1226</v>
      </c>
      <c r="C1748" s="3" t="s">
        <v>94</v>
      </c>
      <c r="D1748" s="3" t="s">
        <v>66</v>
      </c>
      <c r="E1748" s="4" t="s">
        <v>2511</v>
      </c>
      <c r="F1748" s="4">
        <v>45524.420138888891</v>
      </c>
      <c r="I1748" s="3" t="s">
        <v>73</v>
      </c>
      <c r="J1748" s="3" t="s">
        <v>67</v>
      </c>
      <c r="K1748" s="5">
        <v>69</v>
      </c>
      <c r="L1748" s="5">
        <v>72</v>
      </c>
      <c r="M1748" s="3" t="s">
        <v>63</v>
      </c>
      <c r="N1748" t="s">
        <v>91</v>
      </c>
      <c r="O1748" s="5">
        <v>4</v>
      </c>
      <c r="P1748" s="3" t="s">
        <v>25</v>
      </c>
      <c r="Q1748" s="2">
        <v>76.819999999999993</v>
      </c>
      <c r="R1748" s="3" t="s">
        <v>26</v>
      </c>
      <c r="S1748">
        <f>COUNTIF(A:A,A1748)</f>
        <v>1</v>
      </c>
      <c r="T1748" t="str">
        <f>IF(OR(H1748="",LOWER(TRIM(H1748&amp;""))="missing",LOWER(TRIM(H1748&amp;""))=""),"Missing/",IFERROR(IF(OR(VALUE(H1748)&lt;0,VALUE(H1748)&gt;110),"Invalid","Valid"),"Check Format"))</f>
        <v>Missing/</v>
      </c>
      <c r="U1748" t="str">
        <f>IF(Raw_Data[[#This Row],[Age_Check]]="Valid",H1748,"")</f>
        <v/>
      </c>
      <c r="V1748" t="str">
        <f>IF(OR(K1748="",UPPER(TRIM(K1748&amp;""))="",LOWER(TRIM(K1748&amp;""))="",LOWER(TRIM(K1748&amp;""))="",LOWER(TRIM(K1748&amp;""))="missing"),"Missing/",IFERROR(IF(VALUE(K1748)&lt;0,"Invalid","Valid"),"Check Format"))</f>
        <v>Valid</v>
      </c>
      <c r="W1748" t="str">
        <f>IF(OR(E1748="",F1748=""),"Missing Date/Time",IFERROR(IF(F1748&gt;E1748,"Arrival After Appointment","OK"),"Check Format"))</f>
        <v>OK</v>
      </c>
      <c r="X1748" t="str">
        <f>IF(OR(F1748="",G1748=""),"Missing Date/Time",IFERROR(IF(G1748&lt;F1748,"Discharge Before Arrival","OK"),"Check Format"))</f>
        <v>Missing Date/Time</v>
      </c>
    </row>
    <row r="1749" spans="1:24" x14ac:dyDescent="0.25">
      <c r="A1749" s="2" t="s">
        <v>2512</v>
      </c>
      <c r="B1749" s="2" t="s">
        <v>331</v>
      </c>
      <c r="D1749" s="3" t="s">
        <v>23</v>
      </c>
      <c r="E1749" s="4" t="s">
        <v>2513</v>
      </c>
      <c r="F1749" s="4">
        <v>45367.7</v>
      </c>
      <c r="G1749" s="4">
        <v>45367.772916666669</v>
      </c>
      <c r="H1749" s="5">
        <v>53</v>
      </c>
      <c r="I1749" s="3" t="s">
        <v>39</v>
      </c>
      <c r="J1749" s="3" t="s">
        <v>67</v>
      </c>
      <c r="K1749" s="5">
        <v>76</v>
      </c>
      <c r="L1749" s="5">
        <v>22</v>
      </c>
      <c r="M1749" s="3" t="s">
        <v>41</v>
      </c>
      <c r="N1749" t="s">
        <v>100</v>
      </c>
      <c r="O1749" s="5">
        <v>4</v>
      </c>
      <c r="P1749" s="3" t="s">
        <v>25</v>
      </c>
      <c r="Q1749" s="2">
        <v>75.459999999999994</v>
      </c>
      <c r="R1749" s="3" t="s">
        <v>58</v>
      </c>
      <c r="S1749">
        <f>COUNTIF(A:A,A1749)</f>
        <v>1</v>
      </c>
      <c r="T1749" t="str">
        <f>IF(OR(H1749="",LOWER(TRIM(H1749&amp;""))="missing",LOWER(TRIM(H1749&amp;""))=""),"Missing/",IFERROR(IF(OR(VALUE(H1749)&lt;0,VALUE(H1749)&gt;110),"Invalid","Valid"),"Check Format"))</f>
        <v>Valid</v>
      </c>
      <c r="U1749">
        <f>IF(Raw_Data[[#This Row],[Age_Check]]="Valid",H1749,"")</f>
        <v>53</v>
      </c>
      <c r="V1749" t="str">
        <f>IF(OR(K1749="",UPPER(TRIM(K1749&amp;""))="",LOWER(TRIM(K1749&amp;""))="",LOWER(TRIM(K1749&amp;""))="",LOWER(TRIM(K1749&amp;""))="missing"),"Missing/",IFERROR(IF(VALUE(K1749)&lt;0,"Invalid","Valid"),"Check Format"))</f>
        <v>Valid</v>
      </c>
      <c r="W1749" t="str">
        <f>IF(OR(E1749="",F1749=""),"Missing Date/Time",IFERROR(IF(F1749&gt;E1749,"Arrival After Appointment","OK"),"Check Format"))</f>
        <v>OK</v>
      </c>
      <c r="X1749" t="str">
        <f>IF(OR(F1749="",G1749=""),"Missing Date/Time",IFERROR(IF(G1749&lt;F1749,"Discharge Before Arrival","OK"),"Check Format"))</f>
        <v>OK</v>
      </c>
    </row>
    <row r="1750" spans="1:24" x14ac:dyDescent="0.25">
      <c r="A1750" s="2" t="s">
        <v>2514</v>
      </c>
      <c r="B1750" s="2" t="s">
        <v>318</v>
      </c>
      <c r="C1750" s="3" t="s">
        <v>29</v>
      </c>
      <c r="D1750" s="3" t="s">
        <v>66</v>
      </c>
      <c r="E1750" s="4">
        <v>45482.645833333336</v>
      </c>
      <c r="F1750" s="4">
        <v>45482.645833333336</v>
      </c>
      <c r="G1750" s="4">
        <v>45482.709027777775</v>
      </c>
      <c r="H1750" s="5">
        <v>21</v>
      </c>
      <c r="I1750" s="3" t="s">
        <v>39</v>
      </c>
      <c r="J1750" s="3" t="s">
        <v>62</v>
      </c>
      <c r="K1750" s="5">
        <v>57</v>
      </c>
      <c r="L1750" s="5">
        <v>34</v>
      </c>
      <c r="M1750" s="3" t="s">
        <v>32</v>
      </c>
      <c r="N1750" t="s">
        <v>24</v>
      </c>
      <c r="O1750" s="5">
        <v>4</v>
      </c>
      <c r="P1750" s="3" t="s">
        <v>42</v>
      </c>
      <c r="Q1750" s="2">
        <v>378.45</v>
      </c>
      <c r="R1750" s="3" t="s">
        <v>58</v>
      </c>
      <c r="S1750">
        <f>COUNTIF(A:A,A1750)</f>
        <v>1</v>
      </c>
      <c r="T1750" t="str">
        <f>IF(OR(H1750="",LOWER(TRIM(H1750&amp;""))="missing",LOWER(TRIM(H1750&amp;""))=""),"Missing/",IFERROR(IF(OR(VALUE(H1750)&lt;0,VALUE(H1750)&gt;110),"Invalid","Valid"),"Check Format"))</f>
        <v>Valid</v>
      </c>
      <c r="U1750">
        <f>IF(Raw_Data[[#This Row],[Age_Check]]="Valid",H1750,"")</f>
        <v>21</v>
      </c>
      <c r="V1750" t="str">
        <f>IF(OR(K1750="",UPPER(TRIM(K1750&amp;""))="",LOWER(TRIM(K1750&amp;""))="",LOWER(TRIM(K1750&amp;""))="",LOWER(TRIM(K1750&amp;""))="missing"),"Missing/",IFERROR(IF(VALUE(K1750)&lt;0,"Invalid","Valid"),"Check Format"))</f>
        <v>Valid</v>
      </c>
      <c r="W1750" t="str">
        <f>IF(OR(E1750="",F1750=""),"Missing Date/Time",IFERROR(IF(F1750&gt;E1750,"Arrival After Appointment","OK"),"Check Format"))</f>
        <v>OK</v>
      </c>
      <c r="X1750" t="str">
        <f>IF(OR(F1750="",G1750=""),"Missing Date/Time",IFERROR(IF(G1750&lt;F1750,"Discharge Before Arrival","OK"),"Check Format"))</f>
        <v>OK</v>
      </c>
    </row>
    <row r="1751" spans="1:24" x14ac:dyDescent="0.25">
      <c r="A1751" s="2" t="s">
        <v>2515</v>
      </c>
      <c r="B1751" s="2" t="s">
        <v>579</v>
      </c>
      <c r="C1751" s="3" t="s">
        <v>29</v>
      </c>
      <c r="D1751" s="3" t="s">
        <v>106</v>
      </c>
      <c r="E1751" s="4">
        <v>45446.413194444445</v>
      </c>
      <c r="F1751" s="4">
        <v>45446.411111111112</v>
      </c>
      <c r="G1751" s="4">
        <v>45446.456250000003</v>
      </c>
      <c r="H1751" s="5">
        <v>145</v>
      </c>
      <c r="J1751" s="3" t="s">
        <v>62</v>
      </c>
      <c r="K1751" s="5">
        <v>51</v>
      </c>
      <c r="L1751" s="5">
        <v>11</v>
      </c>
      <c r="M1751" s="3" t="s">
        <v>23</v>
      </c>
      <c r="N1751" t="s">
        <v>69</v>
      </c>
      <c r="O1751" s="5">
        <v>5</v>
      </c>
      <c r="P1751" s="3" t="s">
        <v>80</v>
      </c>
      <c r="Q1751" s="2">
        <v>166.84</v>
      </c>
      <c r="R1751" s="3" t="s">
        <v>75</v>
      </c>
      <c r="S1751">
        <f>COUNTIF(A:A,A1751)</f>
        <v>1</v>
      </c>
      <c r="T1751" t="str">
        <f>IF(OR(H1751="",LOWER(TRIM(H1751&amp;""))="missing",LOWER(TRIM(H1751&amp;""))=""),"Missing/",IFERROR(IF(OR(VALUE(H1751)&lt;0,VALUE(H1751)&gt;110),"Invalid","Valid"),"Check Format"))</f>
        <v>Invalid</v>
      </c>
      <c r="U1751" t="str">
        <f>IF(Raw_Data[[#This Row],[Age_Check]]="Valid",H1751,"")</f>
        <v/>
      </c>
      <c r="V1751" t="str">
        <f>IF(OR(K1751="",UPPER(TRIM(K1751&amp;""))="",LOWER(TRIM(K1751&amp;""))="",LOWER(TRIM(K1751&amp;""))="",LOWER(TRIM(K1751&amp;""))="missing"),"Missing/",IFERROR(IF(VALUE(K1751)&lt;0,"Invalid","Valid"),"Check Format"))</f>
        <v>Valid</v>
      </c>
      <c r="W1751" t="str">
        <f>IF(OR(E1751="",F1751=""),"Missing Date/Time",IFERROR(IF(F1751&gt;E1751,"Arrival After Appointment","OK"),"Check Format"))</f>
        <v>OK</v>
      </c>
      <c r="X1751" t="str">
        <f>IF(OR(F1751="",G1751=""),"Missing Date/Time",IFERROR(IF(G1751&lt;F1751,"Discharge Before Arrival","OK"),"Check Format"))</f>
        <v>OK</v>
      </c>
    </row>
    <row r="1752" spans="1:24" x14ac:dyDescent="0.25">
      <c r="A1752" s="2" t="s">
        <v>2516</v>
      </c>
      <c r="B1752" s="2" t="s">
        <v>554</v>
      </c>
      <c r="C1752" s="3" t="s">
        <v>46</v>
      </c>
      <c r="D1752" s="3" t="s">
        <v>55</v>
      </c>
      <c r="E1752" s="4" t="s">
        <v>2517</v>
      </c>
      <c r="F1752" s="4">
        <v>45458.744444444441</v>
      </c>
      <c r="G1752" s="4">
        <v>45458.784722222219</v>
      </c>
      <c r="H1752" s="5">
        <v>56</v>
      </c>
      <c r="I1752" s="3" t="s">
        <v>73</v>
      </c>
      <c r="J1752" s="3" t="s">
        <v>62</v>
      </c>
      <c r="K1752" s="5">
        <v>0</v>
      </c>
      <c r="L1752" s="5">
        <v>30</v>
      </c>
      <c r="M1752" s="3" t="s">
        <v>50</v>
      </c>
      <c r="N1752" t="s">
        <v>24</v>
      </c>
      <c r="P1752" s="3" t="s">
        <v>25</v>
      </c>
      <c r="Q1752" s="2">
        <v>146.28</v>
      </c>
      <c r="R1752" s="3" t="s">
        <v>58</v>
      </c>
      <c r="S1752">
        <f>COUNTIF(A:A,A1752)</f>
        <v>1</v>
      </c>
      <c r="T1752" t="str">
        <f>IF(OR(H1752="",LOWER(TRIM(H1752&amp;""))="missing",LOWER(TRIM(H1752&amp;""))=""),"Missing/",IFERROR(IF(OR(VALUE(H1752)&lt;0,VALUE(H1752)&gt;110),"Invalid","Valid"),"Check Format"))</f>
        <v>Valid</v>
      </c>
      <c r="U1752">
        <f>IF(Raw_Data[[#This Row],[Age_Check]]="Valid",H1752,"")</f>
        <v>56</v>
      </c>
      <c r="V1752" t="str">
        <f>IF(OR(K1752="",UPPER(TRIM(K1752&amp;""))="",LOWER(TRIM(K1752&amp;""))="",LOWER(TRIM(K1752&amp;""))="",LOWER(TRIM(K1752&amp;""))="missing"),"Missing/",IFERROR(IF(VALUE(K1752)&lt;0,"Invalid","Valid"),"Check Format"))</f>
        <v>Valid</v>
      </c>
      <c r="W1752" t="str">
        <f>IF(OR(E1752="",F1752=""),"Missing Date/Time",IFERROR(IF(F1752&gt;E1752,"Arrival After Appointment","OK"),"Check Format"))</f>
        <v>OK</v>
      </c>
      <c r="X1752" t="str">
        <f>IF(OR(F1752="",G1752=""),"Missing Date/Time",IFERROR(IF(G1752&lt;F1752,"Discharge Before Arrival","OK"),"Check Format"))</f>
        <v>OK</v>
      </c>
    </row>
    <row r="1753" spans="1:24" x14ac:dyDescent="0.25">
      <c r="A1753" s="2" t="s">
        <v>2518</v>
      </c>
      <c r="B1753" s="2" t="s">
        <v>765</v>
      </c>
      <c r="C1753" s="3" t="s">
        <v>46</v>
      </c>
      <c r="D1753" s="3" t="s">
        <v>30</v>
      </c>
      <c r="E1753" s="4">
        <v>45617.708333333336</v>
      </c>
      <c r="F1753" s="4">
        <v>45617.708333333336</v>
      </c>
      <c r="G1753" s="4">
        <v>45617.801388888889</v>
      </c>
      <c r="I1753" s="3" t="s">
        <v>95</v>
      </c>
      <c r="K1753" s="5">
        <v>85</v>
      </c>
      <c r="L1753" s="5">
        <v>49</v>
      </c>
      <c r="M1753" s="3" t="s">
        <v>23</v>
      </c>
      <c r="N1753" t="s">
        <v>24</v>
      </c>
      <c r="O1753" s="5">
        <v>1</v>
      </c>
      <c r="P1753" s="3" t="s">
        <v>80</v>
      </c>
      <c r="Q1753" s="2">
        <v>104.71</v>
      </c>
      <c r="R1753" s="3" t="s">
        <v>58</v>
      </c>
      <c r="S1753">
        <f>COUNTIF(A:A,A1753)</f>
        <v>1</v>
      </c>
      <c r="T1753" t="str">
        <f>IF(OR(H1753="",LOWER(TRIM(H1753&amp;""))="missing",LOWER(TRIM(H1753&amp;""))=""),"Missing/",IFERROR(IF(OR(VALUE(H1753)&lt;0,VALUE(H1753)&gt;110),"Invalid","Valid"),"Check Format"))</f>
        <v>Missing/</v>
      </c>
      <c r="U1753" t="str">
        <f>IF(Raw_Data[[#This Row],[Age_Check]]="Valid",H1753,"")</f>
        <v/>
      </c>
      <c r="V1753" t="str">
        <f>IF(OR(K1753="",UPPER(TRIM(K1753&amp;""))="",LOWER(TRIM(K1753&amp;""))="",LOWER(TRIM(K1753&amp;""))="",LOWER(TRIM(K1753&amp;""))="missing"),"Missing/",IFERROR(IF(VALUE(K1753)&lt;0,"Invalid","Valid"),"Check Format"))</f>
        <v>Valid</v>
      </c>
      <c r="W1753" t="str">
        <f>IF(OR(E1753="",F1753=""),"Missing Date/Time",IFERROR(IF(F1753&gt;E1753,"Arrival After Appointment","OK"),"Check Format"))</f>
        <v>OK</v>
      </c>
      <c r="X1753" t="str">
        <f>IF(OR(F1753="",G1753=""),"Missing Date/Time",IFERROR(IF(G1753&lt;F1753,"Discharge Before Arrival","OK"),"Check Format"))</f>
        <v>OK</v>
      </c>
    </row>
    <row r="1754" spans="1:24" x14ac:dyDescent="0.25">
      <c r="A1754" s="2" t="s">
        <v>2519</v>
      </c>
      <c r="B1754" s="2" t="s">
        <v>515</v>
      </c>
      <c r="C1754" s="3" t="s">
        <v>46</v>
      </c>
      <c r="D1754" s="3" t="s">
        <v>47</v>
      </c>
      <c r="E1754" s="4">
        <v>45837.420138888891</v>
      </c>
      <c r="F1754" s="4">
        <v>45837.399305555555</v>
      </c>
      <c r="G1754" s="4">
        <v>45837.46875</v>
      </c>
      <c r="I1754" s="3" t="s">
        <v>95</v>
      </c>
      <c r="K1754" s="5">
        <v>52</v>
      </c>
      <c r="L1754" s="5">
        <v>18</v>
      </c>
      <c r="M1754" s="3" t="s">
        <v>63</v>
      </c>
      <c r="N1754" t="s">
        <v>74</v>
      </c>
      <c r="O1754" s="5">
        <v>6</v>
      </c>
      <c r="P1754" s="3" t="s">
        <v>25</v>
      </c>
      <c r="Q1754" s="2">
        <v>54.75</v>
      </c>
      <c r="R1754" s="3" t="s">
        <v>75</v>
      </c>
      <c r="S1754">
        <f>COUNTIF(A:A,A1754)</f>
        <v>1</v>
      </c>
      <c r="T1754" t="str">
        <f>IF(OR(H1754="",LOWER(TRIM(H1754&amp;""))="missing",LOWER(TRIM(H1754&amp;""))=""),"Missing/",IFERROR(IF(OR(VALUE(H1754)&lt;0,VALUE(H1754)&gt;110),"Invalid","Valid"),"Check Format"))</f>
        <v>Missing/</v>
      </c>
      <c r="U1754" t="str">
        <f>IF(Raw_Data[[#This Row],[Age_Check]]="Valid",H1754,"")</f>
        <v/>
      </c>
      <c r="V1754" t="str">
        <f>IF(OR(K1754="",UPPER(TRIM(K1754&amp;""))="",LOWER(TRIM(K1754&amp;""))="",LOWER(TRIM(K1754&amp;""))="",LOWER(TRIM(K1754&amp;""))="missing"),"Missing/",IFERROR(IF(VALUE(K1754)&lt;0,"Invalid","Valid"),"Check Format"))</f>
        <v>Valid</v>
      </c>
      <c r="W1754" t="str">
        <f>IF(OR(E1754="",F1754=""),"Missing Date/Time",IFERROR(IF(F1754&gt;E1754,"Arrival After Appointment","OK"),"Check Format"))</f>
        <v>OK</v>
      </c>
      <c r="X1754" t="str">
        <f>IF(OR(F1754="",G1754=""),"Missing Date/Time",IFERROR(IF(G1754&lt;F1754,"Discharge Before Arrival","OK"),"Check Format"))</f>
        <v>OK</v>
      </c>
    </row>
    <row r="1755" spans="1:24" x14ac:dyDescent="0.25">
      <c r="A1755" s="2" t="s">
        <v>2520</v>
      </c>
      <c r="B1755" s="2" t="s">
        <v>811</v>
      </c>
      <c r="C1755" s="3" t="s">
        <v>19</v>
      </c>
      <c r="D1755" s="3" t="s">
        <v>106</v>
      </c>
      <c r="E1755" s="4">
        <v>45350.774305555555</v>
      </c>
      <c r="F1755" s="4">
        <v>45350.768750000003</v>
      </c>
      <c r="G1755" s="4">
        <v>45350.827777777777</v>
      </c>
      <c r="I1755" s="3" t="s">
        <v>73</v>
      </c>
      <c r="K1755" s="5">
        <v>68</v>
      </c>
      <c r="L1755" s="5">
        <v>9</v>
      </c>
      <c r="M1755" s="3" t="s">
        <v>23</v>
      </c>
      <c r="N1755" t="s">
        <v>103</v>
      </c>
      <c r="P1755" s="3" t="s">
        <v>42</v>
      </c>
      <c r="Q1755" s="2">
        <v>111.83</v>
      </c>
      <c r="R1755" s="3" t="s">
        <v>58</v>
      </c>
      <c r="S1755">
        <f>COUNTIF(A:A,A1755)</f>
        <v>1</v>
      </c>
      <c r="T1755" t="str">
        <f>IF(OR(H1755="",LOWER(TRIM(H1755&amp;""))="missing",LOWER(TRIM(H1755&amp;""))=""),"Missing/",IFERROR(IF(OR(VALUE(H1755)&lt;0,VALUE(H1755)&gt;110),"Invalid","Valid"),"Check Format"))</f>
        <v>Missing/</v>
      </c>
      <c r="U1755" t="str">
        <f>IF(Raw_Data[[#This Row],[Age_Check]]="Valid",H1755,"")</f>
        <v/>
      </c>
      <c r="V1755" t="str">
        <f>IF(OR(K1755="",UPPER(TRIM(K1755&amp;""))="",LOWER(TRIM(K1755&amp;""))="",LOWER(TRIM(K1755&amp;""))="",LOWER(TRIM(K1755&amp;""))="missing"),"Missing/",IFERROR(IF(VALUE(K1755)&lt;0,"Invalid","Valid"),"Check Format"))</f>
        <v>Valid</v>
      </c>
      <c r="W1755" t="str">
        <f>IF(OR(E1755="",F1755=""),"Missing Date/Time",IFERROR(IF(F1755&gt;E1755,"Arrival After Appointment","OK"),"Check Format"))</f>
        <v>OK</v>
      </c>
      <c r="X1755" t="str">
        <f>IF(OR(F1755="",G1755=""),"Missing Date/Time",IFERROR(IF(G1755&lt;F1755,"Discharge Before Arrival","OK"),"Check Format"))</f>
        <v>OK</v>
      </c>
    </row>
    <row r="1756" spans="1:24" x14ac:dyDescent="0.25">
      <c r="A1756" s="2" t="s">
        <v>2521</v>
      </c>
      <c r="B1756" s="2" t="s">
        <v>2347</v>
      </c>
      <c r="C1756" s="3" t="s">
        <v>19</v>
      </c>
      <c r="D1756" s="3" t="s">
        <v>209</v>
      </c>
      <c r="E1756" s="4">
        <v>45540.416666666664</v>
      </c>
      <c r="F1756" s="4">
        <v>45421.407638888886</v>
      </c>
      <c r="G1756" s="4">
        <v>45421.461111111108</v>
      </c>
      <c r="H1756" s="5">
        <v>33</v>
      </c>
      <c r="I1756" s="3" t="s">
        <v>73</v>
      </c>
      <c r="J1756" s="3" t="s">
        <v>67</v>
      </c>
      <c r="K1756" s="5">
        <v>23</v>
      </c>
      <c r="L1756" s="5">
        <v>41</v>
      </c>
      <c r="M1756" s="3" t="s">
        <v>41</v>
      </c>
      <c r="N1756" t="s">
        <v>100</v>
      </c>
      <c r="O1756" s="5">
        <v>5</v>
      </c>
      <c r="P1756" s="3" t="s">
        <v>80</v>
      </c>
      <c r="Q1756" s="2">
        <v>289.11</v>
      </c>
      <c r="R1756" s="3" t="s">
        <v>58</v>
      </c>
      <c r="S1756">
        <f>COUNTIF(A:A,A1756)</f>
        <v>1</v>
      </c>
      <c r="T1756" t="str">
        <f>IF(OR(H1756="",LOWER(TRIM(H1756&amp;""))="missing",LOWER(TRIM(H1756&amp;""))=""),"Missing/",IFERROR(IF(OR(VALUE(H1756)&lt;0,VALUE(H1756)&gt;110),"Invalid","Valid"),"Check Format"))</f>
        <v>Valid</v>
      </c>
      <c r="U1756">
        <f>IF(Raw_Data[[#This Row],[Age_Check]]="Valid",H1756,"")</f>
        <v>33</v>
      </c>
      <c r="V1756" t="str">
        <f>IF(OR(K1756="",UPPER(TRIM(K1756&amp;""))="",LOWER(TRIM(K1756&amp;""))="",LOWER(TRIM(K1756&amp;""))="",LOWER(TRIM(K1756&amp;""))="missing"),"Missing/",IFERROR(IF(VALUE(K1756)&lt;0,"Invalid","Valid"),"Check Format"))</f>
        <v>Valid</v>
      </c>
      <c r="W1756" t="str">
        <f>IF(OR(E1756="",F1756=""),"Missing Date/Time",IFERROR(IF(F1756&gt;E1756,"Arrival After Appointment","OK"),"Check Format"))</f>
        <v>OK</v>
      </c>
      <c r="X1756" t="str">
        <f>IF(OR(F1756="",G1756=""),"Missing Date/Time",IFERROR(IF(G1756&lt;F1756,"Discharge Before Arrival","OK"),"Check Format"))</f>
        <v>OK</v>
      </c>
    </row>
    <row r="1757" spans="1:24" x14ac:dyDescent="0.25">
      <c r="A1757" s="2" t="s">
        <v>2522</v>
      </c>
      <c r="B1757" s="2" t="s">
        <v>629</v>
      </c>
      <c r="C1757" s="3" t="s">
        <v>94</v>
      </c>
      <c r="D1757" s="3" t="s">
        <v>30</v>
      </c>
      <c r="E1757" s="4">
        <v>45799.479166666664</v>
      </c>
      <c r="F1757" s="4">
        <v>45799.473611111112</v>
      </c>
      <c r="G1757" s="4">
        <v>45799.490972222222</v>
      </c>
      <c r="I1757" s="3" t="s">
        <v>95</v>
      </c>
      <c r="J1757" s="3" t="s">
        <v>22</v>
      </c>
      <c r="K1757" s="5">
        <v>12</v>
      </c>
      <c r="L1757" s="5">
        <v>5</v>
      </c>
      <c r="M1757" s="3" t="s">
        <v>41</v>
      </c>
      <c r="N1757" t="s">
        <v>103</v>
      </c>
      <c r="P1757" s="3" t="s">
        <v>80</v>
      </c>
      <c r="Q1757" s="2">
        <v>135.01</v>
      </c>
      <c r="R1757" s="3" t="s">
        <v>58</v>
      </c>
      <c r="S1757">
        <f>COUNTIF(A:A,A1757)</f>
        <v>1</v>
      </c>
      <c r="T1757" t="str">
        <f>IF(OR(H1757="",LOWER(TRIM(H1757&amp;""))="missing",LOWER(TRIM(H1757&amp;""))=""),"Missing/",IFERROR(IF(OR(VALUE(H1757)&lt;0,VALUE(H1757)&gt;110),"Invalid","Valid"),"Check Format"))</f>
        <v>Missing/</v>
      </c>
      <c r="U1757" t="str">
        <f>IF(Raw_Data[[#This Row],[Age_Check]]="Valid",H1757,"")</f>
        <v/>
      </c>
      <c r="V1757" t="str">
        <f>IF(OR(K1757="",UPPER(TRIM(K1757&amp;""))="",LOWER(TRIM(K1757&amp;""))="",LOWER(TRIM(K1757&amp;""))="",LOWER(TRIM(K1757&amp;""))="missing"),"Missing/",IFERROR(IF(VALUE(K1757)&lt;0,"Invalid","Valid"),"Check Format"))</f>
        <v>Valid</v>
      </c>
      <c r="W1757" t="str">
        <f>IF(OR(E1757="",F1757=""),"Missing Date/Time",IFERROR(IF(F1757&gt;E1757,"Arrival After Appointment","OK"),"Check Format"))</f>
        <v>OK</v>
      </c>
      <c r="X1757" t="str">
        <f>IF(OR(F1757="",G1757=""),"Missing Date/Time",IFERROR(IF(G1757&lt;F1757,"Discharge Before Arrival","OK"),"Check Format"))</f>
        <v>OK</v>
      </c>
    </row>
    <row r="1758" spans="1:24" x14ac:dyDescent="0.25">
      <c r="A1758" s="2" t="s">
        <v>2523</v>
      </c>
      <c r="B1758" s="2" t="s">
        <v>1464</v>
      </c>
      <c r="C1758" s="3" t="s">
        <v>46</v>
      </c>
      <c r="D1758" s="3" t="s">
        <v>38</v>
      </c>
      <c r="E1758" s="4">
        <v>45727.760416666664</v>
      </c>
      <c r="F1758" s="4">
        <v>45727.748611111114</v>
      </c>
      <c r="G1758" s="4">
        <v>45727.824999999997</v>
      </c>
      <c r="I1758" s="3" t="s">
        <v>73</v>
      </c>
      <c r="J1758" s="3" t="s">
        <v>62</v>
      </c>
      <c r="K1758" s="5">
        <v>58</v>
      </c>
      <c r="L1758" s="5">
        <v>35</v>
      </c>
      <c r="N1758" t="s">
        <v>74</v>
      </c>
      <c r="O1758" s="5">
        <v>6</v>
      </c>
      <c r="P1758" s="3" t="s">
        <v>80</v>
      </c>
      <c r="Q1758" s="2">
        <v>109.29</v>
      </c>
      <c r="R1758" s="3" t="s">
        <v>75</v>
      </c>
      <c r="S1758">
        <f>COUNTIF(A:A,A1758)</f>
        <v>1</v>
      </c>
      <c r="T1758" t="str">
        <f>IF(OR(H1758="",LOWER(TRIM(H1758&amp;""))="missing",LOWER(TRIM(H1758&amp;""))=""),"Missing/",IFERROR(IF(OR(VALUE(H1758)&lt;0,VALUE(H1758)&gt;110),"Invalid","Valid"),"Check Format"))</f>
        <v>Missing/</v>
      </c>
      <c r="U1758" t="str">
        <f>IF(Raw_Data[[#This Row],[Age_Check]]="Valid",H1758,"")</f>
        <v/>
      </c>
      <c r="V1758" t="str">
        <f>IF(OR(K1758="",UPPER(TRIM(K1758&amp;""))="",LOWER(TRIM(K1758&amp;""))="",LOWER(TRIM(K1758&amp;""))="",LOWER(TRIM(K1758&amp;""))="missing"),"Missing/",IFERROR(IF(VALUE(K1758)&lt;0,"Invalid","Valid"),"Check Format"))</f>
        <v>Valid</v>
      </c>
      <c r="W1758" t="str">
        <f>IF(OR(E1758="",F1758=""),"Missing Date/Time",IFERROR(IF(F1758&gt;E1758,"Arrival After Appointment","OK"),"Check Format"))</f>
        <v>OK</v>
      </c>
      <c r="X1758" t="str">
        <f>IF(OR(F1758="",G1758=""),"Missing Date/Time",IFERROR(IF(G1758&lt;F1758,"Discharge Before Arrival","OK"),"Check Format"))</f>
        <v>OK</v>
      </c>
    </row>
    <row r="1759" spans="1:24" x14ac:dyDescent="0.25">
      <c r="A1759" s="2" t="s">
        <v>2524</v>
      </c>
      <c r="B1759" s="2" t="s">
        <v>2525</v>
      </c>
      <c r="C1759" s="3" t="s">
        <v>46</v>
      </c>
      <c r="D1759" s="3" t="s">
        <v>61</v>
      </c>
      <c r="E1759" s="4">
        <v>45576.722222222219</v>
      </c>
      <c r="F1759" s="4">
        <v>45576.714583333334</v>
      </c>
      <c r="G1759" s="4">
        <v>45576.783333333333</v>
      </c>
      <c r="I1759" s="3" t="s">
        <v>73</v>
      </c>
      <c r="J1759" s="3" t="s">
        <v>62</v>
      </c>
      <c r="K1759" s="5">
        <v>50</v>
      </c>
      <c r="L1759" s="5">
        <v>38</v>
      </c>
      <c r="O1759" s="5">
        <v>4</v>
      </c>
      <c r="P1759" s="3" t="s">
        <v>42</v>
      </c>
      <c r="Q1759" s="2">
        <v>228.23</v>
      </c>
      <c r="R1759" s="3" t="s">
        <v>75</v>
      </c>
      <c r="S1759">
        <f>COUNTIF(A:A,A1759)</f>
        <v>1</v>
      </c>
      <c r="T1759" t="str">
        <f>IF(OR(H1759="",LOWER(TRIM(H1759&amp;""))="missing",LOWER(TRIM(H1759&amp;""))=""),"Missing/",IFERROR(IF(OR(VALUE(H1759)&lt;0,VALUE(H1759)&gt;110),"Invalid","Valid"),"Check Format"))</f>
        <v>Missing/</v>
      </c>
      <c r="U1759" t="str">
        <f>IF(Raw_Data[[#This Row],[Age_Check]]="Valid",H1759,"")</f>
        <v/>
      </c>
      <c r="V1759" t="str">
        <f>IF(OR(K1759="",UPPER(TRIM(K1759&amp;""))="",LOWER(TRIM(K1759&amp;""))="",LOWER(TRIM(K1759&amp;""))="",LOWER(TRIM(K1759&amp;""))="missing"),"Missing/",IFERROR(IF(VALUE(K1759)&lt;0,"Invalid","Valid"),"Check Format"))</f>
        <v>Valid</v>
      </c>
      <c r="W1759" t="str">
        <f>IF(OR(E1759="",F1759=""),"Missing Date/Time",IFERROR(IF(F1759&gt;E1759,"Arrival After Appointment","OK"),"Check Format"))</f>
        <v>OK</v>
      </c>
      <c r="X1759" t="str">
        <f>IF(OR(F1759="",G1759=""),"Missing Date/Time",IFERROR(IF(G1759&lt;F1759,"Discharge Before Arrival","OK"),"Check Format"))</f>
        <v>OK</v>
      </c>
    </row>
    <row r="1760" spans="1:24" x14ac:dyDescent="0.25">
      <c r="A1760" s="2" t="s">
        <v>2526</v>
      </c>
      <c r="B1760" s="2" t="s">
        <v>2058</v>
      </c>
      <c r="C1760" s="3" t="s">
        <v>46</v>
      </c>
      <c r="D1760" s="3" t="s">
        <v>38</v>
      </c>
      <c r="E1760" s="4" t="s">
        <v>2527</v>
      </c>
      <c r="F1760" s="4">
        <v>45370.742361111108</v>
      </c>
      <c r="G1760" s="4">
        <v>45370.763888888891</v>
      </c>
      <c r="H1760" s="5">
        <v>10</v>
      </c>
      <c r="J1760" s="3" t="s">
        <v>62</v>
      </c>
      <c r="K1760" s="5">
        <v>0</v>
      </c>
      <c r="L1760" s="5">
        <v>25</v>
      </c>
      <c r="M1760" s="3" t="s">
        <v>41</v>
      </c>
      <c r="O1760" s="5">
        <v>6</v>
      </c>
      <c r="P1760" s="3" t="s">
        <v>42</v>
      </c>
      <c r="Q1760" s="2">
        <v>162.1</v>
      </c>
      <c r="R1760" s="3" t="s">
        <v>58</v>
      </c>
      <c r="S1760">
        <f>COUNTIF(A:A,A1760)</f>
        <v>1</v>
      </c>
      <c r="T1760" t="str">
        <f>IF(OR(H1760="",LOWER(TRIM(H1760&amp;""))="missing",LOWER(TRIM(H1760&amp;""))=""),"Missing/",IFERROR(IF(OR(VALUE(H1760)&lt;0,VALUE(H1760)&gt;110),"Invalid","Valid"),"Check Format"))</f>
        <v>Valid</v>
      </c>
      <c r="U1760">
        <f>IF(Raw_Data[[#This Row],[Age_Check]]="Valid",H1760,"")</f>
        <v>10</v>
      </c>
      <c r="V1760" t="str">
        <f>IF(OR(K1760="",UPPER(TRIM(K1760&amp;""))="",LOWER(TRIM(K1760&amp;""))="",LOWER(TRIM(K1760&amp;""))="",LOWER(TRIM(K1760&amp;""))="missing"),"Missing/",IFERROR(IF(VALUE(K1760)&lt;0,"Invalid","Valid"),"Check Format"))</f>
        <v>Valid</v>
      </c>
      <c r="W1760" t="str">
        <f>IF(OR(E1760="",F1760=""),"Missing Date/Time",IFERROR(IF(F1760&gt;E1760,"Arrival After Appointment","OK"),"Check Format"))</f>
        <v>OK</v>
      </c>
      <c r="X1760" t="str">
        <f>IF(OR(F1760="",G1760=""),"Missing Date/Time",IFERROR(IF(G1760&lt;F1760,"Discharge Before Arrival","OK"),"Check Format"))</f>
        <v>OK</v>
      </c>
    </row>
    <row r="1761" spans="1:24" x14ac:dyDescent="0.25">
      <c r="A1761" s="2" t="s">
        <v>2528</v>
      </c>
      <c r="B1761" s="2" t="s">
        <v>1371</v>
      </c>
      <c r="C1761" s="3" t="s">
        <v>94</v>
      </c>
      <c r="D1761" s="3" t="s">
        <v>23</v>
      </c>
      <c r="E1761" s="4">
        <v>45303.784722222219</v>
      </c>
      <c r="F1761" s="4">
        <v>45627.773611111108</v>
      </c>
      <c r="G1761" s="4">
        <v>45627.845833333333</v>
      </c>
      <c r="I1761" s="3" t="s">
        <v>95</v>
      </c>
      <c r="J1761" s="3" t="s">
        <v>150</v>
      </c>
      <c r="K1761" s="5">
        <v>25</v>
      </c>
      <c r="L1761" s="5">
        <v>63</v>
      </c>
      <c r="M1761" s="3" t="s">
        <v>87</v>
      </c>
      <c r="N1761" t="s">
        <v>69</v>
      </c>
      <c r="O1761" s="5">
        <v>6</v>
      </c>
      <c r="P1761" s="3" t="s">
        <v>42</v>
      </c>
      <c r="Q1761" s="2">
        <v>94.17</v>
      </c>
      <c r="R1761" s="3" t="s">
        <v>75</v>
      </c>
      <c r="S1761">
        <f>COUNTIF(A:A,A1761)</f>
        <v>1</v>
      </c>
      <c r="T1761" t="str">
        <f>IF(OR(H1761="",LOWER(TRIM(H1761&amp;""))="missing",LOWER(TRIM(H1761&amp;""))=""),"Missing/",IFERROR(IF(OR(VALUE(H1761)&lt;0,VALUE(H1761)&gt;110),"Invalid","Valid"),"Check Format"))</f>
        <v>Missing/</v>
      </c>
      <c r="U1761" t="str">
        <f>IF(Raw_Data[[#This Row],[Age_Check]]="Valid",H1761,"")</f>
        <v/>
      </c>
      <c r="V1761" t="str">
        <f>IF(OR(K1761="",UPPER(TRIM(K1761&amp;""))="",LOWER(TRIM(K1761&amp;""))="",LOWER(TRIM(K1761&amp;""))="",LOWER(TRIM(K1761&amp;""))="missing"),"Missing/",IFERROR(IF(VALUE(K1761)&lt;0,"Invalid","Valid"),"Check Format"))</f>
        <v>Valid</v>
      </c>
      <c r="W1761" t="str">
        <f>IF(OR(E1761="",F1761=""),"Missing Date/Time",IFERROR(IF(F1761&gt;E1761,"Arrival After Appointment","OK"),"Check Format"))</f>
        <v>Arrival After Appointment</v>
      </c>
      <c r="X1761" t="str">
        <f>IF(OR(F1761="",G1761=""),"Missing Date/Time",IFERROR(IF(G1761&lt;F1761,"Discharge Before Arrival","OK"),"Check Format"))</f>
        <v>OK</v>
      </c>
    </row>
    <row r="1762" spans="1:24" x14ac:dyDescent="0.25">
      <c r="A1762" s="2" t="s">
        <v>2529</v>
      </c>
      <c r="B1762" s="2" t="s">
        <v>1072</v>
      </c>
      <c r="D1762" s="3" t="s">
        <v>38</v>
      </c>
      <c r="E1762" s="4">
        <v>45903.513888888891</v>
      </c>
      <c r="F1762" s="4">
        <v>45903.494444444441</v>
      </c>
      <c r="G1762" s="4">
        <v>45903.581944444442</v>
      </c>
      <c r="H1762" s="5">
        <v>145</v>
      </c>
      <c r="I1762" s="3" t="s">
        <v>95</v>
      </c>
      <c r="J1762" s="3" t="s">
        <v>67</v>
      </c>
      <c r="K1762" s="5">
        <v>56</v>
      </c>
      <c r="L1762" s="5">
        <v>42</v>
      </c>
      <c r="O1762" s="5">
        <v>2</v>
      </c>
      <c r="P1762" s="3" t="s">
        <v>80</v>
      </c>
      <c r="Q1762" s="2">
        <v>97.7</v>
      </c>
      <c r="R1762" s="3" t="s">
        <v>58</v>
      </c>
      <c r="S1762">
        <f>COUNTIF(A:A,A1762)</f>
        <v>1</v>
      </c>
      <c r="T1762" t="str">
        <f>IF(OR(H1762="",LOWER(TRIM(H1762&amp;""))="missing",LOWER(TRIM(H1762&amp;""))=""),"Missing/",IFERROR(IF(OR(VALUE(H1762)&lt;0,VALUE(H1762)&gt;110),"Invalid","Valid"),"Check Format"))</f>
        <v>Invalid</v>
      </c>
      <c r="U1762" t="str">
        <f>IF(Raw_Data[[#This Row],[Age_Check]]="Valid",H1762,"")</f>
        <v/>
      </c>
      <c r="V1762" t="str">
        <f>IF(OR(K1762="",UPPER(TRIM(K1762&amp;""))="",LOWER(TRIM(K1762&amp;""))="",LOWER(TRIM(K1762&amp;""))="",LOWER(TRIM(K1762&amp;""))="missing"),"Missing/",IFERROR(IF(VALUE(K1762)&lt;0,"Invalid","Valid"),"Check Format"))</f>
        <v>Valid</v>
      </c>
      <c r="W1762" t="str">
        <f>IF(OR(E1762="",F1762=""),"Missing Date/Time",IFERROR(IF(F1762&gt;E1762,"Arrival After Appointment","OK"),"Check Format"))</f>
        <v>OK</v>
      </c>
      <c r="X1762" t="str">
        <f>IF(OR(F1762="",G1762=""),"Missing Date/Time",IFERROR(IF(G1762&lt;F1762,"Discharge Before Arrival","OK"),"Check Format"))</f>
        <v>OK</v>
      </c>
    </row>
    <row r="1763" spans="1:24" x14ac:dyDescent="0.25">
      <c r="A1763" s="2" t="s">
        <v>2530</v>
      </c>
      <c r="B1763" s="2" t="s">
        <v>204</v>
      </c>
      <c r="C1763" s="3" t="s">
        <v>94</v>
      </c>
      <c r="D1763" s="3" t="s">
        <v>20</v>
      </c>
      <c r="E1763" s="4">
        <v>45859.381944444445</v>
      </c>
      <c r="F1763" s="4">
        <v>45859.379166666666</v>
      </c>
      <c r="G1763" s="4">
        <v>45859.398611111108</v>
      </c>
      <c r="H1763" s="5">
        <v>90</v>
      </c>
      <c r="J1763" s="3" t="s">
        <v>2639</v>
      </c>
      <c r="K1763" s="5">
        <v>0</v>
      </c>
      <c r="L1763" s="5">
        <v>24</v>
      </c>
      <c r="M1763" s="3" t="s">
        <v>41</v>
      </c>
      <c r="N1763" t="s">
        <v>69</v>
      </c>
      <c r="O1763" s="5">
        <v>4</v>
      </c>
      <c r="P1763" s="3" t="s">
        <v>42</v>
      </c>
      <c r="Q1763" s="2">
        <v>227.36</v>
      </c>
      <c r="R1763" s="3" t="s">
        <v>58</v>
      </c>
      <c r="S1763">
        <f>COUNTIF(A:A,A1763)</f>
        <v>1</v>
      </c>
      <c r="T1763" t="str">
        <f>IF(OR(H1763="",LOWER(TRIM(H1763&amp;""))="missing",LOWER(TRIM(H1763&amp;""))=""),"Missing/",IFERROR(IF(OR(VALUE(H1763)&lt;0,VALUE(H1763)&gt;110),"Invalid","Valid"),"Check Format"))</f>
        <v>Valid</v>
      </c>
      <c r="U1763">
        <f>IF(Raw_Data[[#This Row],[Age_Check]]="Valid",H1763,"")</f>
        <v>90</v>
      </c>
      <c r="V1763" t="str">
        <f>IF(OR(K1763="",UPPER(TRIM(K1763&amp;""))="",LOWER(TRIM(K1763&amp;""))="",LOWER(TRIM(K1763&amp;""))="",LOWER(TRIM(K1763&amp;""))="missing"),"Missing/",IFERROR(IF(VALUE(K1763)&lt;0,"Invalid","Valid"),"Check Format"))</f>
        <v>Valid</v>
      </c>
      <c r="W1763" t="str">
        <f>IF(OR(E1763="",F1763=""),"Missing Date/Time",IFERROR(IF(F1763&gt;E1763,"Arrival After Appointment","OK"),"Check Format"))</f>
        <v>OK</v>
      </c>
      <c r="X1763" t="str">
        <f>IF(OR(F1763="",G1763=""),"Missing Date/Time",IFERROR(IF(G1763&lt;F1763,"Discharge Before Arrival","OK"),"Check Format"))</f>
        <v>OK</v>
      </c>
    </row>
    <row r="1764" spans="1:24" x14ac:dyDescent="0.25">
      <c r="A1764" s="2" t="s">
        <v>2531</v>
      </c>
      <c r="B1764" s="2" t="s">
        <v>1933</v>
      </c>
      <c r="D1764" s="3" t="s">
        <v>20</v>
      </c>
      <c r="E1764" s="4">
        <v>45470.618055555555</v>
      </c>
      <c r="F1764" s="4">
        <v>45470.607638888891</v>
      </c>
      <c r="G1764" s="4">
        <v>45470.661111111112</v>
      </c>
      <c r="I1764" s="3" t="s">
        <v>90</v>
      </c>
      <c r="J1764" s="3" t="s">
        <v>62</v>
      </c>
      <c r="K1764" s="5">
        <v>46</v>
      </c>
      <c r="L1764" s="5">
        <v>16</v>
      </c>
      <c r="M1764" s="3" t="s">
        <v>68</v>
      </c>
      <c r="N1764" t="s">
        <v>74</v>
      </c>
      <c r="O1764" s="5">
        <v>3</v>
      </c>
      <c r="P1764" s="3" t="s">
        <v>25</v>
      </c>
      <c r="Q1764" s="2">
        <v>219.05</v>
      </c>
      <c r="R1764" s="3" t="s">
        <v>43</v>
      </c>
      <c r="S1764">
        <f>COUNTIF(A:A,A1764)</f>
        <v>1</v>
      </c>
      <c r="T1764" t="str">
        <f>IF(OR(H1764="",LOWER(TRIM(H1764&amp;""))="missing",LOWER(TRIM(H1764&amp;""))=""),"Missing/",IFERROR(IF(OR(VALUE(H1764)&lt;0,VALUE(H1764)&gt;110),"Invalid","Valid"),"Check Format"))</f>
        <v>Missing/</v>
      </c>
      <c r="U1764" t="str">
        <f>IF(Raw_Data[[#This Row],[Age_Check]]="Valid",H1764,"")</f>
        <v/>
      </c>
      <c r="V1764" t="str">
        <f>IF(OR(K1764="",UPPER(TRIM(K1764&amp;""))="",LOWER(TRIM(K1764&amp;""))="",LOWER(TRIM(K1764&amp;""))="",LOWER(TRIM(K1764&amp;""))="missing"),"Missing/",IFERROR(IF(VALUE(K1764)&lt;0,"Invalid","Valid"),"Check Format"))</f>
        <v>Valid</v>
      </c>
      <c r="W1764" t="str">
        <f>IF(OR(E1764="",F1764=""),"Missing Date/Time",IFERROR(IF(F1764&gt;E1764,"Arrival After Appointment","OK"),"Check Format"))</f>
        <v>OK</v>
      </c>
      <c r="X1764" t="str">
        <f>IF(OR(F1764="",G1764=""),"Missing Date/Time",IFERROR(IF(G1764&lt;F1764,"Discharge Before Arrival","OK"),"Check Format"))</f>
        <v>OK</v>
      </c>
    </row>
    <row r="1765" spans="1:24" x14ac:dyDescent="0.25">
      <c r="A1765" s="2" t="s">
        <v>2532</v>
      </c>
      <c r="B1765" s="2" t="s">
        <v>324</v>
      </c>
      <c r="C1765" s="3" t="s">
        <v>29</v>
      </c>
      <c r="D1765" s="3" t="s">
        <v>55</v>
      </c>
      <c r="E1765" s="4">
        <v>45753.586805555555</v>
      </c>
      <c r="F1765" s="4">
        <v>45812.584027777775</v>
      </c>
      <c r="G1765" s="4">
        <v>45812.634027777778</v>
      </c>
      <c r="I1765" s="3" t="s">
        <v>95</v>
      </c>
      <c r="J1765" s="3" t="s">
        <v>22</v>
      </c>
      <c r="K1765" s="5">
        <v>46</v>
      </c>
      <c r="L1765" s="5">
        <v>22</v>
      </c>
      <c r="M1765" s="3" t="s">
        <v>41</v>
      </c>
      <c r="N1765" t="s">
        <v>91</v>
      </c>
      <c r="O1765" s="5">
        <v>0</v>
      </c>
      <c r="P1765" s="3" t="s">
        <v>25</v>
      </c>
      <c r="Q1765" s="2">
        <v>156.96</v>
      </c>
      <c r="R1765" s="3" t="s">
        <v>26</v>
      </c>
      <c r="S1765">
        <f>COUNTIF(A:A,A1765)</f>
        <v>1</v>
      </c>
      <c r="T1765" t="str">
        <f>IF(OR(H1765="",LOWER(TRIM(H1765&amp;""))="missing",LOWER(TRIM(H1765&amp;""))=""),"Missing/",IFERROR(IF(OR(VALUE(H1765)&lt;0,VALUE(H1765)&gt;110),"Invalid","Valid"),"Check Format"))</f>
        <v>Missing/</v>
      </c>
      <c r="U1765" t="str">
        <f>IF(Raw_Data[[#This Row],[Age_Check]]="Valid",H1765,"")</f>
        <v/>
      </c>
      <c r="V1765" t="str">
        <f>IF(OR(K1765="",UPPER(TRIM(K1765&amp;""))="",LOWER(TRIM(K1765&amp;""))="",LOWER(TRIM(K1765&amp;""))="",LOWER(TRIM(K1765&amp;""))="missing"),"Missing/",IFERROR(IF(VALUE(K1765)&lt;0,"Invalid","Valid"),"Check Format"))</f>
        <v>Valid</v>
      </c>
      <c r="W1765" t="str">
        <f>IF(OR(E1765="",F1765=""),"Missing Date/Time",IFERROR(IF(F1765&gt;E1765,"Arrival After Appointment","OK"),"Check Format"))</f>
        <v>Arrival After Appointment</v>
      </c>
      <c r="X1765" t="str">
        <f>IF(OR(F1765="",G1765=""),"Missing Date/Time",IFERROR(IF(G1765&lt;F1765,"Discharge Before Arrival","OK"),"Check Format"))</f>
        <v>OK</v>
      </c>
    </row>
    <row r="1766" spans="1:24" x14ac:dyDescent="0.25">
      <c r="A1766" s="2" t="s">
        <v>2533</v>
      </c>
      <c r="B1766" s="2" t="s">
        <v>1867</v>
      </c>
      <c r="C1766" s="3" t="s">
        <v>19</v>
      </c>
      <c r="D1766" s="3" t="s">
        <v>174</v>
      </c>
      <c r="E1766" s="4">
        <v>45792.440972222219</v>
      </c>
      <c r="F1766" s="4">
        <v>45792.426388888889</v>
      </c>
      <c r="G1766" s="4">
        <v>45792.550694444442</v>
      </c>
      <c r="H1766" s="5">
        <v>145</v>
      </c>
      <c r="I1766" s="3" t="s">
        <v>95</v>
      </c>
      <c r="J1766" s="3" t="s">
        <v>150</v>
      </c>
      <c r="K1766" s="5">
        <v>84</v>
      </c>
      <c r="L1766" s="5">
        <v>74</v>
      </c>
      <c r="M1766" s="3" t="s">
        <v>23</v>
      </c>
      <c r="N1766" t="s">
        <v>24</v>
      </c>
      <c r="O1766" s="5">
        <v>3</v>
      </c>
      <c r="P1766" s="3" t="s">
        <v>42</v>
      </c>
      <c r="Q1766" s="2">
        <v>211.18</v>
      </c>
      <c r="R1766" s="3" t="s">
        <v>58</v>
      </c>
      <c r="S1766">
        <f>COUNTIF(A:A,A1766)</f>
        <v>1</v>
      </c>
      <c r="T1766" t="str">
        <f>IF(OR(H1766="",LOWER(TRIM(H1766&amp;""))="missing",LOWER(TRIM(H1766&amp;""))=""),"Missing/",IFERROR(IF(OR(VALUE(H1766)&lt;0,VALUE(H1766)&gt;110),"Invalid","Valid"),"Check Format"))</f>
        <v>Invalid</v>
      </c>
      <c r="U1766" t="str">
        <f>IF(Raw_Data[[#This Row],[Age_Check]]="Valid",H1766,"")</f>
        <v/>
      </c>
      <c r="V1766" t="str">
        <f>IF(OR(K1766="",UPPER(TRIM(K1766&amp;""))="",LOWER(TRIM(K1766&amp;""))="",LOWER(TRIM(K1766&amp;""))="",LOWER(TRIM(K1766&amp;""))="missing"),"Missing/",IFERROR(IF(VALUE(K1766)&lt;0,"Invalid","Valid"),"Check Format"))</f>
        <v>Valid</v>
      </c>
      <c r="W1766" t="str">
        <f>IF(OR(E1766="",F1766=""),"Missing Date/Time",IFERROR(IF(F1766&gt;E1766,"Arrival After Appointment","OK"),"Check Format"))</f>
        <v>OK</v>
      </c>
      <c r="X1766" t="str">
        <f>IF(OR(F1766="",G1766=""),"Missing Date/Time",IFERROR(IF(G1766&lt;F1766,"Discharge Before Arrival","OK"),"Check Format"))</f>
        <v>OK</v>
      </c>
    </row>
    <row r="1767" spans="1:24" x14ac:dyDescent="0.25">
      <c r="A1767" s="2" t="s">
        <v>2534</v>
      </c>
      <c r="B1767" s="2" t="s">
        <v>1175</v>
      </c>
      <c r="C1767" s="3" t="s">
        <v>46</v>
      </c>
      <c r="D1767" s="3" t="s">
        <v>38</v>
      </c>
      <c r="E1767" s="4">
        <v>45778.510416666664</v>
      </c>
      <c r="F1767" s="4">
        <v>45778.497916666667</v>
      </c>
      <c r="G1767" s="4">
        <v>45778.59375</v>
      </c>
      <c r="I1767" s="3" t="s">
        <v>73</v>
      </c>
      <c r="J1767" s="3" t="s">
        <v>150</v>
      </c>
      <c r="K1767" s="5">
        <v>98</v>
      </c>
      <c r="L1767" s="5">
        <v>22</v>
      </c>
      <c r="M1767" s="3" t="s">
        <v>68</v>
      </c>
      <c r="N1767" t="s">
        <v>24</v>
      </c>
      <c r="O1767" s="5">
        <v>2</v>
      </c>
      <c r="P1767" s="3" t="s">
        <v>80</v>
      </c>
      <c r="Q1767" s="2">
        <v>62.93</v>
      </c>
      <c r="R1767" s="3" t="s">
        <v>58</v>
      </c>
      <c r="S1767">
        <f>COUNTIF(A:A,A1767)</f>
        <v>1</v>
      </c>
      <c r="T1767" t="str">
        <f>IF(OR(H1767="",LOWER(TRIM(H1767&amp;""))="missing",LOWER(TRIM(H1767&amp;""))=""),"Missing/",IFERROR(IF(OR(VALUE(H1767)&lt;0,VALUE(H1767)&gt;110),"Invalid","Valid"),"Check Format"))</f>
        <v>Missing/</v>
      </c>
      <c r="U1767" t="str">
        <f>IF(Raw_Data[[#This Row],[Age_Check]]="Valid",H1767,"")</f>
        <v/>
      </c>
      <c r="V1767" t="str">
        <f>IF(OR(K1767="",UPPER(TRIM(K1767&amp;""))="",LOWER(TRIM(K1767&amp;""))="",LOWER(TRIM(K1767&amp;""))="",LOWER(TRIM(K1767&amp;""))="missing"),"Missing/",IFERROR(IF(VALUE(K1767)&lt;0,"Invalid","Valid"),"Check Format"))</f>
        <v>Valid</v>
      </c>
      <c r="W1767" t="str">
        <f>IF(OR(E1767="",F1767=""),"Missing Date/Time",IFERROR(IF(F1767&gt;E1767,"Arrival After Appointment","OK"),"Check Format"))</f>
        <v>OK</v>
      </c>
      <c r="X1767" t="str">
        <f>IF(OR(F1767="",G1767=""),"Missing Date/Time",IFERROR(IF(G1767&lt;F1767,"Discharge Before Arrival","OK"),"Check Format"))</f>
        <v>OK</v>
      </c>
    </row>
    <row r="1768" spans="1:24" x14ac:dyDescent="0.25">
      <c r="A1768" s="2" t="s">
        <v>2535</v>
      </c>
      <c r="B1768" s="2" t="s">
        <v>1006</v>
      </c>
      <c r="C1768" s="3" t="s">
        <v>19</v>
      </c>
      <c r="D1768" s="3" t="s">
        <v>38</v>
      </c>
      <c r="E1768" s="4" t="s">
        <v>2536</v>
      </c>
      <c r="F1768" s="4">
        <v>45621.774305555555</v>
      </c>
      <c r="G1768" s="4">
        <v>45621.838888888888</v>
      </c>
      <c r="J1768" s="3" t="s">
        <v>67</v>
      </c>
      <c r="K1768" s="5">
        <v>60</v>
      </c>
      <c r="L1768" s="5">
        <v>33</v>
      </c>
      <c r="M1768" s="3" t="s">
        <v>50</v>
      </c>
      <c r="N1768" t="s">
        <v>24</v>
      </c>
      <c r="O1768" s="5">
        <v>5</v>
      </c>
      <c r="P1768" s="3" t="s">
        <v>80</v>
      </c>
      <c r="Q1768" s="2">
        <v>58.72</v>
      </c>
      <c r="R1768" s="3" t="s">
        <v>58</v>
      </c>
      <c r="S1768">
        <f>COUNTIF(A:A,A1768)</f>
        <v>1</v>
      </c>
      <c r="T1768" t="str">
        <f>IF(OR(H1768="",LOWER(TRIM(H1768&amp;""))="missing",LOWER(TRIM(H1768&amp;""))=""),"Missing/",IFERROR(IF(OR(VALUE(H1768)&lt;0,VALUE(H1768)&gt;110),"Invalid","Valid"),"Check Format"))</f>
        <v>Missing/</v>
      </c>
      <c r="U1768" t="str">
        <f>IF(Raw_Data[[#This Row],[Age_Check]]="Valid",H1768,"")</f>
        <v/>
      </c>
      <c r="V1768" t="str">
        <f>IF(OR(K1768="",UPPER(TRIM(K1768&amp;""))="",LOWER(TRIM(K1768&amp;""))="",LOWER(TRIM(K1768&amp;""))="",LOWER(TRIM(K1768&amp;""))="missing"),"Missing/",IFERROR(IF(VALUE(K1768)&lt;0,"Invalid","Valid"),"Check Format"))</f>
        <v>Valid</v>
      </c>
      <c r="W1768" t="str">
        <f>IF(OR(E1768="",F1768=""),"Missing Date/Time",IFERROR(IF(F1768&gt;E1768,"Arrival After Appointment","OK"),"Check Format"))</f>
        <v>OK</v>
      </c>
      <c r="X1768" t="str">
        <f>IF(OR(F1768="",G1768=""),"Missing Date/Time",IFERROR(IF(G1768&lt;F1768,"Discharge Before Arrival","OK"),"Check Format"))</f>
        <v>OK</v>
      </c>
    </row>
    <row r="1769" spans="1:24" x14ac:dyDescent="0.25">
      <c r="A1769" s="2" t="s">
        <v>2537</v>
      </c>
      <c r="B1769" s="2" t="s">
        <v>733</v>
      </c>
      <c r="C1769" s="3" t="s">
        <v>37</v>
      </c>
      <c r="D1769" s="3" t="s">
        <v>115</v>
      </c>
      <c r="E1769" s="4">
        <v>45435.576388888891</v>
      </c>
      <c r="F1769" s="4">
        <v>45435.568749999999</v>
      </c>
      <c r="J1769" s="3" t="s">
        <v>67</v>
      </c>
      <c r="K1769" s="5">
        <v>51</v>
      </c>
      <c r="L1769" s="5">
        <v>39</v>
      </c>
      <c r="M1769" s="3" t="s">
        <v>63</v>
      </c>
      <c r="N1769" t="s">
        <v>103</v>
      </c>
      <c r="O1769" s="5">
        <v>6</v>
      </c>
      <c r="Q1769" s="2">
        <v>173.83</v>
      </c>
      <c r="R1769" s="3" t="s">
        <v>43</v>
      </c>
      <c r="S1769">
        <f>COUNTIF(A:A,A1769)</f>
        <v>1</v>
      </c>
      <c r="T1769" t="str">
        <f>IF(OR(H1769="",LOWER(TRIM(H1769&amp;""))="missing",LOWER(TRIM(H1769&amp;""))=""),"Missing/",IFERROR(IF(OR(VALUE(H1769)&lt;0,VALUE(H1769)&gt;110),"Invalid","Valid"),"Check Format"))</f>
        <v>Missing/</v>
      </c>
      <c r="U1769" t="str">
        <f>IF(Raw_Data[[#This Row],[Age_Check]]="Valid",H1769,"")</f>
        <v/>
      </c>
      <c r="V1769" t="str">
        <f>IF(OR(K1769="",UPPER(TRIM(K1769&amp;""))="",LOWER(TRIM(K1769&amp;""))="",LOWER(TRIM(K1769&amp;""))="",LOWER(TRIM(K1769&amp;""))="missing"),"Missing/",IFERROR(IF(VALUE(K1769)&lt;0,"Invalid","Valid"),"Check Format"))</f>
        <v>Valid</v>
      </c>
      <c r="W1769" t="str">
        <f>IF(OR(E1769="",F1769=""),"Missing Date/Time",IFERROR(IF(F1769&gt;E1769,"Arrival After Appointment","OK"),"Check Format"))</f>
        <v>OK</v>
      </c>
      <c r="X1769" t="str">
        <f>IF(OR(F1769="",G1769=""),"Missing Date/Time",IFERROR(IF(G1769&lt;F1769,"Discharge Before Arrival","OK"),"Check Format"))</f>
        <v>Missing Date/Time</v>
      </c>
    </row>
    <row r="1770" spans="1:24" x14ac:dyDescent="0.25">
      <c r="A1770" s="2" t="s">
        <v>2538</v>
      </c>
      <c r="B1770" s="2" t="s">
        <v>903</v>
      </c>
      <c r="C1770" s="3" t="s">
        <v>37</v>
      </c>
      <c r="D1770" s="3" t="s">
        <v>115</v>
      </c>
      <c r="E1770" s="4">
        <v>45957.621527777781</v>
      </c>
      <c r="F1770" s="4">
        <v>45957.606944444444</v>
      </c>
      <c r="G1770" s="4">
        <v>45957.699305555558</v>
      </c>
      <c r="H1770" s="5">
        <v>50</v>
      </c>
      <c r="I1770" s="3" t="s">
        <v>90</v>
      </c>
      <c r="J1770" s="3" t="s">
        <v>2639</v>
      </c>
      <c r="K1770" s="5">
        <v>75</v>
      </c>
      <c r="L1770" s="5">
        <v>37</v>
      </c>
      <c r="M1770" s="3" t="s">
        <v>41</v>
      </c>
      <c r="N1770" t="s">
        <v>91</v>
      </c>
      <c r="O1770" s="5">
        <v>0</v>
      </c>
      <c r="Q1770" s="2">
        <v>104.44</v>
      </c>
      <c r="R1770" s="3" t="s">
        <v>58</v>
      </c>
      <c r="S1770">
        <f>COUNTIF(A:A,A1770)</f>
        <v>1</v>
      </c>
      <c r="T1770" t="str">
        <f>IF(OR(H1770="",LOWER(TRIM(H1770&amp;""))="missing",LOWER(TRIM(H1770&amp;""))=""),"Missing/",IFERROR(IF(OR(VALUE(H1770)&lt;0,VALUE(H1770)&gt;110),"Invalid","Valid"),"Check Format"))</f>
        <v>Valid</v>
      </c>
      <c r="U1770">
        <f>IF(Raw_Data[[#This Row],[Age_Check]]="Valid",H1770,"")</f>
        <v>50</v>
      </c>
      <c r="V1770" t="str">
        <f>IF(OR(K1770="",UPPER(TRIM(K1770&amp;""))="",LOWER(TRIM(K1770&amp;""))="",LOWER(TRIM(K1770&amp;""))="",LOWER(TRIM(K1770&amp;""))="missing"),"Missing/",IFERROR(IF(VALUE(K1770)&lt;0,"Invalid","Valid"),"Check Format"))</f>
        <v>Valid</v>
      </c>
      <c r="W1770" t="str">
        <f>IF(OR(E1770="",F1770=""),"Missing Date/Time",IFERROR(IF(F1770&gt;E1770,"Arrival After Appointment","OK"),"Check Format"))</f>
        <v>OK</v>
      </c>
      <c r="X1770" t="str">
        <f>IF(OR(F1770="",G1770=""),"Missing Date/Time",IFERROR(IF(G1770&lt;F1770,"Discharge Before Arrival","OK"),"Check Format"))</f>
        <v>OK</v>
      </c>
    </row>
    <row r="1771" spans="1:24" x14ac:dyDescent="0.25">
      <c r="A1771" s="2" t="s">
        <v>2539</v>
      </c>
      <c r="B1771" s="2" t="s">
        <v>433</v>
      </c>
      <c r="C1771" s="3" t="s">
        <v>19</v>
      </c>
      <c r="D1771" s="3" t="s">
        <v>55</v>
      </c>
      <c r="E1771" s="4">
        <v>45621.736111111109</v>
      </c>
      <c r="F1771" s="4">
        <v>45621.719444444447</v>
      </c>
      <c r="G1771" s="4">
        <v>45621.770833333336</v>
      </c>
      <c r="H1771" s="5">
        <v>71</v>
      </c>
      <c r="K1771" s="5">
        <v>40</v>
      </c>
      <c r="L1771" s="5">
        <v>10</v>
      </c>
      <c r="M1771" s="3" t="s">
        <v>50</v>
      </c>
      <c r="O1771" s="5">
        <v>1</v>
      </c>
      <c r="P1771" s="3" t="s">
        <v>42</v>
      </c>
      <c r="Q1771" s="2">
        <v>287.77999999999997</v>
      </c>
      <c r="R1771" s="3" t="s">
        <v>75</v>
      </c>
      <c r="S1771">
        <f>COUNTIF(A:A,A1771)</f>
        <v>1</v>
      </c>
      <c r="T1771" t="str">
        <f>IF(OR(H1771="",LOWER(TRIM(H1771&amp;""))="missing",LOWER(TRIM(H1771&amp;""))=""),"Missing/",IFERROR(IF(OR(VALUE(H1771)&lt;0,VALUE(H1771)&gt;110),"Invalid","Valid"),"Check Format"))</f>
        <v>Valid</v>
      </c>
      <c r="U1771">
        <f>IF(Raw_Data[[#This Row],[Age_Check]]="Valid",H1771,"")</f>
        <v>71</v>
      </c>
      <c r="V1771" t="str">
        <f>IF(OR(K1771="",UPPER(TRIM(K1771&amp;""))="",LOWER(TRIM(K1771&amp;""))="",LOWER(TRIM(K1771&amp;""))="",LOWER(TRIM(K1771&amp;""))="missing"),"Missing/",IFERROR(IF(VALUE(K1771)&lt;0,"Invalid","Valid"),"Check Format"))</f>
        <v>Valid</v>
      </c>
      <c r="W1771" t="str">
        <f>IF(OR(E1771="",F1771=""),"Missing Date/Time",IFERROR(IF(F1771&gt;E1771,"Arrival After Appointment","OK"),"Check Format"))</f>
        <v>OK</v>
      </c>
      <c r="X1771" t="str">
        <f>IF(OR(F1771="",G1771=""),"Missing Date/Time",IFERROR(IF(G1771&lt;F1771,"Discharge Before Arrival","OK"),"Check Format"))</f>
        <v>OK</v>
      </c>
    </row>
    <row r="1772" spans="1:24" x14ac:dyDescent="0.25">
      <c r="A1772" s="2" t="s">
        <v>2540</v>
      </c>
      <c r="B1772" s="2" t="s">
        <v>596</v>
      </c>
      <c r="C1772" s="3" t="s">
        <v>19</v>
      </c>
      <c r="D1772" s="3" t="s">
        <v>99</v>
      </c>
      <c r="E1772" s="4" t="s">
        <v>2541</v>
      </c>
      <c r="F1772" s="4">
        <v>45461.518750000003</v>
      </c>
      <c r="G1772" s="4">
        <v>45461.586805555555</v>
      </c>
      <c r="H1772" s="5">
        <v>41</v>
      </c>
      <c r="I1772" s="3" t="s">
        <v>73</v>
      </c>
      <c r="J1772" s="3" t="s">
        <v>62</v>
      </c>
      <c r="K1772" s="5">
        <v>58</v>
      </c>
      <c r="L1772" s="5">
        <v>27</v>
      </c>
      <c r="M1772" s="3" t="s">
        <v>87</v>
      </c>
      <c r="N1772" t="s">
        <v>24</v>
      </c>
      <c r="O1772" s="5">
        <v>0</v>
      </c>
      <c r="P1772" s="3" t="s">
        <v>80</v>
      </c>
      <c r="Q1772" s="2">
        <v>70.7</v>
      </c>
      <c r="R1772" s="3" t="s">
        <v>58</v>
      </c>
      <c r="S1772">
        <f>COUNTIF(A:A,A1772)</f>
        <v>1</v>
      </c>
      <c r="T1772" t="str">
        <f>IF(OR(H1772="",LOWER(TRIM(H1772&amp;""))="missing",LOWER(TRIM(H1772&amp;""))=""),"Missing/",IFERROR(IF(OR(VALUE(H1772)&lt;0,VALUE(H1772)&gt;110),"Invalid","Valid"),"Check Format"))</f>
        <v>Valid</v>
      </c>
      <c r="U1772">
        <f>IF(Raw_Data[[#This Row],[Age_Check]]="Valid",H1772,"")</f>
        <v>41</v>
      </c>
      <c r="V1772" t="str">
        <f>IF(OR(K1772="",UPPER(TRIM(K1772&amp;""))="",LOWER(TRIM(K1772&amp;""))="",LOWER(TRIM(K1772&amp;""))="",LOWER(TRIM(K1772&amp;""))="missing"),"Missing/",IFERROR(IF(VALUE(K1772)&lt;0,"Invalid","Valid"),"Check Format"))</f>
        <v>Valid</v>
      </c>
      <c r="W1772" t="str">
        <f>IF(OR(E1772="",F1772=""),"Missing Date/Time",IFERROR(IF(F1772&gt;E1772,"Arrival After Appointment","OK"),"Check Format"))</f>
        <v>OK</v>
      </c>
      <c r="X1772" t="str">
        <f>IF(OR(F1772="",G1772=""),"Missing Date/Time",IFERROR(IF(G1772&lt;F1772,"Discharge Before Arrival","OK"),"Check Format"))</f>
        <v>OK</v>
      </c>
    </row>
    <row r="1773" spans="1:24" x14ac:dyDescent="0.25">
      <c r="A1773" s="2" t="s">
        <v>2542</v>
      </c>
      <c r="B1773" s="2" t="s">
        <v>194</v>
      </c>
      <c r="C1773" s="3" t="s">
        <v>19</v>
      </c>
      <c r="D1773" s="3" t="s">
        <v>149</v>
      </c>
      <c r="E1773" s="4">
        <v>45510.420138888891</v>
      </c>
      <c r="F1773" s="4">
        <v>45510.399305555555</v>
      </c>
      <c r="G1773" s="4">
        <v>45510.539583333331</v>
      </c>
      <c r="H1773" s="5">
        <v>95</v>
      </c>
      <c r="I1773" s="3" t="s">
        <v>95</v>
      </c>
      <c r="J1773" s="3" t="s">
        <v>62</v>
      </c>
      <c r="K1773" s="5">
        <v>160</v>
      </c>
      <c r="L1773" s="5">
        <v>12</v>
      </c>
      <c r="M1773" s="3" t="s">
        <v>50</v>
      </c>
      <c r="N1773" t="s">
        <v>24</v>
      </c>
      <c r="O1773" s="5">
        <v>1</v>
      </c>
      <c r="P1773" s="3" t="s">
        <v>25</v>
      </c>
      <c r="Q1773" s="2">
        <v>110.69</v>
      </c>
      <c r="R1773" s="3" t="s">
        <v>43</v>
      </c>
      <c r="S1773">
        <f>COUNTIF(A:A,A1773)</f>
        <v>1</v>
      </c>
      <c r="T1773" t="str">
        <f>IF(OR(H1773="",LOWER(TRIM(H1773&amp;""))="missing",LOWER(TRIM(H1773&amp;""))=""),"Missing/",IFERROR(IF(OR(VALUE(H1773)&lt;0,VALUE(H1773)&gt;110),"Invalid","Valid"),"Check Format"))</f>
        <v>Valid</v>
      </c>
      <c r="U1773">
        <f>IF(Raw_Data[[#This Row],[Age_Check]]="Valid",H1773,"")</f>
        <v>95</v>
      </c>
      <c r="V1773" t="str">
        <f>IF(OR(K1773="",UPPER(TRIM(K1773&amp;""))="",LOWER(TRIM(K1773&amp;""))="",LOWER(TRIM(K1773&amp;""))="",LOWER(TRIM(K1773&amp;""))="missing"),"Missing/",IFERROR(IF(VALUE(K1773)&lt;0,"Invalid","Valid"),"Check Format"))</f>
        <v>Valid</v>
      </c>
      <c r="W1773" t="str">
        <f>IF(OR(E1773="",F1773=""),"Missing Date/Time",IFERROR(IF(F1773&gt;E1773,"Arrival After Appointment","OK"),"Check Format"))</f>
        <v>OK</v>
      </c>
      <c r="X1773" t="str">
        <f>IF(OR(F1773="",G1773=""),"Missing Date/Time",IFERROR(IF(G1773&lt;F1773,"Discharge Before Arrival","OK"),"Check Format"))</f>
        <v>OK</v>
      </c>
    </row>
    <row r="1774" spans="1:24" x14ac:dyDescent="0.25">
      <c r="A1774" s="2" t="s">
        <v>2543</v>
      </c>
      <c r="B1774" s="2" t="s">
        <v>1734</v>
      </c>
      <c r="C1774" s="3" t="s">
        <v>94</v>
      </c>
      <c r="D1774" s="3" t="s">
        <v>23</v>
      </c>
      <c r="E1774" s="4">
        <v>45300.440972222219</v>
      </c>
      <c r="F1774" s="4">
        <v>45300.421527777777</v>
      </c>
      <c r="H1774" s="5">
        <v>66</v>
      </c>
      <c r="I1774" s="3" t="s">
        <v>95</v>
      </c>
      <c r="J1774" s="3" t="s">
        <v>2639</v>
      </c>
      <c r="K1774" s="5">
        <v>72</v>
      </c>
      <c r="L1774" s="5">
        <v>42</v>
      </c>
      <c r="M1774" s="3" t="s">
        <v>32</v>
      </c>
      <c r="N1774" t="s">
        <v>69</v>
      </c>
      <c r="O1774" s="5">
        <v>4</v>
      </c>
      <c r="Q1774" s="2">
        <v>221.63</v>
      </c>
      <c r="R1774" s="3" t="s">
        <v>75</v>
      </c>
      <c r="S1774">
        <f>COUNTIF(A:A,A1774)</f>
        <v>1</v>
      </c>
      <c r="T1774" t="str">
        <f>IF(OR(H1774="",LOWER(TRIM(H1774&amp;""))="missing",LOWER(TRIM(H1774&amp;""))=""),"Missing/",IFERROR(IF(OR(VALUE(H1774)&lt;0,VALUE(H1774)&gt;110),"Invalid","Valid"),"Check Format"))</f>
        <v>Valid</v>
      </c>
      <c r="U1774">
        <f>IF(Raw_Data[[#This Row],[Age_Check]]="Valid",H1774,"")</f>
        <v>66</v>
      </c>
      <c r="V1774" t="str">
        <f>IF(OR(K1774="",UPPER(TRIM(K1774&amp;""))="",LOWER(TRIM(K1774&amp;""))="",LOWER(TRIM(K1774&amp;""))="",LOWER(TRIM(K1774&amp;""))="missing"),"Missing/",IFERROR(IF(VALUE(K1774)&lt;0,"Invalid","Valid"),"Check Format"))</f>
        <v>Valid</v>
      </c>
      <c r="W1774" t="str">
        <f>IF(OR(E1774="",F1774=""),"Missing Date/Time",IFERROR(IF(F1774&gt;E1774,"Arrival After Appointment","OK"),"Check Format"))</f>
        <v>OK</v>
      </c>
      <c r="X1774" t="str">
        <f>IF(OR(F1774="",G1774=""),"Missing Date/Time",IFERROR(IF(G1774&lt;F1774,"Discharge Before Arrival","OK"),"Check Format"))</f>
        <v>Missing Date/Time</v>
      </c>
    </row>
    <row r="1775" spans="1:24" x14ac:dyDescent="0.25">
      <c r="A1775" s="2" t="s">
        <v>2544</v>
      </c>
      <c r="B1775" s="2" t="s">
        <v>535</v>
      </c>
      <c r="C1775" s="3" t="s">
        <v>94</v>
      </c>
      <c r="D1775" s="3" t="s">
        <v>209</v>
      </c>
      <c r="E1775" s="4">
        <v>45752.423611111109</v>
      </c>
      <c r="F1775" s="4">
        <v>45781.405555555553</v>
      </c>
      <c r="G1775" s="4">
        <v>45781.536111111112</v>
      </c>
      <c r="H1775" s="5">
        <v>84</v>
      </c>
      <c r="I1775" s="3" t="s">
        <v>39</v>
      </c>
      <c r="J1775" s="3" t="s">
        <v>150</v>
      </c>
      <c r="K1775" s="5">
        <v>121</v>
      </c>
      <c r="L1775" s="5">
        <v>41</v>
      </c>
      <c r="M1775" s="3" t="s">
        <v>50</v>
      </c>
      <c r="N1775" t="s">
        <v>69</v>
      </c>
      <c r="P1775" s="3" t="s">
        <v>25</v>
      </c>
      <c r="Q1775" s="2">
        <v>60.52</v>
      </c>
      <c r="R1775" s="3" t="s">
        <v>58</v>
      </c>
      <c r="S1775">
        <f>COUNTIF(A:A,A1775)</f>
        <v>1</v>
      </c>
      <c r="T1775" t="str">
        <f>IF(OR(H1775="",LOWER(TRIM(H1775&amp;""))="missing",LOWER(TRIM(H1775&amp;""))=""),"Missing/",IFERROR(IF(OR(VALUE(H1775)&lt;0,VALUE(H1775)&gt;110),"Invalid","Valid"),"Check Format"))</f>
        <v>Valid</v>
      </c>
      <c r="U1775">
        <f>IF(Raw_Data[[#This Row],[Age_Check]]="Valid",H1775,"")</f>
        <v>84</v>
      </c>
      <c r="V1775" t="str">
        <f>IF(OR(K1775="",UPPER(TRIM(K1775&amp;""))="",LOWER(TRIM(K1775&amp;""))="",LOWER(TRIM(K1775&amp;""))="",LOWER(TRIM(K1775&amp;""))="missing"),"Missing/",IFERROR(IF(VALUE(K1775)&lt;0,"Invalid","Valid"),"Check Format"))</f>
        <v>Valid</v>
      </c>
      <c r="W1775" t="str">
        <f>IF(OR(E1775="",F1775=""),"Missing Date/Time",IFERROR(IF(F1775&gt;E1775,"Arrival After Appointment","OK"),"Check Format"))</f>
        <v>Arrival After Appointment</v>
      </c>
      <c r="X1775" t="str">
        <f>IF(OR(F1775="",G1775=""),"Missing Date/Time",IFERROR(IF(G1775&lt;F1775,"Discharge Before Arrival","OK"),"Check Format"))</f>
        <v>OK</v>
      </c>
    </row>
    <row r="1776" spans="1:24" x14ac:dyDescent="0.25">
      <c r="A1776" s="2" t="s">
        <v>2545</v>
      </c>
      <c r="B1776" s="2" t="s">
        <v>889</v>
      </c>
      <c r="C1776" s="3" t="s">
        <v>29</v>
      </c>
      <c r="D1776" s="3" t="s">
        <v>115</v>
      </c>
      <c r="E1776" s="4">
        <v>45327.684027777781</v>
      </c>
      <c r="G1776" s="4">
        <v>45327.743750000001</v>
      </c>
      <c r="H1776" s="5">
        <v>145</v>
      </c>
      <c r="I1776" s="3" t="s">
        <v>95</v>
      </c>
      <c r="J1776" s="3" t="s">
        <v>62</v>
      </c>
      <c r="K1776" s="5">
        <v>49</v>
      </c>
      <c r="L1776" s="5">
        <v>37</v>
      </c>
      <c r="M1776" s="3" t="s">
        <v>63</v>
      </c>
      <c r="N1776" t="s">
        <v>103</v>
      </c>
      <c r="P1776" s="3" t="s">
        <v>42</v>
      </c>
      <c r="Q1776" s="2">
        <v>310.45999999999998</v>
      </c>
      <c r="R1776" s="3" t="s">
        <v>26</v>
      </c>
      <c r="S1776">
        <f>COUNTIF(A:A,A1776)</f>
        <v>1</v>
      </c>
      <c r="T1776" t="str">
        <f>IF(OR(H1776="",LOWER(TRIM(H1776&amp;""))="missing",LOWER(TRIM(H1776&amp;""))=""),"Missing/",IFERROR(IF(OR(VALUE(H1776)&lt;0,VALUE(H1776)&gt;110),"Invalid","Valid"),"Check Format"))</f>
        <v>Invalid</v>
      </c>
      <c r="U1776" t="str">
        <f>IF(Raw_Data[[#This Row],[Age_Check]]="Valid",H1776,"")</f>
        <v/>
      </c>
      <c r="V1776" t="str">
        <f>IF(OR(K1776="",UPPER(TRIM(K1776&amp;""))="",LOWER(TRIM(K1776&amp;""))="",LOWER(TRIM(K1776&amp;""))="",LOWER(TRIM(K1776&amp;""))="missing"),"Missing/",IFERROR(IF(VALUE(K1776)&lt;0,"Invalid","Valid"),"Check Format"))</f>
        <v>Valid</v>
      </c>
      <c r="W1776" t="str">
        <f>IF(OR(E1776="",F1776=""),"Missing Date/Time",IFERROR(IF(F1776&gt;E1776,"Arrival After Appointment","OK"),"Check Format"))</f>
        <v>Missing Date/Time</v>
      </c>
      <c r="X1776" t="str">
        <f>IF(OR(F1776="",G1776=""),"Missing Date/Time",IFERROR(IF(G1776&lt;F1776,"Discharge Before Arrival","OK"),"Check Format"))</f>
        <v>Missing Date/Time</v>
      </c>
    </row>
    <row r="1777" spans="1:24" x14ac:dyDescent="0.25">
      <c r="A1777" s="2" t="s">
        <v>2546</v>
      </c>
      <c r="B1777" s="2" t="s">
        <v>460</v>
      </c>
      <c r="C1777" s="3" t="s">
        <v>19</v>
      </c>
      <c r="D1777" s="3" t="s">
        <v>61</v>
      </c>
      <c r="E1777" s="4">
        <v>45593.375</v>
      </c>
      <c r="F1777" s="4">
        <v>45593.354861111111</v>
      </c>
      <c r="G1777" s="4">
        <v>45593.418055555558</v>
      </c>
      <c r="I1777" s="3" t="s">
        <v>95</v>
      </c>
      <c r="J1777" s="3" t="s">
        <v>150</v>
      </c>
      <c r="K1777" s="5">
        <v>9</v>
      </c>
      <c r="L1777" s="5">
        <v>53</v>
      </c>
      <c r="M1777" s="3" t="s">
        <v>32</v>
      </c>
      <c r="N1777" t="s">
        <v>103</v>
      </c>
      <c r="O1777" s="5">
        <v>5</v>
      </c>
      <c r="P1777" s="3" t="s">
        <v>25</v>
      </c>
      <c r="Q1777" s="2">
        <v>159.38999999999999</v>
      </c>
      <c r="R1777" s="3" t="s">
        <v>58</v>
      </c>
      <c r="S1777">
        <f>COUNTIF(A:A,A1777)</f>
        <v>1</v>
      </c>
      <c r="T1777" t="str">
        <f>IF(OR(H1777="",LOWER(TRIM(H1777&amp;""))="missing",LOWER(TRIM(H1777&amp;""))=""),"Missing/",IFERROR(IF(OR(VALUE(H1777)&lt;0,VALUE(H1777)&gt;110),"Invalid","Valid"),"Check Format"))</f>
        <v>Missing/</v>
      </c>
      <c r="U1777" t="str">
        <f>IF(Raw_Data[[#This Row],[Age_Check]]="Valid",H1777,"")</f>
        <v/>
      </c>
      <c r="V1777" t="str">
        <f>IF(OR(K1777="",UPPER(TRIM(K1777&amp;""))="",LOWER(TRIM(K1777&amp;""))="",LOWER(TRIM(K1777&amp;""))="",LOWER(TRIM(K1777&amp;""))="missing"),"Missing/",IFERROR(IF(VALUE(K1777)&lt;0,"Invalid","Valid"),"Check Format"))</f>
        <v>Valid</v>
      </c>
      <c r="W1777" t="str">
        <f>IF(OR(E1777="",F1777=""),"Missing Date/Time",IFERROR(IF(F1777&gt;E1777,"Arrival After Appointment","OK"),"Check Format"))</f>
        <v>OK</v>
      </c>
      <c r="X1777" t="str">
        <f>IF(OR(F1777="",G1777=""),"Missing Date/Time",IFERROR(IF(G1777&lt;F1777,"Discharge Before Arrival","OK"),"Check Format"))</f>
        <v>OK</v>
      </c>
    </row>
    <row r="1778" spans="1:24" x14ac:dyDescent="0.25">
      <c r="A1778" s="2" t="s">
        <v>2547</v>
      </c>
      <c r="B1778" s="2" t="s">
        <v>903</v>
      </c>
      <c r="C1778" s="3" t="s">
        <v>46</v>
      </c>
      <c r="D1778" s="3" t="s">
        <v>209</v>
      </c>
      <c r="E1778" s="4">
        <v>45903.71875</v>
      </c>
      <c r="F1778" s="4">
        <v>45903.717361111114</v>
      </c>
      <c r="G1778" s="4">
        <v>45903.8</v>
      </c>
      <c r="J1778" s="3" t="s">
        <v>67</v>
      </c>
      <c r="K1778" s="5">
        <v>87</v>
      </c>
      <c r="L1778" s="5">
        <v>30</v>
      </c>
      <c r="M1778" s="3" t="s">
        <v>87</v>
      </c>
      <c r="N1778" t="s">
        <v>69</v>
      </c>
      <c r="O1778" s="5">
        <v>6</v>
      </c>
      <c r="P1778" s="3" t="s">
        <v>25</v>
      </c>
      <c r="Q1778" s="2">
        <v>77.61</v>
      </c>
      <c r="R1778" s="3" t="s">
        <v>75</v>
      </c>
      <c r="S1778">
        <f>COUNTIF(A:A,A1778)</f>
        <v>1</v>
      </c>
      <c r="T1778" t="str">
        <f>IF(OR(H1778="",LOWER(TRIM(H1778&amp;""))="missing",LOWER(TRIM(H1778&amp;""))=""),"Missing/",IFERROR(IF(OR(VALUE(H1778)&lt;0,VALUE(H1778)&gt;110),"Invalid","Valid"),"Check Format"))</f>
        <v>Missing/</v>
      </c>
      <c r="U1778" t="str">
        <f>IF(Raw_Data[[#This Row],[Age_Check]]="Valid",H1778,"")</f>
        <v/>
      </c>
      <c r="V1778" t="str">
        <f>IF(OR(K1778="",UPPER(TRIM(K1778&amp;""))="",LOWER(TRIM(K1778&amp;""))="",LOWER(TRIM(K1778&amp;""))="",LOWER(TRIM(K1778&amp;""))="missing"),"Missing/",IFERROR(IF(VALUE(K1778)&lt;0,"Invalid","Valid"),"Check Format"))</f>
        <v>Valid</v>
      </c>
      <c r="W1778" t="str">
        <f>IF(OR(E1778="",F1778=""),"Missing Date/Time",IFERROR(IF(F1778&gt;E1778,"Arrival After Appointment","OK"),"Check Format"))</f>
        <v>OK</v>
      </c>
      <c r="X1778" t="str">
        <f>IF(OR(F1778="",G1778=""),"Missing Date/Time",IFERROR(IF(G1778&lt;F1778,"Discharge Before Arrival","OK"),"Check Format"))</f>
        <v>OK</v>
      </c>
    </row>
    <row r="1779" spans="1:24" x14ac:dyDescent="0.25">
      <c r="A1779" s="2" t="s">
        <v>2548</v>
      </c>
      <c r="B1779" s="2" t="s">
        <v>1304</v>
      </c>
      <c r="C1779" s="3" t="s">
        <v>46</v>
      </c>
      <c r="D1779" s="3" t="s">
        <v>209</v>
      </c>
      <c r="E1779" s="4">
        <v>45444.291666666664</v>
      </c>
      <c r="F1779" s="4">
        <v>45297.286111111112</v>
      </c>
      <c r="G1779" s="4">
        <v>45297.379861111112</v>
      </c>
      <c r="I1779" s="3" t="s">
        <v>95</v>
      </c>
      <c r="J1779" s="3" t="s">
        <v>67</v>
      </c>
      <c r="K1779" s="5">
        <v>84</v>
      </c>
      <c r="L1779" s="5">
        <v>43</v>
      </c>
      <c r="M1779" s="3" t="s">
        <v>50</v>
      </c>
      <c r="N1779" t="s">
        <v>103</v>
      </c>
      <c r="P1779" s="3" t="s">
        <v>80</v>
      </c>
      <c r="Q1779" s="2">
        <v>222.76</v>
      </c>
      <c r="R1779" s="3" t="s">
        <v>58</v>
      </c>
      <c r="S1779">
        <f>COUNTIF(A:A,A1779)</f>
        <v>1</v>
      </c>
      <c r="T1779" t="str">
        <f>IF(OR(H1779="",LOWER(TRIM(H1779&amp;""))="missing",LOWER(TRIM(H1779&amp;""))=""),"Missing/",IFERROR(IF(OR(VALUE(H1779)&lt;0,VALUE(H1779)&gt;110),"Invalid","Valid"),"Check Format"))</f>
        <v>Missing/</v>
      </c>
      <c r="U1779" t="str">
        <f>IF(Raw_Data[[#This Row],[Age_Check]]="Valid",H1779,"")</f>
        <v/>
      </c>
      <c r="V1779" t="str">
        <f>IF(OR(K1779="",UPPER(TRIM(K1779&amp;""))="",LOWER(TRIM(K1779&amp;""))="",LOWER(TRIM(K1779&amp;""))="",LOWER(TRIM(K1779&amp;""))="missing"),"Missing/",IFERROR(IF(VALUE(K1779)&lt;0,"Invalid","Valid"),"Check Format"))</f>
        <v>Valid</v>
      </c>
      <c r="W1779" t="str">
        <f>IF(OR(E1779="",F1779=""),"Missing Date/Time",IFERROR(IF(F1779&gt;E1779,"Arrival After Appointment","OK"),"Check Format"))</f>
        <v>OK</v>
      </c>
      <c r="X1779" t="str">
        <f>IF(OR(F1779="",G1779=""),"Missing Date/Time",IFERROR(IF(G1779&lt;F1779,"Discharge Before Arrival","OK"),"Check Format"))</f>
        <v>OK</v>
      </c>
    </row>
    <row r="1780" spans="1:24" x14ac:dyDescent="0.25">
      <c r="A1780" s="2" t="s">
        <v>2549</v>
      </c>
      <c r="B1780" s="2" t="s">
        <v>1761</v>
      </c>
      <c r="C1780" s="3" t="s">
        <v>46</v>
      </c>
      <c r="D1780" s="3" t="s">
        <v>55</v>
      </c>
      <c r="E1780" s="4" t="s">
        <v>2550</v>
      </c>
      <c r="F1780" s="4">
        <v>45437.474999999999</v>
      </c>
      <c r="G1780" s="4">
        <v>45437.533333333333</v>
      </c>
      <c r="H1780" s="5">
        <v>145</v>
      </c>
      <c r="I1780" s="3" t="s">
        <v>39</v>
      </c>
      <c r="J1780" s="3" t="s">
        <v>67</v>
      </c>
      <c r="K1780" s="5">
        <v>57</v>
      </c>
      <c r="L1780" s="5">
        <v>21</v>
      </c>
      <c r="M1780" s="3" t="s">
        <v>23</v>
      </c>
      <c r="N1780" t="s">
        <v>100</v>
      </c>
      <c r="O1780" s="5">
        <v>1</v>
      </c>
      <c r="P1780" s="3" t="s">
        <v>42</v>
      </c>
      <c r="Q1780" s="2">
        <v>20.3</v>
      </c>
      <c r="R1780" s="3" t="s">
        <v>58</v>
      </c>
      <c r="S1780">
        <f>COUNTIF(A:A,A1780)</f>
        <v>1</v>
      </c>
      <c r="T1780" t="str">
        <f>IF(OR(H1780="",LOWER(TRIM(H1780&amp;""))="missing",LOWER(TRIM(H1780&amp;""))=""),"Missing/",IFERROR(IF(OR(VALUE(H1780)&lt;0,VALUE(H1780)&gt;110),"Invalid","Valid"),"Check Format"))</f>
        <v>Invalid</v>
      </c>
      <c r="U1780" t="str">
        <f>IF(Raw_Data[[#This Row],[Age_Check]]="Valid",H1780,"")</f>
        <v/>
      </c>
      <c r="V1780" t="str">
        <f>IF(OR(K1780="",UPPER(TRIM(K1780&amp;""))="",LOWER(TRIM(K1780&amp;""))="",LOWER(TRIM(K1780&amp;""))="",LOWER(TRIM(K1780&amp;""))="missing"),"Missing/",IFERROR(IF(VALUE(K1780)&lt;0,"Invalid","Valid"),"Check Format"))</f>
        <v>Valid</v>
      </c>
      <c r="W1780" t="str">
        <f>IF(OR(E1780="",F1780=""),"Missing Date/Time",IFERROR(IF(F1780&gt;E1780,"Arrival After Appointment","OK"),"Check Format"))</f>
        <v>OK</v>
      </c>
      <c r="X1780" t="str">
        <f>IF(OR(F1780="",G1780=""),"Missing Date/Time",IFERROR(IF(G1780&lt;F1780,"Discharge Before Arrival","OK"),"Check Format"))</f>
        <v>OK</v>
      </c>
    </row>
    <row r="1781" spans="1:24" x14ac:dyDescent="0.25">
      <c r="A1781" s="2" t="s">
        <v>2551</v>
      </c>
      <c r="B1781" s="2" t="s">
        <v>1304</v>
      </c>
      <c r="C1781" s="3" t="s">
        <v>46</v>
      </c>
      <c r="D1781" s="3" t="s">
        <v>149</v>
      </c>
      <c r="E1781" s="4" t="s">
        <v>2552</v>
      </c>
      <c r="F1781" s="4">
        <v>45862.704861111109</v>
      </c>
      <c r="G1781" s="4">
        <v>45862.798611111109</v>
      </c>
      <c r="I1781" s="3" t="s">
        <v>90</v>
      </c>
      <c r="J1781" s="3" t="s">
        <v>150</v>
      </c>
      <c r="K1781" s="5">
        <v>86</v>
      </c>
      <c r="L1781" s="5">
        <v>39</v>
      </c>
      <c r="M1781" s="3" t="s">
        <v>23</v>
      </c>
      <c r="N1781" t="s">
        <v>69</v>
      </c>
      <c r="O1781" s="5">
        <v>0</v>
      </c>
      <c r="Q1781" s="2">
        <v>67.739999999999995</v>
      </c>
      <c r="R1781" s="3" t="s">
        <v>58</v>
      </c>
      <c r="S1781">
        <f>COUNTIF(A:A,A1781)</f>
        <v>1</v>
      </c>
      <c r="T1781" t="str">
        <f>IF(OR(H1781="",LOWER(TRIM(H1781&amp;""))="missing",LOWER(TRIM(H1781&amp;""))=""),"Missing/",IFERROR(IF(OR(VALUE(H1781)&lt;0,VALUE(H1781)&gt;110),"Invalid","Valid"),"Check Format"))</f>
        <v>Missing/</v>
      </c>
      <c r="U1781" t="str">
        <f>IF(Raw_Data[[#This Row],[Age_Check]]="Valid",H1781,"")</f>
        <v/>
      </c>
      <c r="V1781" t="str">
        <f>IF(OR(K1781="",UPPER(TRIM(K1781&amp;""))="",LOWER(TRIM(K1781&amp;""))="",LOWER(TRIM(K1781&amp;""))="",LOWER(TRIM(K1781&amp;""))="missing"),"Missing/",IFERROR(IF(VALUE(K1781)&lt;0,"Invalid","Valid"),"Check Format"))</f>
        <v>Valid</v>
      </c>
      <c r="W1781" t="str">
        <f>IF(OR(E1781="",F1781=""),"Missing Date/Time",IFERROR(IF(F1781&gt;E1781,"Arrival After Appointment","OK"),"Check Format"))</f>
        <v>OK</v>
      </c>
      <c r="X1781" t="str">
        <f>IF(OR(F1781="",G1781=""),"Missing Date/Time",IFERROR(IF(G1781&lt;F1781,"Discharge Before Arrival","OK"),"Check Format"))</f>
        <v>OK</v>
      </c>
    </row>
    <row r="1782" spans="1:24" x14ac:dyDescent="0.25">
      <c r="A1782" s="2" t="s">
        <v>2553</v>
      </c>
      <c r="B1782" s="2" t="s">
        <v>89</v>
      </c>
      <c r="C1782" s="3" t="s">
        <v>19</v>
      </c>
      <c r="D1782" s="3" t="s">
        <v>38</v>
      </c>
      <c r="E1782" s="4">
        <v>45395.708333333336</v>
      </c>
      <c r="F1782" s="4">
        <v>45395.7</v>
      </c>
      <c r="G1782" s="4">
        <v>45395.751388888886</v>
      </c>
      <c r="I1782" s="3" t="s">
        <v>95</v>
      </c>
      <c r="J1782" s="3" t="s">
        <v>2639</v>
      </c>
      <c r="K1782" s="5">
        <v>39</v>
      </c>
      <c r="L1782" s="5">
        <v>23</v>
      </c>
      <c r="M1782" s="3" t="s">
        <v>23</v>
      </c>
      <c r="N1782" t="s">
        <v>69</v>
      </c>
      <c r="P1782" s="3" t="s">
        <v>25</v>
      </c>
      <c r="Q1782" s="2">
        <v>26.36</v>
      </c>
      <c r="R1782" s="3" t="s">
        <v>58</v>
      </c>
      <c r="S1782">
        <f>COUNTIF(A:A,A1782)</f>
        <v>1</v>
      </c>
      <c r="T1782" t="str">
        <f>IF(OR(H1782="",LOWER(TRIM(H1782&amp;""))="missing",LOWER(TRIM(H1782&amp;""))=""),"Missing/",IFERROR(IF(OR(VALUE(H1782)&lt;0,VALUE(H1782)&gt;110),"Invalid","Valid"),"Check Format"))</f>
        <v>Missing/</v>
      </c>
      <c r="U1782" t="str">
        <f>IF(Raw_Data[[#This Row],[Age_Check]]="Valid",H1782,"")</f>
        <v/>
      </c>
      <c r="V1782" t="str">
        <f>IF(OR(K1782="",UPPER(TRIM(K1782&amp;""))="",LOWER(TRIM(K1782&amp;""))="",LOWER(TRIM(K1782&amp;""))="",LOWER(TRIM(K1782&amp;""))="missing"),"Missing/",IFERROR(IF(VALUE(K1782)&lt;0,"Invalid","Valid"),"Check Format"))</f>
        <v>Valid</v>
      </c>
      <c r="W1782" t="str">
        <f>IF(OR(E1782="",F1782=""),"Missing Date/Time",IFERROR(IF(F1782&gt;E1782,"Arrival After Appointment","OK"),"Check Format"))</f>
        <v>OK</v>
      </c>
      <c r="X1782" t="str">
        <f>IF(OR(F1782="",G1782=""),"Missing Date/Time",IFERROR(IF(G1782&lt;F1782,"Discharge Before Arrival","OK"),"Check Format"))</f>
        <v>OK</v>
      </c>
    </row>
    <row r="1783" spans="1:24" x14ac:dyDescent="0.25">
      <c r="A1783" s="2" t="s">
        <v>2554</v>
      </c>
      <c r="B1783" s="2" t="s">
        <v>1002</v>
      </c>
      <c r="C1783" s="3" t="s">
        <v>19</v>
      </c>
      <c r="D1783" s="3" t="s">
        <v>66</v>
      </c>
      <c r="E1783" s="4">
        <v>45913.388888888891</v>
      </c>
      <c r="F1783" s="4">
        <v>45913.370138888888</v>
      </c>
      <c r="G1783" s="4">
        <v>45913.416666666664</v>
      </c>
      <c r="I1783" s="3" t="s">
        <v>95</v>
      </c>
      <c r="J1783" s="3" t="s">
        <v>22</v>
      </c>
      <c r="K1783" s="5">
        <v>29</v>
      </c>
      <c r="L1783" s="5">
        <v>11</v>
      </c>
      <c r="M1783" s="3" t="s">
        <v>63</v>
      </c>
      <c r="N1783" t="s">
        <v>103</v>
      </c>
      <c r="P1783" s="3" t="s">
        <v>80</v>
      </c>
      <c r="Q1783" s="2">
        <v>112</v>
      </c>
      <c r="R1783" s="3" t="s">
        <v>58</v>
      </c>
      <c r="S1783">
        <f>COUNTIF(A:A,A1783)</f>
        <v>1</v>
      </c>
      <c r="T1783" t="str">
        <f>IF(OR(H1783="",LOWER(TRIM(H1783&amp;""))="missing",LOWER(TRIM(H1783&amp;""))=""),"Missing/",IFERROR(IF(OR(VALUE(H1783)&lt;0,VALUE(H1783)&gt;110),"Invalid","Valid"),"Check Format"))</f>
        <v>Missing/</v>
      </c>
      <c r="U1783" t="str">
        <f>IF(Raw_Data[[#This Row],[Age_Check]]="Valid",H1783,"")</f>
        <v/>
      </c>
      <c r="V1783" t="str">
        <f>IF(OR(K1783="",UPPER(TRIM(K1783&amp;""))="",LOWER(TRIM(K1783&amp;""))="",LOWER(TRIM(K1783&amp;""))="",LOWER(TRIM(K1783&amp;""))="missing"),"Missing/",IFERROR(IF(VALUE(K1783)&lt;0,"Invalid","Valid"),"Check Format"))</f>
        <v>Valid</v>
      </c>
      <c r="W1783" t="str">
        <f>IF(OR(E1783="",F1783=""),"Missing Date/Time",IFERROR(IF(F1783&gt;E1783,"Arrival After Appointment","OK"),"Check Format"))</f>
        <v>OK</v>
      </c>
      <c r="X1783" t="str">
        <f>IF(OR(F1783="",G1783=""),"Missing Date/Time",IFERROR(IF(G1783&lt;F1783,"Discharge Before Arrival","OK"),"Check Format"))</f>
        <v>OK</v>
      </c>
    </row>
    <row r="1784" spans="1:24" x14ac:dyDescent="0.25">
      <c r="A1784" s="2" t="s">
        <v>2555</v>
      </c>
      <c r="B1784" s="2" t="s">
        <v>1160</v>
      </c>
      <c r="C1784" s="3" t="s">
        <v>46</v>
      </c>
      <c r="D1784" s="3" t="s">
        <v>23</v>
      </c>
      <c r="E1784" s="4">
        <v>45564.486111111109</v>
      </c>
      <c r="F1784" s="4">
        <v>45564.467361111114</v>
      </c>
      <c r="G1784" s="4">
        <v>45564.511805555558</v>
      </c>
      <c r="I1784" s="3" t="s">
        <v>73</v>
      </c>
      <c r="J1784" s="3" t="s">
        <v>22</v>
      </c>
      <c r="K1784" s="5">
        <v>32</v>
      </c>
      <c r="L1784" s="5">
        <v>5</v>
      </c>
      <c r="M1784" s="3" t="s">
        <v>68</v>
      </c>
      <c r="N1784" t="s">
        <v>103</v>
      </c>
      <c r="O1784" s="5">
        <v>0</v>
      </c>
      <c r="P1784" s="3" t="s">
        <v>25</v>
      </c>
      <c r="R1784" s="3" t="s">
        <v>58</v>
      </c>
      <c r="S1784">
        <f>COUNTIF(A:A,A1784)</f>
        <v>1</v>
      </c>
      <c r="T1784" t="str">
        <f>IF(OR(H1784="",LOWER(TRIM(H1784&amp;""))="missing",LOWER(TRIM(H1784&amp;""))=""),"Missing/",IFERROR(IF(OR(VALUE(H1784)&lt;0,VALUE(H1784)&gt;110),"Invalid","Valid"),"Check Format"))</f>
        <v>Missing/</v>
      </c>
      <c r="U1784" t="str">
        <f>IF(Raw_Data[[#This Row],[Age_Check]]="Valid",H1784,"")</f>
        <v/>
      </c>
      <c r="V1784" t="str">
        <f>IF(OR(K1784="",UPPER(TRIM(K1784&amp;""))="",LOWER(TRIM(K1784&amp;""))="",LOWER(TRIM(K1784&amp;""))="",LOWER(TRIM(K1784&amp;""))="missing"),"Missing/",IFERROR(IF(VALUE(K1784)&lt;0,"Invalid","Valid"),"Check Format"))</f>
        <v>Valid</v>
      </c>
      <c r="W1784" t="str">
        <f>IF(OR(E1784="",F1784=""),"Missing Date/Time",IFERROR(IF(F1784&gt;E1784,"Arrival After Appointment","OK"),"Check Format"))</f>
        <v>OK</v>
      </c>
      <c r="X1784" t="str">
        <f>IF(OR(F1784="",G1784=""),"Missing Date/Time",IFERROR(IF(G1784&lt;F1784,"Discharge Before Arrival","OK"),"Check Format"))</f>
        <v>OK</v>
      </c>
    </row>
    <row r="1785" spans="1:24" x14ac:dyDescent="0.25">
      <c r="A1785" s="2" t="s">
        <v>2556</v>
      </c>
      <c r="B1785" s="2" t="s">
        <v>366</v>
      </c>
      <c r="C1785" s="3" t="s">
        <v>46</v>
      </c>
      <c r="D1785" s="3" t="s">
        <v>106</v>
      </c>
      <c r="E1785" s="4">
        <v>45981.604166666664</v>
      </c>
      <c r="F1785" s="4">
        <v>45981.598611111112</v>
      </c>
      <c r="G1785" s="4">
        <v>45981.730555555558</v>
      </c>
      <c r="H1785" s="5">
        <v>145</v>
      </c>
      <c r="I1785" s="3" t="s">
        <v>73</v>
      </c>
      <c r="J1785" s="3" t="s">
        <v>22</v>
      </c>
      <c r="K1785" s="5">
        <v>128</v>
      </c>
      <c r="L1785" s="5">
        <v>54</v>
      </c>
      <c r="M1785" s="3" t="s">
        <v>32</v>
      </c>
      <c r="N1785" t="s">
        <v>100</v>
      </c>
      <c r="O1785" s="5">
        <v>6</v>
      </c>
      <c r="P1785" s="3" t="s">
        <v>25</v>
      </c>
      <c r="Q1785" s="2">
        <v>82.68</v>
      </c>
      <c r="R1785" s="3" t="s">
        <v>58</v>
      </c>
      <c r="S1785">
        <f>COUNTIF(A:A,A1785)</f>
        <v>1</v>
      </c>
      <c r="T1785" t="str">
        <f>IF(OR(H1785="",LOWER(TRIM(H1785&amp;""))="missing",LOWER(TRIM(H1785&amp;""))=""),"Missing/",IFERROR(IF(OR(VALUE(H1785)&lt;0,VALUE(H1785)&gt;110),"Invalid","Valid"),"Check Format"))</f>
        <v>Invalid</v>
      </c>
      <c r="U1785" t="str">
        <f>IF(Raw_Data[[#This Row],[Age_Check]]="Valid",H1785,"")</f>
        <v/>
      </c>
      <c r="V1785" t="str">
        <f>IF(OR(K1785="",UPPER(TRIM(K1785&amp;""))="",LOWER(TRIM(K1785&amp;""))="",LOWER(TRIM(K1785&amp;""))="",LOWER(TRIM(K1785&amp;""))="missing"),"Missing/",IFERROR(IF(VALUE(K1785)&lt;0,"Invalid","Valid"),"Check Format"))</f>
        <v>Valid</v>
      </c>
      <c r="W1785" t="str">
        <f>IF(OR(E1785="",F1785=""),"Missing Date/Time",IFERROR(IF(F1785&gt;E1785,"Arrival After Appointment","OK"),"Check Format"))</f>
        <v>OK</v>
      </c>
      <c r="X1785" t="str">
        <f>IF(OR(F1785="",G1785=""),"Missing Date/Time",IFERROR(IF(G1785&lt;F1785,"Discharge Before Arrival","OK"),"Check Format"))</f>
        <v>OK</v>
      </c>
    </row>
    <row r="1786" spans="1:24" x14ac:dyDescent="0.25">
      <c r="A1786" s="2" t="s">
        <v>2557</v>
      </c>
      <c r="B1786" s="2" t="s">
        <v>77</v>
      </c>
      <c r="C1786" s="3" t="s">
        <v>29</v>
      </c>
      <c r="D1786" s="3" t="s">
        <v>149</v>
      </c>
      <c r="E1786" s="4">
        <v>45701.329861111109</v>
      </c>
      <c r="F1786" s="4">
        <v>45701.311805555553</v>
      </c>
      <c r="G1786" s="4">
        <v>45701.40347222222</v>
      </c>
      <c r="J1786" s="3" t="s">
        <v>62</v>
      </c>
      <c r="K1786" s="5">
        <v>67</v>
      </c>
      <c r="L1786" s="5">
        <v>39</v>
      </c>
      <c r="M1786" s="3" t="s">
        <v>50</v>
      </c>
      <c r="N1786" t="s">
        <v>100</v>
      </c>
      <c r="O1786" s="5">
        <v>6</v>
      </c>
      <c r="P1786" s="3" t="s">
        <v>80</v>
      </c>
      <c r="Q1786" s="2">
        <v>240.29</v>
      </c>
      <c r="R1786" s="3" t="s">
        <v>58</v>
      </c>
      <c r="S1786">
        <f>COUNTIF(A:A,A1786)</f>
        <v>1</v>
      </c>
      <c r="T1786" t="str">
        <f>IF(OR(H1786="",LOWER(TRIM(H1786&amp;""))="missing",LOWER(TRIM(H1786&amp;""))=""),"Missing/",IFERROR(IF(OR(VALUE(H1786)&lt;0,VALUE(H1786)&gt;110),"Invalid","Valid"),"Check Format"))</f>
        <v>Missing/</v>
      </c>
      <c r="U1786" t="str">
        <f>IF(Raw_Data[[#This Row],[Age_Check]]="Valid",H1786,"")</f>
        <v/>
      </c>
      <c r="V1786" t="str">
        <f>IF(OR(K1786="",UPPER(TRIM(K1786&amp;""))="",LOWER(TRIM(K1786&amp;""))="",LOWER(TRIM(K1786&amp;""))="",LOWER(TRIM(K1786&amp;""))="missing"),"Missing/",IFERROR(IF(VALUE(K1786)&lt;0,"Invalid","Valid"),"Check Format"))</f>
        <v>Valid</v>
      </c>
      <c r="W1786" t="str">
        <f>IF(OR(E1786="",F1786=""),"Missing Date/Time",IFERROR(IF(F1786&gt;E1786,"Arrival After Appointment","OK"),"Check Format"))</f>
        <v>OK</v>
      </c>
      <c r="X1786" t="str">
        <f>IF(OR(F1786="",G1786=""),"Missing Date/Time",IFERROR(IF(G1786&lt;F1786,"Discharge Before Arrival","OK"),"Check Format"))</f>
        <v>OK</v>
      </c>
    </row>
    <row r="1787" spans="1:24" x14ac:dyDescent="0.25">
      <c r="A1787" s="2" t="s">
        <v>2558</v>
      </c>
      <c r="B1787" s="2" t="s">
        <v>616</v>
      </c>
      <c r="C1787" s="3" t="s">
        <v>37</v>
      </c>
      <c r="D1787" s="3" t="s">
        <v>23</v>
      </c>
      <c r="E1787" s="4">
        <v>45720.53125</v>
      </c>
      <c r="F1787" s="4">
        <v>45750.515277777777</v>
      </c>
      <c r="G1787" s="4">
        <v>45750.586805555555</v>
      </c>
      <c r="I1787" s="3" t="s">
        <v>95</v>
      </c>
      <c r="J1787" s="3" t="s">
        <v>62</v>
      </c>
      <c r="K1787" s="5">
        <v>29</v>
      </c>
      <c r="L1787" s="5">
        <v>51</v>
      </c>
      <c r="M1787" s="3" t="s">
        <v>63</v>
      </c>
      <c r="N1787" t="s">
        <v>103</v>
      </c>
      <c r="O1787" s="5">
        <v>0</v>
      </c>
      <c r="Q1787" s="2">
        <v>101.17</v>
      </c>
      <c r="R1787" s="3" t="s">
        <v>75</v>
      </c>
      <c r="S1787">
        <f>COUNTIF(A:A,A1787)</f>
        <v>1</v>
      </c>
      <c r="T1787" t="str">
        <f>IF(OR(H1787="",LOWER(TRIM(H1787&amp;""))="missing",LOWER(TRIM(H1787&amp;""))=""),"Missing/",IFERROR(IF(OR(VALUE(H1787)&lt;0,VALUE(H1787)&gt;110),"Invalid","Valid"),"Check Format"))</f>
        <v>Missing/</v>
      </c>
      <c r="U1787" t="str">
        <f>IF(Raw_Data[[#This Row],[Age_Check]]="Valid",H1787,"")</f>
        <v/>
      </c>
      <c r="V1787" t="str">
        <f>IF(OR(K1787="",UPPER(TRIM(K1787&amp;""))="",LOWER(TRIM(K1787&amp;""))="",LOWER(TRIM(K1787&amp;""))="",LOWER(TRIM(K1787&amp;""))="missing"),"Missing/",IFERROR(IF(VALUE(K1787)&lt;0,"Invalid","Valid"),"Check Format"))</f>
        <v>Valid</v>
      </c>
      <c r="W1787" t="str">
        <f>IF(OR(E1787="",F1787=""),"Missing Date/Time",IFERROR(IF(F1787&gt;E1787,"Arrival After Appointment","OK"),"Check Format"))</f>
        <v>Arrival After Appointment</v>
      </c>
      <c r="X1787" t="str">
        <f>IF(OR(F1787="",G1787=""),"Missing Date/Time",IFERROR(IF(G1787&lt;F1787,"Discharge Before Arrival","OK"),"Check Format"))</f>
        <v>OK</v>
      </c>
    </row>
    <row r="1788" spans="1:24" x14ac:dyDescent="0.25">
      <c r="A1788" s="2" t="s">
        <v>2051</v>
      </c>
      <c r="B1788" s="2" t="s">
        <v>1083</v>
      </c>
      <c r="C1788" s="3" t="s">
        <v>46</v>
      </c>
      <c r="D1788" s="3" t="s">
        <v>20</v>
      </c>
      <c r="E1788" s="4">
        <v>45325.628472222219</v>
      </c>
      <c r="F1788" s="4">
        <v>45325.611805555556</v>
      </c>
      <c r="G1788" s="4">
        <v>45325.665972222225</v>
      </c>
      <c r="J1788" s="3" t="s">
        <v>62</v>
      </c>
      <c r="K1788" s="5">
        <v>18</v>
      </c>
      <c r="L1788" s="5">
        <v>36</v>
      </c>
      <c r="M1788" s="3" t="s">
        <v>63</v>
      </c>
      <c r="P1788" s="3" t="s">
        <v>80</v>
      </c>
      <c r="Q1788" s="2">
        <v>0</v>
      </c>
      <c r="R1788" s="3" t="s">
        <v>58</v>
      </c>
      <c r="S1788">
        <f>COUNTIF(A:A,A1788)</f>
        <v>2</v>
      </c>
      <c r="T1788" t="str">
        <f>IF(OR(H1788="",LOWER(TRIM(H1788&amp;""))="missing",LOWER(TRIM(H1788&amp;""))=""),"Missing/",IFERROR(IF(OR(VALUE(H1788)&lt;0,VALUE(H1788)&gt;110),"Invalid","Valid"),"Check Format"))</f>
        <v>Missing/</v>
      </c>
      <c r="U1788" t="str">
        <f>IF(Raw_Data[[#This Row],[Age_Check]]="Valid",H1788,"")</f>
        <v/>
      </c>
      <c r="V1788" t="str">
        <f>IF(OR(K1788="",UPPER(TRIM(K1788&amp;""))="",LOWER(TRIM(K1788&amp;""))="",LOWER(TRIM(K1788&amp;""))="",LOWER(TRIM(K1788&amp;""))="missing"),"Missing/",IFERROR(IF(VALUE(K1788)&lt;0,"Invalid","Valid"),"Check Format"))</f>
        <v>Valid</v>
      </c>
      <c r="W1788" t="str">
        <f>IF(OR(E1788="",F1788=""),"Missing Date/Time",IFERROR(IF(F1788&gt;E1788,"Arrival After Appointment","OK"),"Check Format"))</f>
        <v>OK</v>
      </c>
      <c r="X1788" t="str">
        <f>IF(OR(F1788="",G1788=""),"Missing Date/Time",IFERROR(IF(G1788&lt;F1788,"Discharge Before Arrival","OK"),"Check Format"))</f>
        <v>OK</v>
      </c>
    </row>
    <row r="1789" spans="1:24" x14ac:dyDescent="0.25">
      <c r="A1789" s="2" t="s">
        <v>2559</v>
      </c>
      <c r="B1789" s="2" t="s">
        <v>467</v>
      </c>
      <c r="C1789" s="3" t="s">
        <v>94</v>
      </c>
      <c r="D1789" s="3" t="s">
        <v>61</v>
      </c>
      <c r="E1789" s="4">
        <v>45323.666666666664</v>
      </c>
      <c r="F1789" s="4">
        <v>45323.645833333336</v>
      </c>
      <c r="G1789" s="4">
        <v>45323.724305555559</v>
      </c>
      <c r="H1789" s="5">
        <v>47</v>
      </c>
      <c r="I1789" s="3" t="s">
        <v>73</v>
      </c>
      <c r="J1789" s="3" t="s">
        <v>67</v>
      </c>
      <c r="K1789" s="5">
        <v>65</v>
      </c>
      <c r="L1789" s="5">
        <v>18</v>
      </c>
      <c r="N1789" t="s">
        <v>91</v>
      </c>
      <c r="O1789" s="5">
        <v>0</v>
      </c>
      <c r="P1789" s="3" t="s">
        <v>42</v>
      </c>
      <c r="R1789" s="3" t="s">
        <v>58</v>
      </c>
      <c r="S1789">
        <f>COUNTIF(A:A,A1789)</f>
        <v>1</v>
      </c>
      <c r="T1789" t="str">
        <f>IF(OR(H1789="",LOWER(TRIM(H1789&amp;""))="missing",LOWER(TRIM(H1789&amp;""))=""),"Missing/",IFERROR(IF(OR(VALUE(H1789)&lt;0,VALUE(H1789)&gt;110),"Invalid","Valid"),"Check Format"))</f>
        <v>Valid</v>
      </c>
      <c r="U1789">
        <f>IF(Raw_Data[[#This Row],[Age_Check]]="Valid",H1789,"")</f>
        <v>47</v>
      </c>
      <c r="V1789" t="str">
        <f>IF(OR(K1789="",UPPER(TRIM(K1789&amp;""))="",LOWER(TRIM(K1789&amp;""))="",LOWER(TRIM(K1789&amp;""))="",LOWER(TRIM(K1789&amp;""))="missing"),"Missing/",IFERROR(IF(VALUE(K1789)&lt;0,"Invalid","Valid"),"Check Format"))</f>
        <v>Valid</v>
      </c>
      <c r="W1789" t="str">
        <f>IF(OR(E1789="",F1789=""),"Missing Date/Time",IFERROR(IF(F1789&gt;E1789,"Arrival After Appointment","OK"),"Check Format"))</f>
        <v>OK</v>
      </c>
      <c r="X1789" t="str">
        <f>IF(OR(F1789="",G1789=""),"Missing Date/Time",IFERROR(IF(G1789&lt;F1789,"Discharge Before Arrival","OK"),"Check Format"))</f>
        <v>OK</v>
      </c>
    </row>
    <row r="1790" spans="1:24" x14ac:dyDescent="0.25">
      <c r="A1790" s="2" t="s">
        <v>2051</v>
      </c>
      <c r="B1790" s="2" t="s">
        <v>1734</v>
      </c>
      <c r="C1790" s="3" t="s">
        <v>94</v>
      </c>
      <c r="D1790" s="3" t="s">
        <v>209</v>
      </c>
      <c r="E1790" s="4">
        <v>45876.538194444445</v>
      </c>
      <c r="F1790" s="4">
        <v>45876.530555555553</v>
      </c>
      <c r="G1790" s="4">
        <v>45876.606944444444</v>
      </c>
      <c r="I1790" s="3" t="s">
        <v>95</v>
      </c>
      <c r="J1790" s="3" t="s">
        <v>150</v>
      </c>
      <c r="K1790" s="5">
        <v>77</v>
      </c>
      <c r="L1790" s="5">
        <v>22</v>
      </c>
      <c r="M1790" s="3" t="s">
        <v>41</v>
      </c>
      <c r="N1790" t="s">
        <v>103</v>
      </c>
      <c r="Q1790" s="2">
        <v>298.88</v>
      </c>
      <c r="R1790" s="3" t="s">
        <v>75</v>
      </c>
      <c r="S1790">
        <f>COUNTIF(A:A,A1790)</f>
        <v>2</v>
      </c>
      <c r="T1790" t="str">
        <f>IF(OR(H1790="",LOWER(TRIM(H1790&amp;""))="missing",LOWER(TRIM(H1790&amp;""))=""),"Missing/",IFERROR(IF(OR(VALUE(H1790)&lt;0,VALUE(H1790)&gt;110),"Invalid","Valid"),"Check Format"))</f>
        <v>Missing/</v>
      </c>
      <c r="U1790" t="str">
        <f>IF(Raw_Data[[#This Row],[Age_Check]]="Valid",H1790,"")</f>
        <v/>
      </c>
      <c r="V1790" t="str">
        <f>IF(OR(K1790="",UPPER(TRIM(K1790&amp;""))="",LOWER(TRIM(K1790&amp;""))="",LOWER(TRIM(K1790&amp;""))="",LOWER(TRIM(K1790&amp;""))="missing"),"Missing/",IFERROR(IF(VALUE(K1790)&lt;0,"Invalid","Valid"),"Check Format"))</f>
        <v>Valid</v>
      </c>
      <c r="W1790" t="str">
        <f>IF(OR(E1790="",F1790=""),"Missing Date/Time",IFERROR(IF(F1790&gt;E1790,"Arrival After Appointment","OK"),"Check Format"))</f>
        <v>OK</v>
      </c>
      <c r="X1790" t="str">
        <f>IF(OR(F1790="",G1790=""),"Missing Date/Time",IFERROR(IF(G1790&lt;F1790,"Discharge Before Arrival","OK"),"Check Format"))</f>
        <v>OK</v>
      </c>
    </row>
    <row r="1791" spans="1:24" x14ac:dyDescent="0.25">
      <c r="A1791" s="2" t="s">
        <v>2071</v>
      </c>
      <c r="B1791" s="2" t="s">
        <v>256</v>
      </c>
      <c r="C1791" s="3" t="s">
        <v>29</v>
      </c>
      <c r="D1791" s="3" t="s">
        <v>47</v>
      </c>
      <c r="E1791" s="4">
        <v>45440.732638888891</v>
      </c>
      <c r="F1791" s="4">
        <v>45440.727083333331</v>
      </c>
      <c r="G1791" s="4">
        <v>45440.788888888892</v>
      </c>
      <c r="H1791" s="5">
        <v>145</v>
      </c>
      <c r="I1791" s="3" t="s">
        <v>73</v>
      </c>
      <c r="J1791" s="3" t="s">
        <v>2639</v>
      </c>
      <c r="K1791" s="5">
        <v>50</v>
      </c>
      <c r="L1791" s="5">
        <v>31</v>
      </c>
      <c r="M1791" s="3" t="s">
        <v>87</v>
      </c>
      <c r="N1791" t="s">
        <v>24</v>
      </c>
      <c r="O1791" s="5">
        <v>6</v>
      </c>
      <c r="P1791" s="3" t="s">
        <v>25</v>
      </c>
      <c r="Q1791" s="2">
        <v>89.89</v>
      </c>
      <c r="R1791" s="3" t="s">
        <v>26</v>
      </c>
      <c r="S1791">
        <f>COUNTIF(A:A,A1791)</f>
        <v>2</v>
      </c>
      <c r="T1791" t="str">
        <f>IF(OR(H1791="",LOWER(TRIM(H1791&amp;""))="missing",LOWER(TRIM(H1791&amp;""))=""),"Missing/",IFERROR(IF(OR(VALUE(H1791)&lt;0,VALUE(H1791)&gt;110),"Invalid","Valid"),"Check Format"))</f>
        <v>Invalid</v>
      </c>
      <c r="U1791" t="str">
        <f>IF(Raw_Data[[#This Row],[Age_Check]]="Valid",H1791,"")</f>
        <v/>
      </c>
      <c r="V1791" t="str">
        <f>IF(OR(K1791="",UPPER(TRIM(K1791&amp;""))="",LOWER(TRIM(K1791&amp;""))="",LOWER(TRIM(K1791&amp;""))="",LOWER(TRIM(K1791&amp;""))="missing"),"Missing/",IFERROR(IF(VALUE(K1791)&lt;0,"Invalid","Valid"),"Check Format"))</f>
        <v>Valid</v>
      </c>
      <c r="W1791" t="str">
        <f>IF(OR(E1791="",F1791=""),"Missing Date/Time",IFERROR(IF(F1791&gt;E1791,"Arrival After Appointment","OK"),"Check Format"))</f>
        <v>OK</v>
      </c>
      <c r="X1791" t="str">
        <f>IF(OR(F1791="",G1791=""),"Missing Date/Time",IFERROR(IF(G1791&lt;F1791,"Discharge Before Arrival","OK"),"Check Format"))</f>
        <v>OK</v>
      </c>
    </row>
    <row r="1792" spans="1:24" x14ac:dyDescent="0.25">
      <c r="A1792" s="2" t="s">
        <v>2071</v>
      </c>
      <c r="B1792" s="2" t="s">
        <v>1724</v>
      </c>
      <c r="C1792" s="3" t="s">
        <v>94</v>
      </c>
      <c r="D1792" s="3" t="s">
        <v>66</v>
      </c>
      <c r="E1792" s="4" t="s">
        <v>2072</v>
      </c>
      <c r="F1792" s="4">
        <v>45673.284722222219</v>
      </c>
      <c r="G1792" s="4">
        <v>45673.378472222219</v>
      </c>
      <c r="I1792" s="3" t="s">
        <v>95</v>
      </c>
      <c r="J1792" s="3" t="s">
        <v>171</v>
      </c>
      <c r="K1792" s="5">
        <v>65</v>
      </c>
      <c r="L1792" s="5">
        <v>45</v>
      </c>
      <c r="M1792" s="3" t="s">
        <v>68</v>
      </c>
      <c r="N1792" t="s">
        <v>91</v>
      </c>
      <c r="O1792" s="5">
        <v>0</v>
      </c>
      <c r="P1792" s="3" t="s">
        <v>80</v>
      </c>
      <c r="Q1792" s="2">
        <v>15.73</v>
      </c>
      <c r="R1792" s="3" t="s">
        <v>26</v>
      </c>
      <c r="S1792">
        <f>COUNTIF(A:A,A1792)</f>
        <v>2</v>
      </c>
      <c r="T1792" t="str">
        <f>IF(OR(H1792="",LOWER(TRIM(H1792&amp;""))="missing",LOWER(TRIM(H1792&amp;""))=""),"Missing/",IFERROR(IF(OR(VALUE(H1792)&lt;0,VALUE(H1792)&gt;110),"Invalid","Valid"),"Check Format"))</f>
        <v>Missing/</v>
      </c>
      <c r="U1792" t="str">
        <f>IF(Raw_Data[[#This Row],[Age_Check]]="Valid",H1792,"")</f>
        <v/>
      </c>
      <c r="V1792" t="str">
        <f>IF(OR(K1792="",UPPER(TRIM(K1792&amp;""))="",LOWER(TRIM(K1792&amp;""))="",LOWER(TRIM(K1792&amp;""))="",LOWER(TRIM(K1792&amp;""))="missing"),"Missing/",IFERROR(IF(VALUE(K1792)&lt;0,"Invalid","Valid"),"Check Format"))</f>
        <v>Valid</v>
      </c>
      <c r="W1792" t="str">
        <f>IF(OR(E1792="",F1792=""),"Missing Date/Time",IFERROR(IF(F1792&gt;E1792,"Arrival After Appointment","OK"),"Check Format"))</f>
        <v>OK</v>
      </c>
      <c r="X1792" t="str">
        <f>IF(OR(F1792="",G1792=""),"Missing Date/Time",IFERROR(IF(G1792&lt;F1792,"Discharge Before Arrival","OK"),"Check Format"))</f>
        <v>OK</v>
      </c>
    </row>
    <row r="1793" spans="1:24" x14ac:dyDescent="0.25">
      <c r="A1793" s="2" t="s">
        <v>2103</v>
      </c>
      <c r="B1793" s="2" t="s">
        <v>564</v>
      </c>
      <c r="C1793" s="3" t="s">
        <v>46</v>
      </c>
      <c r="D1793" s="3" t="s">
        <v>209</v>
      </c>
      <c r="E1793" s="4">
        <v>45523.753472222219</v>
      </c>
      <c r="F1793" s="4">
        <v>45523.741666666669</v>
      </c>
      <c r="G1793" s="4">
        <v>45523.790972222225</v>
      </c>
      <c r="H1793" s="5">
        <v>65</v>
      </c>
      <c r="I1793" s="3" t="s">
        <v>90</v>
      </c>
      <c r="J1793" s="3" t="s">
        <v>22</v>
      </c>
      <c r="K1793" s="5">
        <v>49</v>
      </c>
      <c r="L1793" s="5">
        <v>5</v>
      </c>
      <c r="M1793" s="3" t="s">
        <v>50</v>
      </c>
      <c r="N1793" t="s">
        <v>24</v>
      </c>
      <c r="O1793" s="5">
        <v>6</v>
      </c>
      <c r="P1793" s="3" t="s">
        <v>80</v>
      </c>
      <c r="Q1793" s="2">
        <v>108.62</v>
      </c>
      <c r="R1793" s="3" t="s">
        <v>75</v>
      </c>
      <c r="S1793">
        <f>COUNTIF(A:A,A1793)</f>
        <v>1</v>
      </c>
      <c r="T1793" t="str">
        <f>IF(OR(H1793="",LOWER(TRIM(H1793&amp;""))="missing",LOWER(TRIM(H1793&amp;""))=""),"Missing/",IFERROR(IF(OR(VALUE(H1793)&lt;0,VALUE(H1793)&gt;110),"Invalid","Valid"),"Check Format"))</f>
        <v>Valid</v>
      </c>
      <c r="U1793">
        <f>IF(Raw_Data[[#This Row],[Age_Check]]="Valid",H1793,"")</f>
        <v>65</v>
      </c>
      <c r="V1793" t="str">
        <f>IF(OR(K1793="",UPPER(TRIM(K1793&amp;""))="",LOWER(TRIM(K1793&amp;""))="",LOWER(TRIM(K1793&amp;""))="",LOWER(TRIM(K1793&amp;""))="missing"),"Missing/",IFERROR(IF(VALUE(K1793)&lt;0,"Invalid","Valid"),"Check Format"))</f>
        <v>Valid</v>
      </c>
      <c r="W1793" t="str">
        <f>IF(OR(E1793="",F1793=""),"Missing Date/Time",IFERROR(IF(F1793&gt;E1793,"Arrival After Appointment","OK"),"Check Format"))</f>
        <v>OK</v>
      </c>
      <c r="X1793" t="str">
        <f>IF(OR(F1793="",G1793=""),"Missing Date/Time",IFERROR(IF(G1793&lt;F1793,"Discharge Before Arrival","OK"),"Check Format"))</f>
        <v>OK</v>
      </c>
    </row>
    <row r="1794" spans="1:24" x14ac:dyDescent="0.25">
      <c r="A1794" s="2" t="s">
        <v>2129</v>
      </c>
      <c r="B1794" s="2" t="s">
        <v>697</v>
      </c>
      <c r="C1794" s="3" t="s">
        <v>94</v>
      </c>
      <c r="D1794" s="3" t="s">
        <v>209</v>
      </c>
      <c r="E1794" s="4">
        <v>45491.555555555555</v>
      </c>
      <c r="F1794" s="4">
        <v>45491.545138888891</v>
      </c>
      <c r="G1794" s="4">
        <v>45491.620833333334</v>
      </c>
      <c r="I1794" s="3" t="s">
        <v>39</v>
      </c>
      <c r="J1794" s="3" t="s">
        <v>22</v>
      </c>
      <c r="K1794" s="5">
        <v>57</v>
      </c>
      <c r="L1794" s="5">
        <v>37</v>
      </c>
      <c r="N1794" t="s">
        <v>103</v>
      </c>
      <c r="O1794" s="5">
        <v>0</v>
      </c>
      <c r="P1794" s="3" t="s">
        <v>42</v>
      </c>
      <c r="Q1794" s="2">
        <v>290.07</v>
      </c>
      <c r="R1794" s="3" t="s">
        <v>58</v>
      </c>
      <c r="S1794">
        <f>COUNTIF(A:A,A1794)</f>
        <v>1</v>
      </c>
      <c r="T1794" t="str">
        <f>IF(OR(H1794="",LOWER(TRIM(H1794&amp;""))="missing",LOWER(TRIM(H1794&amp;""))=""),"Missing/",IFERROR(IF(OR(VALUE(H1794)&lt;0,VALUE(H1794)&gt;110),"Invalid","Valid"),"Check Format"))</f>
        <v>Missing/</v>
      </c>
      <c r="U1794" t="str">
        <f>IF(Raw_Data[[#This Row],[Age_Check]]="Valid",H1794,"")</f>
        <v/>
      </c>
      <c r="V1794" t="str">
        <f>IF(OR(K1794="",UPPER(TRIM(K1794&amp;""))="",LOWER(TRIM(K1794&amp;""))="",LOWER(TRIM(K1794&amp;""))="",LOWER(TRIM(K1794&amp;""))="missing"),"Missing/",IFERROR(IF(VALUE(K1794)&lt;0,"Invalid","Valid"),"Check Format"))</f>
        <v>Valid</v>
      </c>
      <c r="W1794" t="str">
        <f>IF(OR(E1794="",F1794=""),"Missing Date/Time",IFERROR(IF(F1794&gt;E1794,"Arrival After Appointment","OK"),"Check Format"))</f>
        <v>OK</v>
      </c>
      <c r="X1794" t="str">
        <f>IF(OR(F1794="",G1794=""),"Missing Date/Time",IFERROR(IF(G1794&lt;F1794,"Discharge Before Arrival","OK"),"Check Format"))</f>
        <v>OK</v>
      </c>
    </row>
    <row r="1795" spans="1:24" x14ac:dyDescent="0.25">
      <c r="A1795" s="2" t="s">
        <v>2169</v>
      </c>
      <c r="B1795" s="2" t="s">
        <v>1137</v>
      </c>
      <c r="C1795" s="3" t="s">
        <v>29</v>
      </c>
      <c r="D1795" s="3" t="s">
        <v>55</v>
      </c>
      <c r="E1795" s="4">
        <v>45336.309027777781</v>
      </c>
      <c r="F1795" s="4">
        <v>45336.290972222225</v>
      </c>
      <c r="G1795" s="4">
        <v>45336.405555555553</v>
      </c>
      <c r="I1795" s="3" t="s">
        <v>39</v>
      </c>
      <c r="J1795" s="3" t="s">
        <v>171</v>
      </c>
      <c r="K1795" s="5">
        <v>70</v>
      </c>
      <c r="L1795" s="5">
        <v>69</v>
      </c>
      <c r="M1795" s="3" t="s">
        <v>87</v>
      </c>
      <c r="N1795" t="s">
        <v>91</v>
      </c>
      <c r="O1795" s="5">
        <v>2</v>
      </c>
      <c r="P1795" s="3" t="s">
        <v>42</v>
      </c>
      <c r="Q1795" s="2">
        <v>24.05</v>
      </c>
      <c r="R1795" s="3" t="s">
        <v>26</v>
      </c>
      <c r="S1795">
        <f>COUNTIF(A:A,A1795)</f>
        <v>1</v>
      </c>
      <c r="T1795" t="str">
        <f>IF(OR(H1795="",LOWER(TRIM(H1795&amp;""))="missing",LOWER(TRIM(H1795&amp;""))=""),"Missing/",IFERROR(IF(OR(VALUE(H1795)&lt;0,VALUE(H1795)&gt;110),"Invalid","Valid"),"Check Format"))</f>
        <v>Missing/</v>
      </c>
      <c r="U1795" t="str">
        <f>IF(Raw_Data[[#This Row],[Age_Check]]="Valid",H1795,"")</f>
        <v/>
      </c>
      <c r="V1795" t="str">
        <f>IF(OR(K1795="",UPPER(TRIM(K1795&amp;""))="",LOWER(TRIM(K1795&amp;""))="",LOWER(TRIM(K1795&amp;""))="",LOWER(TRIM(K1795&amp;""))="missing"),"Missing/",IFERROR(IF(VALUE(K1795)&lt;0,"Invalid","Valid"),"Check Format"))</f>
        <v>Valid</v>
      </c>
      <c r="W1795" t="str">
        <f>IF(OR(E1795="",F1795=""),"Missing Date/Time",IFERROR(IF(F1795&gt;E1795,"Arrival After Appointment","OK"),"Check Format"))</f>
        <v>OK</v>
      </c>
      <c r="X1795" t="str">
        <f>IF(OR(F1795="",G1795=""),"Missing Date/Time",IFERROR(IF(G1795&lt;F1795,"Discharge Before Arrival","OK"),"Check Format"))</f>
        <v>OK</v>
      </c>
    </row>
    <row r="1796" spans="1:24" x14ac:dyDescent="0.25">
      <c r="A1796" s="2" t="s">
        <v>2361</v>
      </c>
      <c r="B1796" s="2" t="s">
        <v>480</v>
      </c>
      <c r="C1796" s="3" t="s">
        <v>37</v>
      </c>
      <c r="D1796" s="3" t="s">
        <v>61</v>
      </c>
      <c r="E1796" s="4">
        <v>45602.559027777781</v>
      </c>
      <c r="F1796" s="4">
        <v>45454.548611111109</v>
      </c>
      <c r="G1796" s="4">
        <v>45454.618055555555</v>
      </c>
      <c r="K1796" s="5">
        <v>71</v>
      </c>
      <c r="L1796" s="5">
        <v>14</v>
      </c>
      <c r="M1796" s="3" t="s">
        <v>63</v>
      </c>
      <c r="N1796" t="s">
        <v>74</v>
      </c>
      <c r="P1796" s="3" t="s">
        <v>80</v>
      </c>
      <c r="Q1796" s="2">
        <v>164.96</v>
      </c>
      <c r="R1796" s="3" t="s">
        <v>43</v>
      </c>
      <c r="S1796">
        <f>COUNTIF(A:A,A1796)</f>
        <v>1</v>
      </c>
      <c r="T1796" t="str">
        <f>IF(OR(H1796="",LOWER(TRIM(H1796&amp;""))="missing",LOWER(TRIM(H1796&amp;""))=""),"Missing/",IFERROR(IF(OR(VALUE(H1796)&lt;0,VALUE(H1796)&gt;110),"Invalid","Valid"),"Check Format"))</f>
        <v>Missing/</v>
      </c>
      <c r="U1796" t="str">
        <f>IF(Raw_Data[[#This Row],[Age_Check]]="Valid",H1796,"")</f>
        <v/>
      </c>
      <c r="V1796" t="str">
        <f>IF(OR(K1796="",UPPER(TRIM(K1796&amp;""))="",LOWER(TRIM(K1796&amp;""))="",LOWER(TRIM(K1796&amp;""))="",LOWER(TRIM(K1796&amp;""))="missing"),"Missing/",IFERROR(IF(VALUE(K1796)&lt;0,"Invalid","Valid"),"Check Format"))</f>
        <v>Valid</v>
      </c>
      <c r="W1796" t="str">
        <f>IF(OR(E1796="",F1796=""),"Missing Date/Time",IFERROR(IF(F1796&gt;E1796,"Arrival After Appointment","OK"),"Check Format"))</f>
        <v>OK</v>
      </c>
      <c r="X1796" t="str">
        <f>IF(OR(F1796="",G1796=""),"Missing Date/Time",IFERROR(IF(G1796&lt;F1796,"Discharge Before Arrival","OK"),"Check Format"))</f>
        <v>OK</v>
      </c>
    </row>
    <row r="1797" spans="1:24" x14ac:dyDescent="0.25">
      <c r="A1797" s="2" t="s">
        <v>2451</v>
      </c>
      <c r="B1797" s="2" t="s">
        <v>167</v>
      </c>
      <c r="C1797" s="3" t="s">
        <v>94</v>
      </c>
      <c r="D1797" s="3" t="s">
        <v>174</v>
      </c>
      <c r="E1797" s="4">
        <v>45983.618055555555</v>
      </c>
      <c r="F1797" s="4">
        <v>45983.6</v>
      </c>
      <c r="G1797" s="4">
        <v>45983.736111111109</v>
      </c>
      <c r="I1797" s="3" t="s">
        <v>95</v>
      </c>
      <c r="J1797" s="3" t="s">
        <v>62</v>
      </c>
      <c r="K1797" s="5">
        <v>82</v>
      </c>
      <c r="L1797" s="5">
        <v>600</v>
      </c>
      <c r="M1797" s="3" t="s">
        <v>50</v>
      </c>
      <c r="N1797" t="s">
        <v>100</v>
      </c>
      <c r="P1797" s="3" t="s">
        <v>42</v>
      </c>
      <c r="Q1797" s="2">
        <v>209.64</v>
      </c>
      <c r="R1797" s="3" t="s">
        <v>26</v>
      </c>
      <c r="S1797">
        <f>COUNTIF(A:A,A1797)</f>
        <v>1</v>
      </c>
      <c r="T1797" t="str">
        <f>IF(OR(H1797="",LOWER(TRIM(H1797&amp;""))="missing",LOWER(TRIM(H1797&amp;""))=""),"Missing/",IFERROR(IF(OR(VALUE(H1797)&lt;0,VALUE(H1797)&gt;110),"Invalid","Valid"),"Check Format"))</f>
        <v>Missing/</v>
      </c>
      <c r="U1797" t="str">
        <f>IF(Raw_Data[[#This Row],[Age_Check]]="Valid",H1797,"")</f>
        <v/>
      </c>
      <c r="V1797" t="str">
        <f>IF(OR(K1797="",UPPER(TRIM(K1797&amp;""))="",LOWER(TRIM(K1797&amp;""))="",LOWER(TRIM(K1797&amp;""))="",LOWER(TRIM(K1797&amp;""))="missing"),"Missing/",IFERROR(IF(VALUE(K1797)&lt;0,"Invalid","Valid"),"Check Format"))</f>
        <v>Valid</v>
      </c>
      <c r="W1797" t="str">
        <f>IF(OR(E1797="",F1797=""),"Missing Date/Time",IFERROR(IF(F1797&gt;E1797,"Arrival After Appointment","OK"),"Check Format"))</f>
        <v>OK</v>
      </c>
      <c r="X1797" t="str">
        <f>IF(OR(F1797="",G1797=""),"Missing Date/Time",IFERROR(IF(G1797&lt;F1797,"Discharge Before Arrival","OK"),"Check Format"))</f>
        <v>OK</v>
      </c>
    </row>
    <row r="1798" spans="1:24" x14ac:dyDescent="0.25">
      <c r="A1798" s="2" t="s">
        <v>2461</v>
      </c>
      <c r="B1798" s="2" t="s">
        <v>2089</v>
      </c>
      <c r="C1798" s="3" t="s">
        <v>46</v>
      </c>
      <c r="D1798" s="3" t="s">
        <v>99</v>
      </c>
      <c r="E1798" s="4">
        <v>45942.517361111109</v>
      </c>
      <c r="F1798" s="4">
        <v>46001.497916666667</v>
      </c>
      <c r="G1798" s="4">
        <v>46001.556250000001</v>
      </c>
      <c r="H1798" s="5">
        <v>85</v>
      </c>
      <c r="I1798" s="3" t="s">
        <v>95</v>
      </c>
      <c r="J1798" s="3" t="s">
        <v>171</v>
      </c>
      <c r="K1798" s="5">
        <v>51</v>
      </c>
      <c r="L1798" s="5">
        <v>5</v>
      </c>
      <c r="M1798" s="3" t="s">
        <v>68</v>
      </c>
      <c r="P1798" s="3" t="s">
        <v>80</v>
      </c>
      <c r="Q1798" s="2">
        <v>327.17</v>
      </c>
      <c r="R1798" s="3" t="s">
        <v>58</v>
      </c>
      <c r="S1798">
        <f>COUNTIF(A:A,A1798)</f>
        <v>1</v>
      </c>
      <c r="T1798" t="str">
        <f>IF(OR(H1798="",LOWER(TRIM(H1798&amp;""))="missing",LOWER(TRIM(H1798&amp;""))=""),"Missing/",IFERROR(IF(OR(VALUE(H1798)&lt;0,VALUE(H1798)&gt;110),"Invalid","Valid"),"Check Format"))</f>
        <v>Valid</v>
      </c>
      <c r="U1798">
        <f>IF(Raw_Data[[#This Row],[Age_Check]]="Valid",H1798,"")</f>
        <v>85</v>
      </c>
      <c r="V1798" t="str">
        <f>IF(OR(K1798="",UPPER(TRIM(K1798&amp;""))="",LOWER(TRIM(K1798&amp;""))="",LOWER(TRIM(K1798&amp;""))="",LOWER(TRIM(K1798&amp;""))="missing"),"Missing/",IFERROR(IF(VALUE(K1798)&lt;0,"Invalid","Valid"),"Check Format"))</f>
        <v>Valid</v>
      </c>
      <c r="W1798" t="str">
        <f>IF(OR(E1798="",F1798=""),"Missing Date/Time",IFERROR(IF(F1798&gt;E1798,"Arrival After Appointment","OK"),"Check Format"))</f>
        <v>Arrival After Appointment</v>
      </c>
      <c r="X1798" t="str">
        <f>IF(OR(F1798="",G1798=""),"Missing Date/Time",IFERROR(IF(G1798&lt;F1798,"Discharge Before Arrival","OK"),"Check Format"))</f>
        <v>OK</v>
      </c>
    </row>
    <row r="1799" spans="1:24" x14ac:dyDescent="0.25">
      <c r="A1799" s="2" t="s">
        <v>2501</v>
      </c>
      <c r="B1799" s="2" t="s">
        <v>588</v>
      </c>
      <c r="C1799" s="3" t="s">
        <v>37</v>
      </c>
      <c r="D1799" s="3" t="s">
        <v>72</v>
      </c>
      <c r="E1799" s="4">
        <v>45296.725694444445</v>
      </c>
      <c r="F1799" s="4">
        <v>45296.724999999999</v>
      </c>
      <c r="G1799" s="4">
        <v>45296.754861111112</v>
      </c>
      <c r="I1799" s="3" t="s">
        <v>73</v>
      </c>
      <c r="J1799" s="3" t="s">
        <v>2639</v>
      </c>
      <c r="K1799" s="5">
        <v>37</v>
      </c>
      <c r="L1799" s="5">
        <v>5</v>
      </c>
      <c r="M1799" s="3" t="s">
        <v>23</v>
      </c>
      <c r="N1799" t="s">
        <v>24</v>
      </c>
      <c r="O1799" s="5">
        <v>4</v>
      </c>
      <c r="P1799" s="3" t="s">
        <v>25</v>
      </c>
      <c r="Q1799" s="2">
        <v>210.35</v>
      </c>
      <c r="R1799" s="3" t="s">
        <v>58</v>
      </c>
      <c r="S1799">
        <f>COUNTIF(A:A,A1799)</f>
        <v>2</v>
      </c>
      <c r="T1799" t="str">
        <f>IF(OR(H1799="",LOWER(TRIM(H1799&amp;""))="missing",LOWER(TRIM(H1799&amp;""))=""),"Missing/",IFERROR(IF(OR(VALUE(H1799)&lt;0,VALUE(H1799)&gt;110),"Invalid","Valid"),"Check Format"))</f>
        <v>Missing/</v>
      </c>
      <c r="U1799" t="str">
        <f>IF(Raw_Data[[#This Row],[Age_Check]]="Valid",H1799,"")</f>
        <v/>
      </c>
      <c r="V1799" t="str">
        <f>IF(OR(K1799="",UPPER(TRIM(K1799&amp;""))="",LOWER(TRIM(K1799&amp;""))="",LOWER(TRIM(K1799&amp;""))="",LOWER(TRIM(K1799&amp;""))="missing"),"Missing/",IFERROR(IF(VALUE(K1799)&lt;0,"Invalid","Valid"),"Check Format"))</f>
        <v>Valid</v>
      </c>
      <c r="W1799" t="str">
        <f>IF(OR(E1799="",F1799=""),"Missing Date/Time",IFERROR(IF(F1799&gt;E1799,"Arrival After Appointment","OK"),"Check Format"))</f>
        <v>OK</v>
      </c>
      <c r="X1799" t="str">
        <f>IF(OR(F1799="",G1799=""),"Missing Date/Time",IFERROR(IF(G1799&lt;F1799,"Discharge Before Arrival","OK"),"Check Format"))</f>
        <v>OK</v>
      </c>
    </row>
    <row r="1800" spans="1:24" x14ac:dyDescent="0.25">
      <c r="A1800" s="2" t="s">
        <v>2501</v>
      </c>
      <c r="B1800" s="2" t="s">
        <v>584</v>
      </c>
      <c r="C1800" s="3" t="s">
        <v>19</v>
      </c>
      <c r="D1800" s="3" t="s">
        <v>38</v>
      </c>
      <c r="E1800" s="4">
        <v>45485.420138888891</v>
      </c>
      <c r="F1800" s="4">
        <v>45485.414583333331</v>
      </c>
      <c r="G1800" s="4">
        <v>45485.443055555559</v>
      </c>
      <c r="H1800" s="5">
        <v>20</v>
      </c>
      <c r="I1800" s="3" t="s">
        <v>95</v>
      </c>
      <c r="J1800" s="3" t="s">
        <v>150</v>
      </c>
      <c r="K1800" s="5">
        <v>9</v>
      </c>
      <c r="L1800" s="5">
        <v>24</v>
      </c>
      <c r="M1800" s="3" t="s">
        <v>68</v>
      </c>
      <c r="O1800" s="5">
        <v>6</v>
      </c>
      <c r="P1800" s="3" t="s">
        <v>80</v>
      </c>
      <c r="Q1800" s="2">
        <v>124.39</v>
      </c>
      <c r="R1800" s="3" t="s">
        <v>26</v>
      </c>
      <c r="S1800">
        <f>COUNTIF(A:A,A1800)</f>
        <v>2</v>
      </c>
      <c r="T1800" t="str">
        <f>IF(OR(H1800="",LOWER(TRIM(H1800&amp;""))="missing",LOWER(TRIM(H1800&amp;""))=""),"Missing/",IFERROR(IF(OR(VALUE(H1800)&lt;0,VALUE(H1800)&gt;110),"Invalid","Valid"),"Check Format"))</f>
        <v>Valid</v>
      </c>
      <c r="U1800">
        <f>IF(Raw_Data[[#This Row],[Age_Check]]="Valid",H1800,"")</f>
        <v>20</v>
      </c>
      <c r="V1800" t="str">
        <f>IF(OR(K1800="",UPPER(TRIM(K1800&amp;""))="",LOWER(TRIM(K1800&amp;""))="",LOWER(TRIM(K1800&amp;""))="",LOWER(TRIM(K1800&amp;""))="missing"),"Missing/",IFERROR(IF(VALUE(K1800)&lt;0,"Invalid","Valid"),"Check Format"))</f>
        <v>Valid</v>
      </c>
      <c r="W1800" t="str">
        <f>IF(OR(E1800="",F1800=""),"Missing Date/Time",IFERROR(IF(F1800&gt;E1800,"Arrival After Appointment","OK"),"Check Format"))</f>
        <v>OK</v>
      </c>
      <c r="X1800" t="str">
        <f>IF(OR(F1800="",G1800=""),"Missing Date/Time",IFERROR(IF(G1800&lt;F1800,"Discharge Before Arrival","OK"),"Check Format"))</f>
        <v>OK</v>
      </c>
    </row>
    <row r="1801" spans="1:24" x14ac:dyDescent="0.25">
      <c r="A1801" s="2" t="s">
        <v>2509</v>
      </c>
      <c r="B1801" s="2" t="s">
        <v>467</v>
      </c>
      <c r="C1801" s="3" t="s">
        <v>94</v>
      </c>
      <c r="D1801" s="3" t="s">
        <v>99</v>
      </c>
      <c r="E1801" s="4">
        <v>45767.322916666664</v>
      </c>
      <c r="F1801" s="4">
        <v>45767.303472222222</v>
      </c>
      <c r="H1801" s="5">
        <v>145</v>
      </c>
      <c r="J1801" s="3" t="s">
        <v>67</v>
      </c>
      <c r="K1801" s="5">
        <v>43</v>
      </c>
      <c r="L1801" s="5">
        <v>48</v>
      </c>
      <c r="M1801" s="3" t="s">
        <v>87</v>
      </c>
      <c r="N1801" t="s">
        <v>103</v>
      </c>
      <c r="O1801" s="5">
        <v>2</v>
      </c>
      <c r="P1801" s="3" t="s">
        <v>25</v>
      </c>
      <c r="Q1801" s="2">
        <v>154.88</v>
      </c>
      <c r="R1801" s="3" t="s">
        <v>75</v>
      </c>
      <c r="S1801">
        <f>COUNTIF(A:A,A1801)</f>
        <v>2</v>
      </c>
      <c r="T1801" t="str">
        <f>IF(OR(H1801="",LOWER(TRIM(H1801&amp;""))="missing",LOWER(TRIM(H1801&amp;""))=""),"Missing/",IFERROR(IF(OR(VALUE(H1801)&lt;0,VALUE(H1801)&gt;110),"Invalid","Valid"),"Check Format"))</f>
        <v>Invalid</v>
      </c>
      <c r="U1801" t="str">
        <f>IF(Raw_Data[[#This Row],[Age_Check]]="Valid",H1801,"")</f>
        <v/>
      </c>
      <c r="V1801" t="str">
        <f>IF(OR(K1801="",UPPER(TRIM(K1801&amp;""))="",LOWER(TRIM(K1801&amp;""))="",LOWER(TRIM(K1801&amp;""))="",LOWER(TRIM(K1801&amp;""))="missing"),"Missing/",IFERROR(IF(VALUE(K1801)&lt;0,"Invalid","Valid"),"Check Format"))</f>
        <v>Valid</v>
      </c>
      <c r="W1801" t="str">
        <f>IF(OR(E1801="",F1801=""),"Missing Date/Time",IFERROR(IF(F1801&gt;E1801,"Arrival After Appointment","OK"),"Check Format"))</f>
        <v>OK</v>
      </c>
      <c r="X1801" t="str">
        <f>IF(OR(F1801="",G1801=""),"Missing Date/Time",IFERROR(IF(G1801&lt;F1801,"Discharge Before Arrival","OK"),"Check Format"))</f>
        <v>Missing Date/Time</v>
      </c>
    </row>
    <row r="1802" spans="1:24" x14ac:dyDescent="0.25">
      <c r="A1802" s="2" t="s">
        <v>2509</v>
      </c>
      <c r="B1802" s="2" t="s">
        <v>307</v>
      </c>
      <c r="C1802" s="3" t="s">
        <v>37</v>
      </c>
      <c r="D1802" s="3" t="s">
        <v>72</v>
      </c>
      <c r="E1802" s="4">
        <v>45410.295138888891</v>
      </c>
      <c r="F1802" s="4">
        <v>45410.275000000001</v>
      </c>
      <c r="G1802" s="4">
        <v>45410.351388888892</v>
      </c>
      <c r="I1802" s="3" t="s">
        <v>95</v>
      </c>
      <c r="J1802" s="3" t="s">
        <v>22</v>
      </c>
      <c r="K1802" s="5">
        <v>53</v>
      </c>
      <c r="L1802" s="5">
        <v>28</v>
      </c>
      <c r="M1802" s="3" t="s">
        <v>68</v>
      </c>
      <c r="N1802" t="s">
        <v>69</v>
      </c>
      <c r="O1802" s="5">
        <v>5</v>
      </c>
      <c r="P1802" s="3" t="s">
        <v>25</v>
      </c>
      <c r="Q1802" s="2">
        <v>204.73</v>
      </c>
      <c r="R1802" s="3" t="s">
        <v>75</v>
      </c>
      <c r="S1802">
        <f>COUNTIF(A:A,A1802)</f>
        <v>2</v>
      </c>
      <c r="T1802" t="str">
        <f>IF(OR(H1802="",LOWER(TRIM(H1802&amp;""))="missing",LOWER(TRIM(H1802&amp;""))=""),"Missing/",IFERROR(IF(OR(VALUE(H1802)&lt;0,VALUE(H1802)&gt;110),"Invalid","Valid"),"Check Format"))</f>
        <v>Missing/</v>
      </c>
      <c r="U1802" t="str">
        <f>IF(Raw_Data[[#This Row],[Age_Check]]="Valid",H1802,"")</f>
        <v/>
      </c>
      <c r="V1802" t="str">
        <f>IF(OR(K1802="",UPPER(TRIM(K1802&amp;""))="",LOWER(TRIM(K1802&amp;""))="",LOWER(TRIM(K1802&amp;""))="",LOWER(TRIM(K1802&amp;""))="missing"),"Missing/",IFERROR(IF(VALUE(K1802)&lt;0,"Invalid","Valid"),"Check Format"))</f>
        <v>Valid</v>
      </c>
      <c r="W1802" t="str">
        <f>IF(OR(E1802="",F1802=""),"Missing Date/Time",IFERROR(IF(F1802&gt;E1802,"Arrival After Appointment","OK"),"Check Format"))</f>
        <v>OK</v>
      </c>
      <c r="X1802" t="str">
        <f>IF(OR(F1802="",G1802=""),"Missing Date/Time",IFERROR(IF(G1802&lt;F1802,"Discharge Before Arrival","OK"),"Check Format"))</f>
        <v>OK</v>
      </c>
    </row>
    <row r="1803" spans="1:24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O1803"/>
      <c r="P1803"/>
      <c r="Q1803"/>
      <c r="R1803"/>
    </row>
    <row r="1804" spans="1:24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O1804"/>
      <c r="P1804"/>
      <c r="Q1804"/>
      <c r="R1804"/>
    </row>
    <row r="1805" spans="1:24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O1805"/>
      <c r="P1805"/>
      <c r="Q1805"/>
      <c r="R1805"/>
    </row>
    <row r="1806" spans="1:24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O1806"/>
      <c r="P1806"/>
      <c r="Q1806"/>
      <c r="R1806"/>
    </row>
    <row r="1807" spans="1:24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O1807"/>
      <c r="P1807"/>
      <c r="Q1807"/>
      <c r="R1807"/>
    </row>
    <row r="1808" spans="1:24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O1808"/>
      <c r="P1808"/>
      <c r="Q1808"/>
      <c r="R1808"/>
    </row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F6D6-7067-418E-B87C-57AB42A988FE}">
  <sheetPr filterMode="1"/>
  <dimension ref="A1:V79"/>
  <sheetViews>
    <sheetView topLeftCell="N1" workbookViewId="0">
      <selection activeCell="T1" sqref="T1:T1048576"/>
    </sheetView>
  </sheetViews>
  <sheetFormatPr defaultRowHeight="15" x14ac:dyDescent="0.25"/>
  <cols>
    <col min="20" max="20" width="13.85546875" customWidth="1"/>
  </cols>
  <sheetData>
    <row r="1" spans="1:22" x14ac:dyDescent="0.25">
      <c r="A1" s="9" t="s">
        <v>2568</v>
      </c>
      <c r="B1" s="10" t="s">
        <v>0</v>
      </c>
      <c r="C1" s="11" t="s">
        <v>1</v>
      </c>
      <c r="D1" s="11" t="s">
        <v>2</v>
      </c>
      <c r="E1" s="12" t="s">
        <v>3</v>
      </c>
      <c r="F1" s="12" t="s">
        <v>4</v>
      </c>
      <c r="G1" s="12" t="s">
        <v>5</v>
      </c>
      <c r="H1" s="13" t="s">
        <v>6</v>
      </c>
      <c r="I1" s="11" t="s">
        <v>7</v>
      </c>
      <c r="J1" s="11" t="s">
        <v>8</v>
      </c>
      <c r="K1" s="13" t="s">
        <v>9</v>
      </c>
      <c r="L1" s="13" t="s">
        <v>10</v>
      </c>
      <c r="M1" s="11" t="s">
        <v>11</v>
      </c>
      <c r="N1" s="14" t="s">
        <v>12</v>
      </c>
      <c r="O1" s="13" t="s">
        <v>13</v>
      </c>
      <c r="P1" s="11" t="s">
        <v>14</v>
      </c>
      <c r="Q1" s="10" t="s">
        <v>15</v>
      </c>
      <c r="R1" s="11" t="s">
        <v>16</v>
      </c>
      <c r="S1" s="6" t="s">
        <v>2581</v>
      </c>
      <c r="T1" t="s">
        <v>2593</v>
      </c>
      <c r="U1" t="s">
        <v>2594</v>
      </c>
      <c r="V1" t="s">
        <v>2595</v>
      </c>
    </row>
    <row r="2" spans="1:22" x14ac:dyDescent="0.25">
      <c r="A2" s="15" t="s">
        <v>179</v>
      </c>
      <c r="B2" s="16" t="s">
        <v>180</v>
      </c>
      <c r="C2" s="17" t="s">
        <v>46</v>
      </c>
      <c r="D2" s="17" t="s">
        <v>115</v>
      </c>
      <c r="E2" s="18">
        <v>45352.465277777781</v>
      </c>
      <c r="F2" s="18">
        <v>45294.457638888889</v>
      </c>
      <c r="G2" s="18">
        <v>45294.548611111109</v>
      </c>
      <c r="H2" s="19"/>
      <c r="I2" s="17" t="s">
        <v>21</v>
      </c>
      <c r="J2" s="17" t="s">
        <v>171</v>
      </c>
      <c r="K2" s="19">
        <v>65</v>
      </c>
      <c r="L2" s="19">
        <v>55</v>
      </c>
      <c r="M2" s="17" t="s">
        <v>68</v>
      </c>
      <c r="N2" s="20" t="s">
        <v>103</v>
      </c>
      <c r="O2" s="19" t="s">
        <v>96</v>
      </c>
      <c r="P2" s="17" t="s">
        <v>84</v>
      </c>
      <c r="Q2" s="16">
        <v>16.399999999999999</v>
      </c>
      <c r="R2" s="17" t="s">
        <v>58</v>
      </c>
      <c r="S2" s="7">
        <v>2</v>
      </c>
      <c r="T2" t="s">
        <v>2596</v>
      </c>
      <c r="U2" t="s">
        <v>2596</v>
      </c>
      <c r="V2" t="s">
        <v>2597</v>
      </c>
    </row>
    <row r="3" spans="1:22" x14ac:dyDescent="0.25">
      <c r="A3" s="21" t="s">
        <v>179</v>
      </c>
      <c r="B3" s="22" t="s">
        <v>180</v>
      </c>
      <c r="C3" s="23" t="s">
        <v>46</v>
      </c>
      <c r="D3" s="23" t="s">
        <v>115</v>
      </c>
      <c r="E3" s="24">
        <v>45352.465277777781</v>
      </c>
      <c r="F3" s="24">
        <v>45294.457638888889</v>
      </c>
      <c r="G3" s="24">
        <v>45294.548611111109</v>
      </c>
      <c r="H3" s="25"/>
      <c r="I3" s="23" t="s">
        <v>21</v>
      </c>
      <c r="J3" s="23" t="s">
        <v>171</v>
      </c>
      <c r="K3" s="25">
        <v>65</v>
      </c>
      <c r="L3" s="25">
        <v>55</v>
      </c>
      <c r="M3" s="23" t="s">
        <v>68</v>
      </c>
      <c r="N3" s="26" t="s">
        <v>103</v>
      </c>
      <c r="O3" s="25" t="s">
        <v>96</v>
      </c>
      <c r="P3" s="23" t="s">
        <v>84</v>
      </c>
      <c r="Q3" s="22">
        <v>16.399999999999999</v>
      </c>
      <c r="R3" s="23" t="s">
        <v>58</v>
      </c>
      <c r="S3" s="8">
        <v>2</v>
      </c>
      <c r="T3" t="s">
        <v>2596</v>
      </c>
      <c r="U3" t="s">
        <v>2596</v>
      </c>
      <c r="V3" t="s">
        <v>2597</v>
      </c>
    </row>
    <row r="4" spans="1:22" hidden="1" x14ac:dyDescent="0.25">
      <c r="A4" s="15" t="s">
        <v>195</v>
      </c>
      <c r="B4" s="16" t="s">
        <v>196</v>
      </c>
      <c r="C4" s="17"/>
      <c r="D4" s="17" t="s">
        <v>23</v>
      </c>
      <c r="E4" s="18">
        <v>45719.461805555555</v>
      </c>
      <c r="F4" s="18">
        <v>45719.441666666666</v>
      </c>
      <c r="G4" s="18">
        <v>45719.552083333336</v>
      </c>
      <c r="H4" s="19">
        <v>13</v>
      </c>
      <c r="I4" s="17" t="s">
        <v>163</v>
      </c>
      <c r="J4" s="17" t="s">
        <v>31</v>
      </c>
      <c r="K4" s="19">
        <v>91</v>
      </c>
      <c r="L4" s="19">
        <v>39</v>
      </c>
      <c r="M4" s="17"/>
      <c r="N4" s="20" t="s">
        <v>33</v>
      </c>
      <c r="O4" s="19"/>
      <c r="P4" s="17" t="s">
        <v>42</v>
      </c>
      <c r="Q4" s="16">
        <v>210.76</v>
      </c>
      <c r="R4" s="17" t="s">
        <v>75</v>
      </c>
      <c r="S4" s="7">
        <v>2</v>
      </c>
      <c r="T4" t="s">
        <v>2598</v>
      </c>
      <c r="U4" t="s">
        <v>2598</v>
      </c>
      <c r="V4" t="s">
        <v>2599</v>
      </c>
    </row>
    <row r="5" spans="1:22" hidden="1" x14ac:dyDescent="0.25">
      <c r="A5" s="21" t="s">
        <v>195</v>
      </c>
      <c r="B5" s="22" t="s">
        <v>197</v>
      </c>
      <c r="C5" s="23" t="s">
        <v>94</v>
      </c>
      <c r="D5" s="23" t="s">
        <v>30</v>
      </c>
      <c r="E5" s="24">
        <v>45835.635416666664</v>
      </c>
      <c r="F5" s="24">
        <v>45835.631944444445</v>
      </c>
      <c r="G5" s="24">
        <v>45835.740277777775</v>
      </c>
      <c r="H5" s="25">
        <v>9</v>
      </c>
      <c r="I5" s="23" t="s">
        <v>83</v>
      </c>
      <c r="J5" s="23" t="s">
        <v>150</v>
      </c>
      <c r="K5" s="25">
        <v>124</v>
      </c>
      <c r="L5" s="25">
        <v>27</v>
      </c>
      <c r="M5" s="23" t="s">
        <v>32</v>
      </c>
      <c r="N5" s="26"/>
      <c r="O5" s="25" t="s">
        <v>96</v>
      </c>
      <c r="P5" s="23" t="s">
        <v>34</v>
      </c>
      <c r="Q5" s="22">
        <v>84.7</v>
      </c>
      <c r="R5" s="23" t="s">
        <v>26</v>
      </c>
      <c r="S5" s="8">
        <v>2</v>
      </c>
      <c r="T5" t="s">
        <v>2598</v>
      </c>
      <c r="U5" t="s">
        <v>2598</v>
      </c>
      <c r="V5" t="s">
        <v>2599</v>
      </c>
    </row>
    <row r="6" spans="1:22" x14ac:dyDescent="0.25">
      <c r="A6" s="15" t="s">
        <v>323</v>
      </c>
      <c r="B6" s="16" t="s">
        <v>324</v>
      </c>
      <c r="C6" s="17" t="s">
        <v>114</v>
      </c>
      <c r="D6" s="17" t="s">
        <v>23</v>
      </c>
      <c r="E6" s="18" t="s">
        <v>325</v>
      </c>
      <c r="F6" s="18">
        <v>45823.722222222219</v>
      </c>
      <c r="G6" s="18"/>
      <c r="H6" s="19" t="s">
        <v>49</v>
      </c>
      <c r="I6" s="17" t="s">
        <v>56</v>
      </c>
      <c r="J6" s="17" t="s">
        <v>67</v>
      </c>
      <c r="K6" s="19">
        <v>109</v>
      </c>
      <c r="L6" s="19">
        <v>47</v>
      </c>
      <c r="M6" s="17" t="s">
        <v>23</v>
      </c>
      <c r="N6" s="20" t="s">
        <v>91</v>
      </c>
      <c r="O6" s="19">
        <v>3</v>
      </c>
      <c r="P6" s="17" t="s">
        <v>84</v>
      </c>
      <c r="Q6" s="16">
        <v>132.19999999999999</v>
      </c>
      <c r="R6" s="17" t="s">
        <v>43</v>
      </c>
      <c r="S6" s="7">
        <v>2</v>
      </c>
      <c r="T6" t="s">
        <v>2596</v>
      </c>
      <c r="U6" t="s">
        <v>2596</v>
      </c>
      <c r="V6" t="s">
        <v>2597</v>
      </c>
    </row>
    <row r="7" spans="1:22" x14ac:dyDescent="0.25">
      <c r="A7" s="21" t="s">
        <v>323</v>
      </c>
      <c r="B7" s="22" t="s">
        <v>324</v>
      </c>
      <c r="C7" s="23" t="s">
        <v>114</v>
      </c>
      <c r="D7" s="23" t="s">
        <v>23</v>
      </c>
      <c r="E7" s="24" t="s">
        <v>325</v>
      </c>
      <c r="F7" s="24">
        <v>45823.722222222219</v>
      </c>
      <c r="G7" s="24"/>
      <c r="H7" s="25" t="s">
        <v>49</v>
      </c>
      <c r="I7" s="23" t="s">
        <v>56</v>
      </c>
      <c r="J7" s="23" t="s">
        <v>67</v>
      </c>
      <c r="K7" s="25">
        <v>109</v>
      </c>
      <c r="L7" s="25">
        <v>47</v>
      </c>
      <c r="M7" s="23" t="s">
        <v>23</v>
      </c>
      <c r="N7" s="26" t="s">
        <v>91</v>
      </c>
      <c r="O7" s="25">
        <v>3</v>
      </c>
      <c r="P7" s="23" t="s">
        <v>84</v>
      </c>
      <c r="Q7" s="22">
        <v>132.19999999999999</v>
      </c>
      <c r="R7" s="23" t="s">
        <v>43</v>
      </c>
      <c r="S7" s="8">
        <v>2</v>
      </c>
      <c r="T7" t="s">
        <v>2596</v>
      </c>
      <c r="U7" t="s">
        <v>2596</v>
      </c>
      <c r="V7" t="s">
        <v>2597</v>
      </c>
    </row>
    <row r="8" spans="1:22" x14ac:dyDescent="0.25">
      <c r="A8" s="15" t="s">
        <v>396</v>
      </c>
      <c r="B8" s="16" t="s">
        <v>397</v>
      </c>
      <c r="C8" s="17" t="s">
        <v>19</v>
      </c>
      <c r="D8" s="17" t="s">
        <v>72</v>
      </c>
      <c r="E8" s="18">
        <v>45568.697916666664</v>
      </c>
      <c r="F8" s="18">
        <v>45568.680555555555</v>
      </c>
      <c r="G8" s="18"/>
      <c r="H8" s="19">
        <v>77</v>
      </c>
      <c r="I8" s="17" t="s">
        <v>90</v>
      </c>
      <c r="J8" s="17" t="s">
        <v>171</v>
      </c>
      <c r="K8" s="19">
        <v>54</v>
      </c>
      <c r="L8" s="19">
        <v>28</v>
      </c>
      <c r="M8" s="17" t="s">
        <v>50</v>
      </c>
      <c r="N8" s="20" t="s">
        <v>91</v>
      </c>
      <c r="O8" s="19">
        <v>3</v>
      </c>
      <c r="P8" s="17" t="s">
        <v>25</v>
      </c>
      <c r="Q8" s="16">
        <v>194.13</v>
      </c>
      <c r="R8" s="17" t="s">
        <v>43</v>
      </c>
      <c r="S8" s="7">
        <v>2</v>
      </c>
      <c r="T8" t="s">
        <v>2596</v>
      </c>
      <c r="U8" t="s">
        <v>2596</v>
      </c>
      <c r="V8" t="s">
        <v>2597</v>
      </c>
    </row>
    <row r="9" spans="1:22" x14ac:dyDescent="0.25">
      <c r="A9" s="21" t="s">
        <v>396</v>
      </c>
      <c r="B9" s="22" t="s">
        <v>397</v>
      </c>
      <c r="C9" s="23" t="s">
        <v>19</v>
      </c>
      <c r="D9" s="23" t="s">
        <v>72</v>
      </c>
      <c r="E9" s="24">
        <v>45568.697916666664</v>
      </c>
      <c r="F9" s="24">
        <v>45568.680555555555</v>
      </c>
      <c r="G9" s="24"/>
      <c r="H9" s="25">
        <v>77</v>
      </c>
      <c r="I9" s="23" t="s">
        <v>90</v>
      </c>
      <c r="J9" s="23" t="s">
        <v>171</v>
      </c>
      <c r="K9" s="25">
        <v>54</v>
      </c>
      <c r="L9" s="25">
        <v>28</v>
      </c>
      <c r="M9" s="23" t="s">
        <v>50</v>
      </c>
      <c r="N9" s="26" t="s">
        <v>91</v>
      </c>
      <c r="O9" s="25">
        <v>3</v>
      </c>
      <c r="P9" s="23" t="s">
        <v>25</v>
      </c>
      <c r="Q9" s="22">
        <v>194.13</v>
      </c>
      <c r="R9" s="23" t="s">
        <v>43</v>
      </c>
      <c r="S9" s="8">
        <v>2</v>
      </c>
      <c r="T9" t="s">
        <v>2596</v>
      </c>
      <c r="U9" t="s">
        <v>2596</v>
      </c>
      <c r="V9" t="s">
        <v>2597</v>
      </c>
    </row>
    <row r="10" spans="1:22" hidden="1" x14ac:dyDescent="0.25">
      <c r="A10" s="15" t="s">
        <v>436</v>
      </c>
      <c r="B10" s="16" t="s">
        <v>437</v>
      </c>
      <c r="C10" s="17" t="s">
        <v>94</v>
      </c>
      <c r="D10" s="17" t="s">
        <v>99</v>
      </c>
      <c r="E10" s="18"/>
      <c r="F10" s="18">
        <v>45332.717361111114</v>
      </c>
      <c r="G10" s="18">
        <v>45332.790972222225</v>
      </c>
      <c r="H10" s="19">
        <v>145</v>
      </c>
      <c r="I10" s="17" t="s">
        <v>90</v>
      </c>
      <c r="J10" s="17" t="s">
        <v>62</v>
      </c>
      <c r="K10" s="19">
        <v>44</v>
      </c>
      <c r="L10" s="19">
        <v>50</v>
      </c>
      <c r="M10" s="17"/>
      <c r="N10" s="20" t="s">
        <v>24</v>
      </c>
      <c r="O10" s="19"/>
      <c r="P10" s="17"/>
      <c r="Q10" s="16">
        <v>98.85</v>
      </c>
      <c r="R10" s="17" t="s">
        <v>58</v>
      </c>
      <c r="S10" s="7">
        <v>2</v>
      </c>
      <c r="T10" t="s">
        <v>2598</v>
      </c>
      <c r="U10" t="s">
        <v>2598</v>
      </c>
      <c r="V10" t="s">
        <v>2599</v>
      </c>
    </row>
    <row r="11" spans="1:22" hidden="1" x14ac:dyDescent="0.25">
      <c r="A11" s="21" t="s">
        <v>436</v>
      </c>
      <c r="B11" s="22" t="s">
        <v>383</v>
      </c>
      <c r="C11" s="23" t="s">
        <v>94</v>
      </c>
      <c r="D11" s="23" t="s">
        <v>66</v>
      </c>
      <c r="E11" s="24" t="s">
        <v>438</v>
      </c>
      <c r="F11" s="24">
        <v>45434.57708333333</v>
      </c>
      <c r="G11" s="24">
        <v>45434.658333333333</v>
      </c>
      <c r="H11" s="25">
        <v>84</v>
      </c>
      <c r="I11" s="23" t="s">
        <v>163</v>
      </c>
      <c r="J11" s="23" t="s">
        <v>40</v>
      </c>
      <c r="K11" s="25">
        <v>87</v>
      </c>
      <c r="L11" s="25">
        <v>11</v>
      </c>
      <c r="M11" s="23" t="s">
        <v>41</v>
      </c>
      <c r="N11" s="26" t="s">
        <v>100</v>
      </c>
      <c r="O11" s="25">
        <v>0</v>
      </c>
      <c r="P11" s="23" t="s">
        <v>80</v>
      </c>
      <c r="Q11" s="22">
        <v>187.38</v>
      </c>
      <c r="R11" s="23" t="s">
        <v>58</v>
      </c>
      <c r="S11" s="8">
        <v>2</v>
      </c>
      <c r="T11" t="s">
        <v>2598</v>
      </c>
      <c r="U11" t="s">
        <v>2598</v>
      </c>
      <c r="V11" t="s">
        <v>2599</v>
      </c>
    </row>
    <row r="12" spans="1:22" x14ac:dyDescent="0.25">
      <c r="A12" s="15" t="s">
        <v>448</v>
      </c>
      <c r="B12" s="16" t="s">
        <v>305</v>
      </c>
      <c r="C12" s="17" t="s">
        <v>114</v>
      </c>
      <c r="D12" s="17" t="s">
        <v>174</v>
      </c>
      <c r="E12" s="18">
        <v>45967.371527777781</v>
      </c>
      <c r="F12" s="18">
        <v>45967.354166666664</v>
      </c>
      <c r="G12" s="18">
        <v>45967.427777777775</v>
      </c>
      <c r="H12" s="19" t="s">
        <v>49</v>
      </c>
      <c r="I12" s="17" t="s">
        <v>21</v>
      </c>
      <c r="J12" s="17" t="s">
        <v>40</v>
      </c>
      <c r="K12" s="19">
        <v>42</v>
      </c>
      <c r="L12" s="19">
        <v>39</v>
      </c>
      <c r="M12" s="17" t="s">
        <v>68</v>
      </c>
      <c r="N12" s="20" t="s">
        <v>57</v>
      </c>
      <c r="O12" s="19">
        <v>1</v>
      </c>
      <c r="P12" s="17" t="s">
        <v>84</v>
      </c>
      <c r="Q12" s="16">
        <v>111.32</v>
      </c>
      <c r="R12" s="17" t="s">
        <v>58</v>
      </c>
      <c r="S12" s="7">
        <v>2</v>
      </c>
      <c r="T12" t="s">
        <v>2596</v>
      </c>
      <c r="U12" t="s">
        <v>2596</v>
      </c>
      <c r="V12" t="s">
        <v>2597</v>
      </c>
    </row>
    <row r="13" spans="1:22" x14ac:dyDescent="0.25">
      <c r="A13" s="21" t="s">
        <v>448</v>
      </c>
      <c r="B13" s="22" t="s">
        <v>305</v>
      </c>
      <c r="C13" s="23" t="s">
        <v>114</v>
      </c>
      <c r="D13" s="23" t="s">
        <v>174</v>
      </c>
      <c r="E13" s="24">
        <v>45967.371527777781</v>
      </c>
      <c r="F13" s="24">
        <v>45967.354166666664</v>
      </c>
      <c r="G13" s="24">
        <v>45967.427777777775</v>
      </c>
      <c r="H13" s="25" t="s">
        <v>49</v>
      </c>
      <c r="I13" s="23" t="s">
        <v>21</v>
      </c>
      <c r="J13" s="23" t="s">
        <v>40</v>
      </c>
      <c r="K13" s="25">
        <v>42</v>
      </c>
      <c r="L13" s="25">
        <v>39</v>
      </c>
      <c r="M13" s="23" t="s">
        <v>68</v>
      </c>
      <c r="N13" s="26" t="s">
        <v>57</v>
      </c>
      <c r="O13" s="25">
        <v>1</v>
      </c>
      <c r="P13" s="23" t="s">
        <v>84</v>
      </c>
      <c r="Q13" s="22">
        <v>111.32</v>
      </c>
      <c r="R13" s="23" t="s">
        <v>58</v>
      </c>
      <c r="S13" s="8">
        <v>2</v>
      </c>
      <c r="T13" t="s">
        <v>2596</v>
      </c>
      <c r="U13" t="s">
        <v>2596</v>
      </c>
      <c r="V13" t="s">
        <v>2597</v>
      </c>
    </row>
    <row r="14" spans="1:22" hidden="1" x14ac:dyDescent="0.25">
      <c r="A14" s="15" t="s">
        <v>529</v>
      </c>
      <c r="B14" s="16" t="s">
        <v>530</v>
      </c>
      <c r="C14" s="17" t="s">
        <v>46</v>
      </c>
      <c r="D14" s="17" t="s">
        <v>30</v>
      </c>
      <c r="E14" s="18">
        <v>45623.295138888891</v>
      </c>
      <c r="F14" s="18">
        <v>45623.290972222225</v>
      </c>
      <c r="G14" s="18">
        <v>45623.379166666666</v>
      </c>
      <c r="H14" s="19">
        <v>-4</v>
      </c>
      <c r="I14" s="17" t="s">
        <v>83</v>
      </c>
      <c r="J14" s="17" t="s">
        <v>150</v>
      </c>
      <c r="K14" s="19">
        <v>79</v>
      </c>
      <c r="L14" s="19">
        <v>42</v>
      </c>
      <c r="M14" s="17" t="s">
        <v>87</v>
      </c>
      <c r="N14" s="20" t="s">
        <v>69</v>
      </c>
      <c r="O14" s="19" t="s">
        <v>96</v>
      </c>
      <c r="P14" s="17" t="s">
        <v>84</v>
      </c>
      <c r="Q14" s="16">
        <v>120.24</v>
      </c>
      <c r="R14" s="17" t="s">
        <v>26</v>
      </c>
      <c r="S14" s="7">
        <v>2</v>
      </c>
      <c r="T14" t="s">
        <v>2598</v>
      </c>
      <c r="U14" t="s">
        <v>2598</v>
      </c>
      <c r="V14" t="s">
        <v>2599</v>
      </c>
    </row>
    <row r="15" spans="1:22" hidden="1" x14ac:dyDescent="0.25">
      <c r="A15" s="21" t="s">
        <v>529</v>
      </c>
      <c r="B15" s="22" t="s">
        <v>531</v>
      </c>
      <c r="C15" s="23" t="s">
        <v>29</v>
      </c>
      <c r="D15" s="23" t="s">
        <v>115</v>
      </c>
      <c r="E15" s="24">
        <v>45349.638888888891</v>
      </c>
      <c r="F15" s="24">
        <v>45349.619444444441</v>
      </c>
      <c r="G15" s="24">
        <v>45349.693055555559</v>
      </c>
      <c r="H15" s="25"/>
      <c r="I15" s="23" t="s">
        <v>21</v>
      </c>
      <c r="J15" s="23" t="s">
        <v>150</v>
      </c>
      <c r="K15" s="25">
        <v>69</v>
      </c>
      <c r="L15" s="25">
        <v>9</v>
      </c>
      <c r="M15" s="23" t="s">
        <v>41</v>
      </c>
      <c r="N15" s="26" t="s">
        <v>57</v>
      </c>
      <c r="O15" s="25">
        <v>6</v>
      </c>
      <c r="P15" s="23" t="s">
        <v>34</v>
      </c>
      <c r="Q15" s="22">
        <v>218.92</v>
      </c>
      <c r="R15" s="23" t="s">
        <v>26</v>
      </c>
      <c r="S15" s="8">
        <v>2</v>
      </c>
      <c r="T15" t="s">
        <v>2598</v>
      </c>
      <c r="U15" t="s">
        <v>2598</v>
      </c>
      <c r="V15" t="s">
        <v>2599</v>
      </c>
    </row>
    <row r="16" spans="1:22" x14ac:dyDescent="0.25">
      <c r="A16" s="15" t="s">
        <v>605</v>
      </c>
      <c r="B16" s="16" t="s">
        <v>165</v>
      </c>
      <c r="C16" s="17" t="s">
        <v>94</v>
      </c>
      <c r="D16" s="17" t="s">
        <v>99</v>
      </c>
      <c r="E16" s="18">
        <v>45965.40625</v>
      </c>
      <c r="F16" s="18">
        <v>45758.404166666667</v>
      </c>
      <c r="G16" s="18"/>
      <c r="H16" s="19">
        <v>73</v>
      </c>
      <c r="I16" s="17" t="s">
        <v>83</v>
      </c>
      <c r="J16" s="17" t="s">
        <v>171</v>
      </c>
      <c r="K16" s="19">
        <v>101</v>
      </c>
      <c r="L16" s="19">
        <v>15</v>
      </c>
      <c r="M16" s="17" t="s">
        <v>63</v>
      </c>
      <c r="N16" s="20" t="s">
        <v>91</v>
      </c>
      <c r="O16" s="19">
        <v>6</v>
      </c>
      <c r="P16" s="17" t="s">
        <v>42</v>
      </c>
      <c r="Q16" s="16"/>
      <c r="R16" s="17" t="s">
        <v>75</v>
      </c>
      <c r="S16" s="7">
        <v>2</v>
      </c>
      <c r="T16" t="s">
        <v>2596</v>
      </c>
      <c r="U16" t="s">
        <v>2596</v>
      </c>
      <c r="V16" t="s">
        <v>2597</v>
      </c>
    </row>
    <row r="17" spans="1:22" x14ac:dyDescent="0.25">
      <c r="A17" s="21" t="s">
        <v>605</v>
      </c>
      <c r="B17" s="22" t="s">
        <v>165</v>
      </c>
      <c r="C17" s="23" t="s">
        <v>94</v>
      </c>
      <c r="D17" s="23" t="s">
        <v>99</v>
      </c>
      <c r="E17" s="24">
        <v>45965.40625</v>
      </c>
      <c r="F17" s="24">
        <v>45758.404166666667</v>
      </c>
      <c r="G17" s="24"/>
      <c r="H17" s="25">
        <v>73</v>
      </c>
      <c r="I17" s="23" t="s">
        <v>83</v>
      </c>
      <c r="J17" s="23" t="s">
        <v>171</v>
      </c>
      <c r="K17" s="25">
        <v>101</v>
      </c>
      <c r="L17" s="25">
        <v>15</v>
      </c>
      <c r="M17" s="23" t="s">
        <v>63</v>
      </c>
      <c r="N17" s="26" t="s">
        <v>91</v>
      </c>
      <c r="O17" s="25">
        <v>6</v>
      </c>
      <c r="P17" s="23" t="s">
        <v>42</v>
      </c>
      <c r="Q17" s="22"/>
      <c r="R17" s="23" t="s">
        <v>75</v>
      </c>
      <c r="S17" s="8">
        <v>2</v>
      </c>
      <c r="T17" t="s">
        <v>2596</v>
      </c>
      <c r="U17" t="s">
        <v>2596</v>
      </c>
      <c r="V17" t="s">
        <v>2597</v>
      </c>
    </row>
    <row r="18" spans="1:22" hidden="1" x14ac:dyDescent="0.25">
      <c r="A18" s="15" t="s">
        <v>627</v>
      </c>
      <c r="B18" s="16" t="s">
        <v>36</v>
      </c>
      <c r="C18" s="17" t="s">
        <v>114</v>
      </c>
      <c r="D18" s="17" t="s">
        <v>115</v>
      </c>
      <c r="E18" s="18">
        <v>45611.732638888891</v>
      </c>
      <c r="F18" s="18">
        <v>45611.731249999997</v>
      </c>
      <c r="G18" s="18">
        <v>45611.805555555555</v>
      </c>
      <c r="H18" s="19"/>
      <c r="I18" s="17" t="s">
        <v>95</v>
      </c>
      <c r="J18" s="17" t="s">
        <v>40</v>
      </c>
      <c r="K18" s="19">
        <v>71</v>
      </c>
      <c r="L18" s="19">
        <v>34</v>
      </c>
      <c r="M18" s="17" t="s">
        <v>87</v>
      </c>
      <c r="N18" s="20" t="s">
        <v>51</v>
      </c>
      <c r="O18" s="19">
        <v>0</v>
      </c>
      <c r="P18" s="17" t="s">
        <v>34</v>
      </c>
      <c r="Q18" s="16">
        <v>184.4</v>
      </c>
      <c r="R18" s="17" t="s">
        <v>58</v>
      </c>
      <c r="S18" s="7">
        <v>2</v>
      </c>
      <c r="T18" t="s">
        <v>2598</v>
      </c>
      <c r="U18" t="s">
        <v>2598</v>
      </c>
      <c r="V18" t="s">
        <v>2599</v>
      </c>
    </row>
    <row r="19" spans="1:22" hidden="1" x14ac:dyDescent="0.25">
      <c r="A19" s="21" t="s">
        <v>627</v>
      </c>
      <c r="B19" s="22" t="s">
        <v>355</v>
      </c>
      <c r="C19" s="23" t="s">
        <v>114</v>
      </c>
      <c r="D19" s="23" t="s">
        <v>30</v>
      </c>
      <c r="E19" s="24">
        <v>45396.756944444445</v>
      </c>
      <c r="F19" s="24">
        <v>45396.738888888889</v>
      </c>
      <c r="G19" s="24">
        <v>45396.856944444444</v>
      </c>
      <c r="H19" s="25" t="s">
        <v>49</v>
      </c>
      <c r="I19" s="23"/>
      <c r="J19" s="23" t="s">
        <v>62</v>
      </c>
      <c r="K19" s="25">
        <v>68</v>
      </c>
      <c r="L19" s="25">
        <v>76</v>
      </c>
      <c r="M19" s="23" t="s">
        <v>63</v>
      </c>
      <c r="N19" s="26" t="s">
        <v>57</v>
      </c>
      <c r="O19" s="25" t="s">
        <v>96</v>
      </c>
      <c r="P19" s="23" t="s">
        <v>34</v>
      </c>
      <c r="Q19" s="22">
        <v>93.98</v>
      </c>
      <c r="R19" s="23" t="s">
        <v>58</v>
      </c>
      <c r="S19" s="8">
        <v>2</v>
      </c>
      <c r="T19" t="s">
        <v>2598</v>
      </c>
      <c r="U19" t="s">
        <v>2598</v>
      </c>
      <c r="V19" t="s">
        <v>2599</v>
      </c>
    </row>
    <row r="20" spans="1:22" hidden="1" x14ac:dyDescent="0.25">
      <c r="A20" s="15" t="s">
        <v>717</v>
      </c>
      <c r="B20" s="16" t="s">
        <v>442</v>
      </c>
      <c r="C20" s="17"/>
      <c r="D20" s="17" t="s">
        <v>61</v>
      </c>
      <c r="E20" s="18">
        <v>45908.409722222219</v>
      </c>
      <c r="F20" s="18">
        <v>45878.406944444447</v>
      </c>
      <c r="G20" s="18">
        <v>45878.476388888892</v>
      </c>
      <c r="H20" s="19"/>
      <c r="I20" s="17"/>
      <c r="J20" s="17"/>
      <c r="K20" s="19">
        <v>33</v>
      </c>
      <c r="L20" s="19">
        <v>63</v>
      </c>
      <c r="M20" s="17"/>
      <c r="N20" s="20" t="s">
        <v>33</v>
      </c>
      <c r="O20" s="19">
        <v>6</v>
      </c>
      <c r="P20" s="17" t="s">
        <v>34</v>
      </c>
      <c r="Q20" s="16">
        <v>160.83000000000001</v>
      </c>
      <c r="R20" s="17" t="s">
        <v>43</v>
      </c>
      <c r="S20" s="7">
        <v>2</v>
      </c>
      <c r="T20" t="s">
        <v>2598</v>
      </c>
      <c r="U20" t="s">
        <v>2598</v>
      </c>
      <c r="V20" t="s">
        <v>2599</v>
      </c>
    </row>
    <row r="21" spans="1:22" hidden="1" x14ac:dyDescent="0.25">
      <c r="A21" s="21" t="s">
        <v>717</v>
      </c>
      <c r="B21" s="22" t="s">
        <v>117</v>
      </c>
      <c r="C21" s="23" t="s">
        <v>46</v>
      </c>
      <c r="D21" s="23" t="s">
        <v>23</v>
      </c>
      <c r="E21" s="24">
        <v>45300.65625</v>
      </c>
      <c r="F21" s="24">
        <v>45300.652083333334</v>
      </c>
      <c r="G21" s="24">
        <v>45300.696527777778</v>
      </c>
      <c r="H21" s="25">
        <v>81</v>
      </c>
      <c r="I21" s="23" t="s">
        <v>39</v>
      </c>
      <c r="J21" s="23" t="s">
        <v>171</v>
      </c>
      <c r="K21" s="25">
        <v>35</v>
      </c>
      <c r="L21" s="25">
        <v>23</v>
      </c>
      <c r="M21" s="23" t="s">
        <v>50</v>
      </c>
      <c r="N21" s="26" t="s">
        <v>51</v>
      </c>
      <c r="O21" s="25" t="s">
        <v>96</v>
      </c>
      <c r="P21" s="23" t="s">
        <v>52</v>
      </c>
      <c r="Q21" s="22">
        <v>119.37</v>
      </c>
      <c r="R21" s="23" t="s">
        <v>26</v>
      </c>
      <c r="S21" s="8">
        <v>2</v>
      </c>
      <c r="T21" t="s">
        <v>2598</v>
      </c>
      <c r="U21" t="s">
        <v>2598</v>
      </c>
      <c r="V21" t="s">
        <v>2599</v>
      </c>
    </row>
    <row r="22" spans="1:22" hidden="1" x14ac:dyDescent="0.25">
      <c r="A22" s="15" t="s">
        <v>751</v>
      </c>
      <c r="B22" s="16" t="s">
        <v>752</v>
      </c>
      <c r="C22" s="17" t="s">
        <v>37</v>
      </c>
      <c r="D22" s="17" t="s">
        <v>61</v>
      </c>
      <c r="E22" s="18">
        <v>45305.416666666664</v>
      </c>
      <c r="F22" s="18">
        <v>45305.415972222225</v>
      </c>
      <c r="G22" s="18">
        <v>45305.463888888888</v>
      </c>
      <c r="H22" s="19">
        <v>37</v>
      </c>
      <c r="I22" s="17" t="s">
        <v>95</v>
      </c>
      <c r="J22" s="17" t="s">
        <v>62</v>
      </c>
      <c r="K22" s="19">
        <v>60</v>
      </c>
      <c r="L22" s="19">
        <v>8</v>
      </c>
      <c r="M22" s="17"/>
      <c r="N22" s="20" t="s">
        <v>24</v>
      </c>
      <c r="O22" s="19" t="s">
        <v>96</v>
      </c>
      <c r="P22" s="17" t="s">
        <v>34</v>
      </c>
      <c r="Q22" s="16">
        <v>224.7</v>
      </c>
      <c r="R22" s="17" t="s">
        <v>58</v>
      </c>
      <c r="S22" s="7">
        <v>2</v>
      </c>
      <c r="T22" t="s">
        <v>2598</v>
      </c>
      <c r="U22" t="s">
        <v>2598</v>
      </c>
      <c r="V22" t="s">
        <v>2599</v>
      </c>
    </row>
    <row r="23" spans="1:22" hidden="1" x14ac:dyDescent="0.25">
      <c r="A23" s="21" t="s">
        <v>751</v>
      </c>
      <c r="B23" s="22" t="s">
        <v>45</v>
      </c>
      <c r="C23" s="23" t="s">
        <v>29</v>
      </c>
      <c r="D23" s="23" t="s">
        <v>47</v>
      </c>
      <c r="E23" s="24" t="s">
        <v>753</v>
      </c>
      <c r="F23" s="24">
        <v>45951.31527777778</v>
      </c>
      <c r="G23" s="24">
        <v>45951.350694444445</v>
      </c>
      <c r="H23" s="25" t="s">
        <v>49</v>
      </c>
      <c r="I23" s="23" t="s">
        <v>73</v>
      </c>
      <c r="J23" s="23" t="s">
        <v>31</v>
      </c>
      <c r="K23" s="25">
        <v>40</v>
      </c>
      <c r="L23" s="25">
        <v>5</v>
      </c>
      <c r="M23" s="23"/>
      <c r="N23" s="26" t="s">
        <v>33</v>
      </c>
      <c r="O23" s="25">
        <v>0</v>
      </c>
      <c r="P23" s="23" t="s">
        <v>42</v>
      </c>
      <c r="Q23" s="22"/>
      <c r="R23" s="23" t="s">
        <v>58</v>
      </c>
      <c r="S23" s="8">
        <v>2</v>
      </c>
      <c r="T23" t="s">
        <v>2598</v>
      </c>
      <c r="U23" t="s">
        <v>2598</v>
      </c>
      <c r="V23" t="s">
        <v>2599</v>
      </c>
    </row>
    <row r="24" spans="1:22" x14ac:dyDescent="0.25">
      <c r="A24" s="15" t="s">
        <v>774</v>
      </c>
      <c r="B24" s="16" t="s">
        <v>170</v>
      </c>
      <c r="C24" s="17" t="s">
        <v>46</v>
      </c>
      <c r="D24" s="17" t="s">
        <v>55</v>
      </c>
      <c r="E24" s="18" t="s">
        <v>775</v>
      </c>
      <c r="F24" s="18">
        <v>45595.43472222222</v>
      </c>
      <c r="G24" s="18">
        <v>45595.560416666667</v>
      </c>
      <c r="H24" s="19"/>
      <c r="I24" s="17"/>
      <c r="J24" s="17" t="s">
        <v>79</v>
      </c>
      <c r="K24" s="19">
        <v>142</v>
      </c>
      <c r="L24" s="19">
        <v>30</v>
      </c>
      <c r="M24" s="17" t="s">
        <v>32</v>
      </c>
      <c r="N24" s="20" t="s">
        <v>24</v>
      </c>
      <c r="O24" s="19" t="s">
        <v>96</v>
      </c>
      <c r="P24" s="17" t="s">
        <v>84</v>
      </c>
      <c r="Q24" s="16"/>
      <c r="R24" s="17" t="s">
        <v>75</v>
      </c>
      <c r="S24" s="7">
        <v>2</v>
      </c>
      <c r="T24" t="s">
        <v>2596</v>
      </c>
      <c r="U24" t="s">
        <v>2596</v>
      </c>
      <c r="V24" t="s">
        <v>2597</v>
      </c>
    </row>
    <row r="25" spans="1:22" x14ac:dyDescent="0.25">
      <c r="A25" s="21" t="s">
        <v>774</v>
      </c>
      <c r="B25" s="22" t="s">
        <v>170</v>
      </c>
      <c r="C25" s="23" t="s">
        <v>46</v>
      </c>
      <c r="D25" s="23" t="s">
        <v>55</v>
      </c>
      <c r="E25" s="24" t="s">
        <v>775</v>
      </c>
      <c r="F25" s="24">
        <v>45595.43472222222</v>
      </c>
      <c r="G25" s="24">
        <v>45595.560416666667</v>
      </c>
      <c r="H25" s="25"/>
      <c r="I25" s="23"/>
      <c r="J25" s="23" t="s">
        <v>79</v>
      </c>
      <c r="K25" s="25">
        <v>142</v>
      </c>
      <c r="L25" s="25">
        <v>30</v>
      </c>
      <c r="M25" s="23" t="s">
        <v>32</v>
      </c>
      <c r="N25" s="26" t="s">
        <v>24</v>
      </c>
      <c r="O25" s="25" t="s">
        <v>96</v>
      </c>
      <c r="P25" s="23" t="s">
        <v>84</v>
      </c>
      <c r="Q25" s="22"/>
      <c r="R25" s="23" t="s">
        <v>75</v>
      </c>
      <c r="S25" s="8">
        <v>2</v>
      </c>
      <c r="T25" t="s">
        <v>2596</v>
      </c>
      <c r="U25" t="s">
        <v>2596</v>
      </c>
      <c r="V25" t="s">
        <v>2597</v>
      </c>
    </row>
    <row r="26" spans="1:22" hidden="1" x14ac:dyDescent="0.25">
      <c r="A26" s="15" t="s">
        <v>778</v>
      </c>
      <c r="B26" s="16" t="s">
        <v>143</v>
      </c>
      <c r="C26" s="17"/>
      <c r="D26" s="17" t="s">
        <v>30</v>
      </c>
      <c r="E26" s="18">
        <v>45853.545138888891</v>
      </c>
      <c r="F26" s="18">
        <v>45853.532638888886</v>
      </c>
      <c r="G26" s="18">
        <v>45853.643750000003</v>
      </c>
      <c r="H26" s="19"/>
      <c r="I26" s="17" t="s">
        <v>95</v>
      </c>
      <c r="J26" s="17" t="s">
        <v>171</v>
      </c>
      <c r="K26" s="19">
        <v>99</v>
      </c>
      <c r="L26" s="19">
        <v>43</v>
      </c>
      <c r="M26" s="17" t="s">
        <v>50</v>
      </c>
      <c r="N26" s="20" t="s">
        <v>24</v>
      </c>
      <c r="O26" s="19"/>
      <c r="P26" s="17" t="s">
        <v>42</v>
      </c>
      <c r="Q26" s="16">
        <v>53.56</v>
      </c>
      <c r="R26" s="17" t="s">
        <v>58</v>
      </c>
      <c r="S26" s="7">
        <v>2</v>
      </c>
      <c r="T26" t="s">
        <v>2598</v>
      </c>
      <c r="U26" t="s">
        <v>2598</v>
      </c>
      <c r="V26" t="s">
        <v>2599</v>
      </c>
    </row>
    <row r="27" spans="1:22" hidden="1" x14ac:dyDescent="0.25">
      <c r="A27" s="21" t="s">
        <v>778</v>
      </c>
      <c r="B27" s="22" t="s">
        <v>435</v>
      </c>
      <c r="C27" s="23" t="s">
        <v>46</v>
      </c>
      <c r="D27" s="23" t="s">
        <v>66</v>
      </c>
      <c r="E27" s="24" t="s">
        <v>779</v>
      </c>
      <c r="F27" s="24">
        <v>45729.70416666667</v>
      </c>
      <c r="G27" s="24">
        <v>45729.802777777775</v>
      </c>
      <c r="H27" s="25">
        <v>55</v>
      </c>
      <c r="I27" s="23" t="s">
        <v>163</v>
      </c>
      <c r="J27" s="23" t="s">
        <v>67</v>
      </c>
      <c r="K27" s="25">
        <v>115</v>
      </c>
      <c r="L27" s="25">
        <v>11</v>
      </c>
      <c r="M27" s="23" t="s">
        <v>50</v>
      </c>
      <c r="N27" s="26" t="s">
        <v>74</v>
      </c>
      <c r="O27" s="25">
        <v>0</v>
      </c>
      <c r="P27" s="23" t="s">
        <v>84</v>
      </c>
      <c r="Q27" s="22">
        <v>169.21</v>
      </c>
      <c r="R27" s="23" t="s">
        <v>26</v>
      </c>
      <c r="S27" s="8">
        <v>2</v>
      </c>
      <c r="T27" t="s">
        <v>2598</v>
      </c>
      <c r="U27" t="s">
        <v>2598</v>
      </c>
      <c r="V27" t="s">
        <v>2599</v>
      </c>
    </row>
    <row r="28" spans="1:22" x14ac:dyDescent="0.25">
      <c r="A28" s="15" t="s">
        <v>968</v>
      </c>
      <c r="B28" s="16" t="s">
        <v>226</v>
      </c>
      <c r="C28" s="17" t="s">
        <v>37</v>
      </c>
      <c r="D28" s="17" t="s">
        <v>99</v>
      </c>
      <c r="E28" s="18" t="s">
        <v>969</v>
      </c>
      <c r="F28" s="18">
        <v>45990.459027777775</v>
      </c>
      <c r="G28" s="18">
        <v>45990.554166666669</v>
      </c>
      <c r="H28" s="19" t="s">
        <v>49</v>
      </c>
      <c r="I28" s="17" t="s">
        <v>95</v>
      </c>
      <c r="J28" s="17" t="s">
        <v>150</v>
      </c>
      <c r="K28" s="19">
        <v>64</v>
      </c>
      <c r="L28" s="19">
        <v>59</v>
      </c>
      <c r="M28" s="17" t="s">
        <v>32</v>
      </c>
      <c r="N28" s="20" t="s">
        <v>69</v>
      </c>
      <c r="O28" s="19"/>
      <c r="P28" s="17" t="s">
        <v>52</v>
      </c>
      <c r="Q28" s="16">
        <v>305.49</v>
      </c>
      <c r="R28" s="17" t="s">
        <v>26</v>
      </c>
      <c r="S28" s="7">
        <v>2</v>
      </c>
      <c r="T28" t="s">
        <v>2596</v>
      </c>
      <c r="U28" t="s">
        <v>2596</v>
      </c>
      <c r="V28" t="s">
        <v>2597</v>
      </c>
    </row>
    <row r="29" spans="1:22" x14ac:dyDescent="0.25">
      <c r="A29" s="21" t="s">
        <v>968</v>
      </c>
      <c r="B29" s="22" t="s">
        <v>226</v>
      </c>
      <c r="C29" s="23" t="s">
        <v>37</v>
      </c>
      <c r="D29" s="23" t="s">
        <v>99</v>
      </c>
      <c r="E29" s="24" t="s">
        <v>969</v>
      </c>
      <c r="F29" s="24">
        <v>45990.459027777775</v>
      </c>
      <c r="G29" s="24">
        <v>45990.554166666669</v>
      </c>
      <c r="H29" s="25" t="s">
        <v>49</v>
      </c>
      <c r="I29" s="23" t="s">
        <v>95</v>
      </c>
      <c r="J29" s="23" t="s">
        <v>150</v>
      </c>
      <c r="K29" s="25">
        <v>64</v>
      </c>
      <c r="L29" s="25">
        <v>59</v>
      </c>
      <c r="M29" s="23" t="s">
        <v>32</v>
      </c>
      <c r="N29" s="26" t="s">
        <v>69</v>
      </c>
      <c r="O29" s="25"/>
      <c r="P29" s="23" t="s">
        <v>52</v>
      </c>
      <c r="Q29" s="22">
        <v>305.49</v>
      </c>
      <c r="R29" s="23" t="s">
        <v>26</v>
      </c>
      <c r="S29" s="8">
        <v>2</v>
      </c>
      <c r="T29" t="s">
        <v>2596</v>
      </c>
      <c r="U29" t="s">
        <v>2596</v>
      </c>
      <c r="V29" t="s">
        <v>2597</v>
      </c>
    </row>
    <row r="30" spans="1:22" hidden="1" x14ac:dyDescent="0.25">
      <c r="A30" s="15" t="s">
        <v>1110</v>
      </c>
      <c r="B30" s="16" t="s">
        <v>369</v>
      </c>
      <c r="C30" s="17"/>
      <c r="D30" s="17" t="s">
        <v>20</v>
      </c>
      <c r="E30" s="18"/>
      <c r="F30" s="18">
        <v>45815.297222222223</v>
      </c>
      <c r="G30" s="18">
        <v>45815.368750000001</v>
      </c>
      <c r="H30" s="19">
        <v>145</v>
      </c>
      <c r="I30" s="17" t="s">
        <v>95</v>
      </c>
      <c r="J30" s="17" t="s">
        <v>67</v>
      </c>
      <c r="K30" s="19">
        <v>62</v>
      </c>
      <c r="L30" s="19">
        <v>29</v>
      </c>
      <c r="M30" s="17" t="s">
        <v>32</v>
      </c>
      <c r="N30" s="20" t="s">
        <v>51</v>
      </c>
      <c r="O30" s="19"/>
      <c r="P30" s="17"/>
      <c r="Q30" s="16">
        <v>198.71</v>
      </c>
      <c r="R30" s="17" t="s">
        <v>43</v>
      </c>
      <c r="S30" s="7">
        <v>2</v>
      </c>
      <c r="T30" t="s">
        <v>2598</v>
      </c>
      <c r="U30" t="s">
        <v>2598</v>
      </c>
      <c r="V30" t="s">
        <v>2599</v>
      </c>
    </row>
    <row r="31" spans="1:22" hidden="1" x14ac:dyDescent="0.25">
      <c r="A31" s="21" t="s">
        <v>1110</v>
      </c>
      <c r="B31" s="22" t="s">
        <v>467</v>
      </c>
      <c r="C31" s="23" t="s">
        <v>114</v>
      </c>
      <c r="D31" s="23" t="s">
        <v>61</v>
      </c>
      <c r="E31" s="24">
        <v>45323.666666666664</v>
      </c>
      <c r="F31" s="24">
        <v>45323.645833333336</v>
      </c>
      <c r="G31" s="24">
        <v>45323.724305555559</v>
      </c>
      <c r="H31" s="25">
        <v>47</v>
      </c>
      <c r="I31" s="23" t="s">
        <v>73</v>
      </c>
      <c r="J31" s="23" t="s">
        <v>67</v>
      </c>
      <c r="K31" s="25">
        <v>65</v>
      </c>
      <c r="L31" s="25">
        <v>18</v>
      </c>
      <c r="M31" s="23"/>
      <c r="N31" s="26" t="s">
        <v>91</v>
      </c>
      <c r="O31" s="25">
        <v>0</v>
      </c>
      <c r="P31" s="23" t="s">
        <v>42</v>
      </c>
      <c r="Q31" s="22"/>
      <c r="R31" s="23" t="s">
        <v>58</v>
      </c>
      <c r="S31" s="8">
        <v>2</v>
      </c>
      <c r="T31" t="s">
        <v>2598</v>
      </c>
      <c r="U31" t="s">
        <v>2598</v>
      </c>
      <c r="V31" t="s">
        <v>2599</v>
      </c>
    </row>
    <row r="32" spans="1:22" x14ac:dyDescent="0.25">
      <c r="A32" s="15" t="s">
        <v>1205</v>
      </c>
      <c r="B32" s="16" t="s">
        <v>1206</v>
      </c>
      <c r="C32" s="17" t="s">
        <v>37</v>
      </c>
      <c r="D32" s="17" t="s">
        <v>174</v>
      </c>
      <c r="E32" s="18">
        <v>45506.423611111109</v>
      </c>
      <c r="F32" s="18">
        <v>45506.42291666667</v>
      </c>
      <c r="G32" s="18"/>
      <c r="H32" s="19"/>
      <c r="I32" s="17" t="s">
        <v>90</v>
      </c>
      <c r="J32" s="17" t="s">
        <v>22</v>
      </c>
      <c r="K32" s="19">
        <v>84</v>
      </c>
      <c r="L32" s="19">
        <v>53</v>
      </c>
      <c r="M32" s="17"/>
      <c r="N32" s="20" t="s">
        <v>69</v>
      </c>
      <c r="O32" s="19">
        <v>0</v>
      </c>
      <c r="P32" s="17" t="s">
        <v>84</v>
      </c>
      <c r="Q32" s="16"/>
      <c r="R32" s="17" t="s">
        <v>75</v>
      </c>
      <c r="S32" s="7">
        <v>2</v>
      </c>
      <c r="T32" t="s">
        <v>2596</v>
      </c>
      <c r="U32" t="s">
        <v>2596</v>
      </c>
      <c r="V32" t="s">
        <v>2597</v>
      </c>
    </row>
    <row r="33" spans="1:22" x14ac:dyDescent="0.25">
      <c r="A33" s="21" t="s">
        <v>1205</v>
      </c>
      <c r="B33" s="22" t="s">
        <v>1206</v>
      </c>
      <c r="C33" s="23" t="s">
        <v>37</v>
      </c>
      <c r="D33" s="23" t="s">
        <v>174</v>
      </c>
      <c r="E33" s="24">
        <v>45506.423611111109</v>
      </c>
      <c r="F33" s="24">
        <v>45506.42291666667</v>
      </c>
      <c r="G33" s="24"/>
      <c r="H33" s="25"/>
      <c r="I33" s="23" t="s">
        <v>90</v>
      </c>
      <c r="J33" s="23" t="s">
        <v>22</v>
      </c>
      <c r="K33" s="25">
        <v>84</v>
      </c>
      <c r="L33" s="25">
        <v>53</v>
      </c>
      <c r="M33" s="23"/>
      <c r="N33" s="26" t="s">
        <v>69</v>
      </c>
      <c r="O33" s="25">
        <v>0</v>
      </c>
      <c r="P33" s="23" t="s">
        <v>84</v>
      </c>
      <c r="Q33" s="22"/>
      <c r="R33" s="23" t="s">
        <v>75</v>
      </c>
      <c r="S33" s="8">
        <v>2</v>
      </c>
      <c r="T33" t="s">
        <v>2596</v>
      </c>
      <c r="U33" t="s">
        <v>2596</v>
      </c>
      <c r="V33" t="s">
        <v>2597</v>
      </c>
    </row>
    <row r="34" spans="1:22" hidden="1" x14ac:dyDescent="0.25">
      <c r="A34" s="15" t="s">
        <v>1217</v>
      </c>
      <c r="B34" s="16" t="s">
        <v>1218</v>
      </c>
      <c r="C34" s="17" t="s">
        <v>86</v>
      </c>
      <c r="D34" s="17" t="s">
        <v>99</v>
      </c>
      <c r="E34" s="18">
        <v>45833.361111111109</v>
      </c>
      <c r="F34" s="18">
        <v>45833.347222222219</v>
      </c>
      <c r="G34" s="18">
        <v>45833.440972222219</v>
      </c>
      <c r="H34" s="19">
        <v>63</v>
      </c>
      <c r="I34" s="17" t="s">
        <v>110</v>
      </c>
      <c r="J34" s="17"/>
      <c r="K34" s="19">
        <v>87</v>
      </c>
      <c r="L34" s="19">
        <v>28</v>
      </c>
      <c r="M34" s="17" t="s">
        <v>50</v>
      </c>
      <c r="N34" s="20" t="s">
        <v>57</v>
      </c>
      <c r="O34" s="19" t="s">
        <v>96</v>
      </c>
      <c r="P34" s="17" t="s">
        <v>25</v>
      </c>
      <c r="Q34" s="16">
        <v>123.84</v>
      </c>
      <c r="R34" s="17" t="s">
        <v>43</v>
      </c>
      <c r="S34" s="7">
        <v>2</v>
      </c>
      <c r="T34" t="s">
        <v>2598</v>
      </c>
      <c r="U34" t="s">
        <v>2598</v>
      </c>
      <c r="V34" t="s">
        <v>2599</v>
      </c>
    </row>
    <row r="35" spans="1:22" hidden="1" x14ac:dyDescent="0.25">
      <c r="A35" s="21" t="s">
        <v>1217</v>
      </c>
      <c r="B35" s="22" t="s">
        <v>1219</v>
      </c>
      <c r="C35" s="23" t="s">
        <v>94</v>
      </c>
      <c r="D35" s="23" t="s">
        <v>115</v>
      </c>
      <c r="E35" s="24" t="s">
        <v>1220</v>
      </c>
      <c r="F35" s="24"/>
      <c r="G35" s="24">
        <v>45925.752083333333</v>
      </c>
      <c r="H35" s="25"/>
      <c r="I35" s="23" t="s">
        <v>110</v>
      </c>
      <c r="J35" s="23" t="s">
        <v>171</v>
      </c>
      <c r="K35" s="25">
        <v>0</v>
      </c>
      <c r="L35" s="25">
        <v>43</v>
      </c>
      <c r="M35" s="23"/>
      <c r="N35" s="26" t="s">
        <v>24</v>
      </c>
      <c r="O35" s="25"/>
      <c r="P35" s="23" t="s">
        <v>25</v>
      </c>
      <c r="Q35" s="22">
        <v>45.86</v>
      </c>
      <c r="R35" s="23" t="s">
        <v>58</v>
      </c>
      <c r="S35" s="8">
        <v>2</v>
      </c>
      <c r="T35" t="s">
        <v>2598</v>
      </c>
      <c r="U35" t="s">
        <v>2598</v>
      </c>
      <c r="V35" t="s">
        <v>2599</v>
      </c>
    </row>
    <row r="36" spans="1:22" hidden="1" x14ac:dyDescent="0.25">
      <c r="A36" s="15" t="s">
        <v>1233</v>
      </c>
      <c r="B36" s="16" t="s">
        <v>1219</v>
      </c>
      <c r="C36" s="17" t="s">
        <v>37</v>
      </c>
      <c r="D36" s="17" t="s">
        <v>38</v>
      </c>
      <c r="E36" s="18">
        <v>45859.319444444445</v>
      </c>
      <c r="F36" s="18">
        <v>45859.304861111108</v>
      </c>
      <c r="G36" s="18">
        <v>45859.377083333333</v>
      </c>
      <c r="H36" s="19">
        <v>67</v>
      </c>
      <c r="I36" s="17" t="s">
        <v>163</v>
      </c>
      <c r="J36" s="17" t="s">
        <v>79</v>
      </c>
      <c r="K36" s="19">
        <v>57</v>
      </c>
      <c r="L36" s="19">
        <v>26</v>
      </c>
      <c r="M36" s="17" t="s">
        <v>87</v>
      </c>
      <c r="N36" s="20" t="s">
        <v>24</v>
      </c>
      <c r="O36" s="19">
        <v>6</v>
      </c>
      <c r="P36" s="17" t="s">
        <v>42</v>
      </c>
      <c r="Q36" s="16">
        <v>157.41999999999999</v>
      </c>
      <c r="R36" s="17" t="s">
        <v>58</v>
      </c>
      <c r="S36" s="7">
        <v>2</v>
      </c>
      <c r="T36" t="s">
        <v>2598</v>
      </c>
      <c r="U36" t="s">
        <v>2598</v>
      </c>
      <c r="V36" t="s">
        <v>2599</v>
      </c>
    </row>
    <row r="37" spans="1:22" hidden="1" x14ac:dyDescent="0.25">
      <c r="A37" s="21" t="s">
        <v>1233</v>
      </c>
      <c r="B37" s="22" t="s">
        <v>1234</v>
      </c>
      <c r="C37" s="23" t="s">
        <v>94</v>
      </c>
      <c r="D37" s="23" t="s">
        <v>149</v>
      </c>
      <c r="E37" s="24">
        <v>45912.319444444445</v>
      </c>
      <c r="F37" s="24">
        <v>45912.304166666669</v>
      </c>
      <c r="G37" s="24">
        <v>45912.390277777777</v>
      </c>
      <c r="H37" s="25">
        <v>74</v>
      </c>
      <c r="I37" s="23" t="s">
        <v>163</v>
      </c>
      <c r="J37" s="23" t="s">
        <v>150</v>
      </c>
      <c r="K37" s="25">
        <v>86</v>
      </c>
      <c r="L37" s="25">
        <v>16</v>
      </c>
      <c r="M37" s="23"/>
      <c r="N37" s="26"/>
      <c r="O37" s="25" t="s">
        <v>96</v>
      </c>
      <c r="P37" s="23" t="s">
        <v>52</v>
      </c>
      <c r="Q37" s="22">
        <v>92.35</v>
      </c>
      <c r="R37" s="23" t="s">
        <v>26</v>
      </c>
      <c r="S37" s="8">
        <v>2</v>
      </c>
      <c r="T37" t="s">
        <v>2598</v>
      </c>
      <c r="U37" t="s">
        <v>2598</v>
      </c>
      <c r="V37" t="s">
        <v>2599</v>
      </c>
    </row>
    <row r="38" spans="1:22" hidden="1" x14ac:dyDescent="0.25">
      <c r="A38" s="15" t="s">
        <v>1281</v>
      </c>
      <c r="B38" s="16" t="s">
        <v>531</v>
      </c>
      <c r="C38" s="17" t="s">
        <v>29</v>
      </c>
      <c r="D38" s="17" t="s">
        <v>55</v>
      </c>
      <c r="E38" s="18" t="s">
        <v>1282</v>
      </c>
      <c r="F38" s="18">
        <v>45863.726388888892</v>
      </c>
      <c r="G38" s="18">
        <v>45863.755555555559</v>
      </c>
      <c r="H38" s="19">
        <v>48</v>
      </c>
      <c r="I38" s="17"/>
      <c r="J38" s="17"/>
      <c r="K38" s="19">
        <v>29</v>
      </c>
      <c r="L38" s="19">
        <v>9</v>
      </c>
      <c r="M38" s="17" t="s">
        <v>50</v>
      </c>
      <c r="N38" s="20" t="s">
        <v>91</v>
      </c>
      <c r="O38" s="19">
        <v>3</v>
      </c>
      <c r="P38" s="17"/>
      <c r="Q38" s="16">
        <v>126.28</v>
      </c>
      <c r="R38" s="17" t="s">
        <v>58</v>
      </c>
      <c r="S38" s="7">
        <v>2</v>
      </c>
      <c r="T38" t="s">
        <v>2598</v>
      </c>
      <c r="U38" t="s">
        <v>2598</v>
      </c>
      <c r="V38" t="s">
        <v>2599</v>
      </c>
    </row>
    <row r="39" spans="1:22" hidden="1" x14ac:dyDescent="0.25">
      <c r="A39" s="21" t="s">
        <v>1281</v>
      </c>
      <c r="B39" s="22" t="s">
        <v>45</v>
      </c>
      <c r="C39" s="23"/>
      <c r="D39" s="23" t="s">
        <v>106</v>
      </c>
      <c r="E39" s="24">
        <v>45902.506944444445</v>
      </c>
      <c r="F39" s="24">
        <v>45902.501388888886</v>
      </c>
      <c r="G39" s="24">
        <v>45902.592361111114</v>
      </c>
      <c r="H39" s="25"/>
      <c r="I39" s="23" t="s">
        <v>110</v>
      </c>
      <c r="J39" s="23" t="s">
        <v>79</v>
      </c>
      <c r="K39" s="25">
        <v>74</v>
      </c>
      <c r="L39" s="25">
        <v>49</v>
      </c>
      <c r="M39" s="23" t="s">
        <v>41</v>
      </c>
      <c r="N39" s="26" t="s">
        <v>57</v>
      </c>
      <c r="O39" s="25">
        <v>2</v>
      </c>
      <c r="P39" s="23"/>
      <c r="Q39" s="22"/>
      <c r="R39" s="23" t="s">
        <v>58</v>
      </c>
      <c r="S39" s="8">
        <v>2</v>
      </c>
      <c r="T39" t="s">
        <v>2598</v>
      </c>
      <c r="U39" t="s">
        <v>2598</v>
      </c>
      <c r="V39" t="s">
        <v>2599</v>
      </c>
    </row>
    <row r="40" spans="1:22" hidden="1" x14ac:dyDescent="0.25">
      <c r="A40" s="15" t="s">
        <v>1409</v>
      </c>
      <c r="B40" s="16" t="s">
        <v>741</v>
      </c>
      <c r="C40" s="17" t="s">
        <v>46</v>
      </c>
      <c r="D40" s="17" t="s">
        <v>149</v>
      </c>
      <c r="E40" s="18" t="s">
        <v>1410</v>
      </c>
      <c r="F40" s="18">
        <v>45740.534722222219</v>
      </c>
      <c r="G40" s="18">
        <v>45740.574305555558</v>
      </c>
      <c r="H40" s="19">
        <v>10</v>
      </c>
      <c r="I40" s="17" t="s">
        <v>73</v>
      </c>
      <c r="J40" s="17" t="s">
        <v>79</v>
      </c>
      <c r="K40" s="19">
        <v>30</v>
      </c>
      <c r="L40" s="19">
        <v>7</v>
      </c>
      <c r="M40" s="17" t="s">
        <v>63</v>
      </c>
      <c r="N40" s="20" t="s">
        <v>51</v>
      </c>
      <c r="O40" s="19">
        <v>2</v>
      </c>
      <c r="P40" s="17" t="s">
        <v>80</v>
      </c>
      <c r="Q40" s="16">
        <v>169.31</v>
      </c>
      <c r="R40" s="17" t="s">
        <v>43</v>
      </c>
      <c r="S40" s="7">
        <v>2</v>
      </c>
      <c r="T40" t="s">
        <v>2598</v>
      </c>
      <c r="U40" t="s">
        <v>2598</v>
      </c>
      <c r="V40" t="s">
        <v>2599</v>
      </c>
    </row>
    <row r="41" spans="1:22" hidden="1" x14ac:dyDescent="0.25">
      <c r="A41" s="21" t="s">
        <v>1409</v>
      </c>
      <c r="B41" s="22" t="s">
        <v>1160</v>
      </c>
      <c r="C41" s="23" t="s">
        <v>94</v>
      </c>
      <c r="D41" s="23" t="s">
        <v>174</v>
      </c>
      <c r="E41" s="24">
        <v>45887.75</v>
      </c>
      <c r="F41" s="24">
        <v>45887.730555555558</v>
      </c>
      <c r="G41" s="24">
        <v>45887.826388888891</v>
      </c>
      <c r="H41" s="25">
        <v>-4</v>
      </c>
      <c r="I41" s="23" t="s">
        <v>90</v>
      </c>
      <c r="J41" s="23" t="s">
        <v>62</v>
      </c>
      <c r="K41" s="25">
        <v>83</v>
      </c>
      <c r="L41" s="25">
        <v>27</v>
      </c>
      <c r="M41" s="23" t="s">
        <v>32</v>
      </c>
      <c r="N41" s="26" t="s">
        <v>100</v>
      </c>
      <c r="O41" s="25"/>
      <c r="P41" s="23"/>
      <c r="Q41" s="22">
        <v>261.26</v>
      </c>
      <c r="R41" s="23" t="s">
        <v>58</v>
      </c>
      <c r="S41" s="8">
        <v>2</v>
      </c>
      <c r="T41" t="s">
        <v>2598</v>
      </c>
      <c r="U41" t="s">
        <v>2598</v>
      </c>
      <c r="V41" t="s">
        <v>2599</v>
      </c>
    </row>
    <row r="42" spans="1:22" x14ac:dyDescent="0.25">
      <c r="A42" s="15" t="s">
        <v>1455</v>
      </c>
      <c r="B42" s="16" t="s">
        <v>204</v>
      </c>
      <c r="C42" s="17" t="s">
        <v>19</v>
      </c>
      <c r="D42" s="17" t="s">
        <v>38</v>
      </c>
      <c r="E42" s="18" t="s">
        <v>128</v>
      </c>
      <c r="F42" s="18">
        <v>45375.565972222219</v>
      </c>
      <c r="G42" s="18">
        <v>45375.659722222219</v>
      </c>
      <c r="H42" s="19">
        <v>63</v>
      </c>
      <c r="I42" s="17" t="s">
        <v>110</v>
      </c>
      <c r="J42" s="17" t="s">
        <v>150</v>
      </c>
      <c r="K42" s="19">
        <v>56</v>
      </c>
      <c r="L42" s="19">
        <v>54</v>
      </c>
      <c r="M42" s="17"/>
      <c r="N42" s="20" t="s">
        <v>33</v>
      </c>
      <c r="O42" s="19">
        <v>1</v>
      </c>
      <c r="P42" s="17" t="s">
        <v>42</v>
      </c>
      <c r="Q42" s="16">
        <v>232.72</v>
      </c>
      <c r="R42" s="17" t="s">
        <v>58</v>
      </c>
      <c r="S42" s="7">
        <v>2</v>
      </c>
      <c r="T42" t="s">
        <v>2596</v>
      </c>
      <c r="U42" t="s">
        <v>2596</v>
      </c>
      <c r="V42" t="s">
        <v>2597</v>
      </c>
    </row>
    <row r="43" spans="1:22" x14ac:dyDescent="0.25">
      <c r="A43" s="21" t="s">
        <v>1455</v>
      </c>
      <c r="B43" s="22" t="s">
        <v>204</v>
      </c>
      <c r="C43" s="23" t="s">
        <v>19</v>
      </c>
      <c r="D43" s="23" t="s">
        <v>38</v>
      </c>
      <c r="E43" s="24" t="s">
        <v>128</v>
      </c>
      <c r="F43" s="24">
        <v>45375.565972222219</v>
      </c>
      <c r="G43" s="24">
        <v>45375.659722222219</v>
      </c>
      <c r="H43" s="25">
        <v>63</v>
      </c>
      <c r="I43" s="23" t="s">
        <v>110</v>
      </c>
      <c r="J43" s="23" t="s">
        <v>150</v>
      </c>
      <c r="K43" s="25">
        <v>56</v>
      </c>
      <c r="L43" s="25">
        <v>54</v>
      </c>
      <c r="M43" s="23"/>
      <c r="N43" s="26" t="s">
        <v>33</v>
      </c>
      <c r="O43" s="25">
        <v>1</v>
      </c>
      <c r="P43" s="23" t="s">
        <v>42</v>
      </c>
      <c r="Q43" s="22">
        <v>232.72</v>
      </c>
      <c r="R43" s="23" t="s">
        <v>58</v>
      </c>
      <c r="S43" s="8">
        <v>2</v>
      </c>
      <c r="T43" t="s">
        <v>2596</v>
      </c>
      <c r="U43" t="s">
        <v>2596</v>
      </c>
      <c r="V43" t="s">
        <v>2597</v>
      </c>
    </row>
    <row r="44" spans="1:22" x14ac:dyDescent="0.25">
      <c r="A44" s="15" t="s">
        <v>1482</v>
      </c>
      <c r="B44" s="16" t="s">
        <v>900</v>
      </c>
      <c r="C44" s="17" t="s">
        <v>86</v>
      </c>
      <c r="D44" s="17" t="s">
        <v>99</v>
      </c>
      <c r="E44" s="18">
        <v>45959.614583333336</v>
      </c>
      <c r="F44" s="18">
        <v>45959.59652777778</v>
      </c>
      <c r="G44" s="18">
        <v>45959.692361111112</v>
      </c>
      <c r="H44" s="19"/>
      <c r="I44" s="17" t="s">
        <v>56</v>
      </c>
      <c r="J44" s="17" t="s">
        <v>22</v>
      </c>
      <c r="K44" s="19">
        <v>64</v>
      </c>
      <c r="L44" s="19">
        <v>48</v>
      </c>
      <c r="M44" s="17"/>
      <c r="N44" s="20" t="s">
        <v>74</v>
      </c>
      <c r="O44" s="19">
        <v>2</v>
      </c>
      <c r="P44" s="17" t="s">
        <v>34</v>
      </c>
      <c r="Q44" s="16">
        <v>62.4</v>
      </c>
      <c r="R44" s="17" t="s">
        <v>75</v>
      </c>
      <c r="S44" s="7">
        <v>2</v>
      </c>
      <c r="T44" t="s">
        <v>2596</v>
      </c>
      <c r="U44" t="s">
        <v>2596</v>
      </c>
      <c r="V44" t="s">
        <v>2597</v>
      </c>
    </row>
    <row r="45" spans="1:22" x14ac:dyDescent="0.25">
      <c r="A45" s="21" t="s">
        <v>1482</v>
      </c>
      <c r="B45" s="22" t="s">
        <v>900</v>
      </c>
      <c r="C45" s="23" t="s">
        <v>86</v>
      </c>
      <c r="D45" s="23" t="s">
        <v>99</v>
      </c>
      <c r="E45" s="24">
        <v>45959.614583333336</v>
      </c>
      <c r="F45" s="24">
        <v>45959.59652777778</v>
      </c>
      <c r="G45" s="24">
        <v>45959.692361111112</v>
      </c>
      <c r="H45" s="25"/>
      <c r="I45" s="23" t="s">
        <v>56</v>
      </c>
      <c r="J45" s="23" t="s">
        <v>22</v>
      </c>
      <c r="K45" s="25">
        <v>64</v>
      </c>
      <c r="L45" s="25">
        <v>48</v>
      </c>
      <c r="M45" s="23"/>
      <c r="N45" s="26" t="s">
        <v>74</v>
      </c>
      <c r="O45" s="25">
        <v>2</v>
      </c>
      <c r="P45" s="23" t="s">
        <v>34</v>
      </c>
      <c r="Q45" s="22">
        <v>62.4</v>
      </c>
      <c r="R45" s="23" t="s">
        <v>75</v>
      </c>
      <c r="S45" s="8">
        <v>2</v>
      </c>
      <c r="T45" t="s">
        <v>2596</v>
      </c>
      <c r="U45" t="s">
        <v>2596</v>
      </c>
      <c r="V45" t="s">
        <v>2597</v>
      </c>
    </row>
    <row r="46" spans="1:22" x14ac:dyDescent="0.25">
      <c r="A46" s="15" t="s">
        <v>1593</v>
      </c>
      <c r="B46" s="16" t="s">
        <v>1304</v>
      </c>
      <c r="C46" s="17" t="s">
        <v>86</v>
      </c>
      <c r="D46" s="17" t="s">
        <v>55</v>
      </c>
      <c r="E46" s="18">
        <v>45294.760416666664</v>
      </c>
      <c r="F46" s="18">
        <v>45352.745138888888</v>
      </c>
      <c r="G46" s="18">
        <v>45352.835416666669</v>
      </c>
      <c r="H46" s="19">
        <v>145</v>
      </c>
      <c r="I46" s="17" t="s">
        <v>83</v>
      </c>
      <c r="J46" s="17" t="s">
        <v>67</v>
      </c>
      <c r="K46" s="19">
        <v>84</v>
      </c>
      <c r="L46" s="19">
        <v>24</v>
      </c>
      <c r="M46" s="17" t="s">
        <v>41</v>
      </c>
      <c r="N46" s="20" t="s">
        <v>24</v>
      </c>
      <c r="O46" s="19" t="s">
        <v>96</v>
      </c>
      <c r="P46" s="17"/>
      <c r="Q46" s="16">
        <v>54.59</v>
      </c>
      <c r="R46" s="17" t="s">
        <v>58</v>
      </c>
      <c r="S46" s="7">
        <v>2</v>
      </c>
      <c r="T46" t="s">
        <v>2596</v>
      </c>
      <c r="U46" t="s">
        <v>2596</v>
      </c>
      <c r="V46" t="s">
        <v>2597</v>
      </c>
    </row>
    <row r="47" spans="1:22" x14ac:dyDescent="0.25">
      <c r="A47" s="21" t="s">
        <v>1593</v>
      </c>
      <c r="B47" s="22" t="s">
        <v>1304</v>
      </c>
      <c r="C47" s="23" t="s">
        <v>86</v>
      </c>
      <c r="D47" s="23" t="s">
        <v>55</v>
      </c>
      <c r="E47" s="24">
        <v>45294.760416666664</v>
      </c>
      <c r="F47" s="24">
        <v>45352.745138888888</v>
      </c>
      <c r="G47" s="24">
        <v>45352.835416666669</v>
      </c>
      <c r="H47" s="25">
        <v>145</v>
      </c>
      <c r="I47" s="23" t="s">
        <v>83</v>
      </c>
      <c r="J47" s="23" t="s">
        <v>67</v>
      </c>
      <c r="K47" s="25">
        <v>84</v>
      </c>
      <c r="L47" s="25">
        <v>24</v>
      </c>
      <c r="M47" s="23" t="s">
        <v>41</v>
      </c>
      <c r="N47" s="26" t="s">
        <v>24</v>
      </c>
      <c r="O47" s="25" t="s">
        <v>96</v>
      </c>
      <c r="P47" s="23"/>
      <c r="Q47" s="22">
        <v>54.59</v>
      </c>
      <c r="R47" s="23" t="s">
        <v>58</v>
      </c>
      <c r="S47" s="8">
        <v>2</v>
      </c>
      <c r="T47" t="s">
        <v>2596</v>
      </c>
      <c r="U47" t="s">
        <v>2596</v>
      </c>
      <c r="V47" t="s">
        <v>2597</v>
      </c>
    </row>
    <row r="48" spans="1:22" hidden="1" x14ac:dyDescent="0.25">
      <c r="A48" s="15" t="s">
        <v>1656</v>
      </c>
      <c r="B48" s="16" t="s">
        <v>357</v>
      </c>
      <c r="C48" s="17"/>
      <c r="D48" s="17" t="s">
        <v>115</v>
      </c>
      <c r="E48" s="18">
        <v>45345.777777777781</v>
      </c>
      <c r="F48" s="18">
        <v>45345.776388888888</v>
      </c>
      <c r="G48" s="18">
        <v>45345.864583333336</v>
      </c>
      <c r="H48" s="19"/>
      <c r="I48" s="17" t="s">
        <v>56</v>
      </c>
      <c r="J48" s="17" t="s">
        <v>150</v>
      </c>
      <c r="K48" s="19">
        <v>72</v>
      </c>
      <c r="L48" s="19">
        <v>53</v>
      </c>
      <c r="M48" s="17" t="s">
        <v>23</v>
      </c>
      <c r="N48" s="20" t="s">
        <v>103</v>
      </c>
      <c r="O48" s="19">
        <v>0</v>
      </c>
      <c r="P48" s="17" t="s">
        <v>34</v>
      </c>
      <c r="Q48" s="16">
        <v>35.270000000000003</v>
      </c>
      <c r="R48" s="17" t="s">
        <v>58</v>
      </c>
      <c r="S48" s="7">
        <v>2</v>
      </c>
      <c r="T48" t="s">
        <v>2598</v>
      </c>
      <c r="U48" t="s">
        <v>2598</v>
      </c>
      <c r="V48" t="s">
        <v>2599</v>
      </c>
    </row>
    <row r="49" spans="1:22" hidden="1" x14ac:dyDescent="0.25">
      <c r="A49" s="21" t="s">
        <v>1656</v>
      </c>
      <c r="B49" s="22" t="s">
        <v>1657</v>
      </c>
      <c r="C49" s="23" t="s">
        <v>29</v>
      </c>
      <c r="D49" s="23" t="s">
        <v>23</v>
      </c>
      <c r="E49" s="24">
        <v>45371.649305555555</v>
      </c>
      <c r="F49" s="24">
        <v>45371.646527777775</v>
      </c>
      <c r="G49" s="24">
        <v>45371.69027777778</v>
      </c>
      <c r="H49" s="25">
        <v>-4</v>
      </c>
      <c r="I49" s="23" t="s">
        <v>110</v>
      </c>
      <c r="J49" s="23" t="s">
        <v>62</v>
      </c>
      <c r="K49" s="25">
        <v>33</v>
      </c>
      <c r="L49" s="25">
        <v>26</v>
      </c>
      <c r="M49" s="23" t="s">
        <v>87</v>
      </c>
      <c r="N49" s="26" t="s">
        <v>69</v>
      </c>
      <c r="O49" s="25" t="s">
        <v>96</v>
      </c>
      <c r="P49" s="23" t="s">
        <v>80</v>
      </c>
      <c r="Q49" s="22">
        <v>82.3</v>
      </c>
      <c r="R49" s="23" t="s">
        <v>58</v>
      </c>
      <c r="S49" s="8">
        <v>2</v>
      </c>
      <c r="T49" t="s">
        <v>2598</v>
      </c>
      <c r="U49" t="s">
        <v>2598</v>
      </c>
      <c r="V49" t="s">
        <v>2599</v>
      </c>
    </row>
    <row r="50" spans="1:22" x14ac:dyDescent="0.25">
      <c r="A50" s="15" t="s">
        <v>1664</v>
      </c>
      <c r="B50" s="16" t="s">
        <v>1039</v>
      </c>
      <c r="C50" s="17" t="s">
        <v>19</v>
      </c>
      <c r="D50" s="17" t="s">
        <v>23</v>
      </c>
      <c r="E50" s="18">
        <v>45670.451388888891</v>
      </c>
      <c r="F50" s="18">
        <v>45670.434027777781</v>
      </c>
      <c r="G50" s="18">
        <v>45670.51458333333</v>
      </c>
      <c r="H50" s="19">
        <v>-4</v>
      </c>
      <c r="I50" s="17"/>
      <c r="J50" s="17"/>
      <c r="K50" s="19">
        <v>82</v>
      </c>
      <c r="L50" s="19">
        <v>9</v>
      </c>
      <c r="M50" s="17" t="s">
        <v>41</v>
      </c>
      <c r="N50" s="20" t="s">
        <v>69</v>
      </c>
      <c r="O50" s="19"/>
      <c r="P50" s="17"/>
      <c r="Q50" s="16">
        <v>281.2</v>
      </c>
      <c r="R50" s="17" t="s">
        <v>75</v>
      </c>
      <c r="S50" s="7">
        <v>2</v>
      </c>
      <c r="T50" t="s">
        <v>2596</v>
      </c>
      <c r="U50" t="s">
        <v>2596</v>
      </c>
      <c r="V50" t="s">
        <v>2597</v>
      </c>
    </row>
    <row r="51" spans="1:22" x14ac:dyDescent="0.25">
      <c r="A51" s="21" t="s">
        <v>1664</v>
      </c>
      <c r="B51" s="22" t="s">
        <v>1039</v>
      </c>
      <c r="C51" s="23" t="s">
        <v>19</v>
      </c>
      <c r="D51" s="23" t="s">
        <v>23</v>
      </c>
      <c r="E51" s="24">
        <v>45670.451388888891</v>
      </c>
      <c r="F51" s="24">
        <v>45670.434027777781</v>
      </c>
      <c r="G51" s="24">
        <v>45670.51458333333</v>
      </c>
      <c r="H51" s="25">
        <v>-4</v>
      </c>
      <c r="I51" s="23"/>
      <c r="J51" s="23"/>
      <c r="K51" s="25">
        <v>82</v>
      </c>
      <c r="L51" s="25">
        <v>9</v>
      </c>
      <c r="M51" s="23" t="s">
        <v>41</v>
      </c>
      <c r="N51" s="26" t="s">
        <v>69</v>
      </c>
      <c r="O51" s="25"/>
      <c r="P51" s="23"/>
      <c r="Q51" s="22">
        <v>281.2</v>
      </c>
      <c r="R51" s="23" t="s">
        <v>75</v>
      </c>
      <c r="S51" s="8">
        <v>2</v>
      </c>
      <c r="T51" t="s">
        <v>2596</v>
      </c>
      <c r="U51" t="s">
        <v>2596</v>
      </c>
      <c r="V51" t="s">
        <v>2597</v>
      </c>
    </row>
    <row r="52" spans="1:22" hidden="1" x14ac:dyDescent="0.25">
      <c r="A52" s="15" t="s">
        <v>1665</v>
      </c>
      <c r="B52" s="16" t="s">
        <v>741</v>
      </c>
      <c r="C52" s="17" t="s">
        <v>94</v>
      </c>
      <c r="D52" s="17" t="s">
        <v>55</v>
      </c>
      <c r="E52" s="18" t="s">
        <v>1666</v>
      </c>
      <c r="F52" s="18">
        <v>46007.768750000003</v>
      </c>
      <c r="G52" s="18">
        <v>46007.875694444447</v>
      </c>
      <c r="H52" s="19">
        <v>145</v>
      </c>
      <c r="I52" s="17" t="s">
        <v>95</v>
      </c>
      <c r="J52" s="17" t="s">
        <v>31</v>
      </c>
      <c r="K52" s="19">
        <v>65</v>
      </c>
      <c r="L52" s="19">
        <v>61</v>
      </c>
      <c r="M52" s="17" t="s">
        <v>63</v>
      </c>
      <c r="N52" s="20" t="s">
        <v>100</v>
      </c>
      <c r="O52" s="19">
        <v>3</v>
      </c>
      <c r="P52" s="17" t="s">
        <v>80</v>
      </c>
      <c r="Q52" s="16">
        <v>86.36</v>
      </c>
      <c r="R52" s="17" t="s">
        <v>58</v>
      </c>
      <c r="S52" s="7">
        <v>2</v>
      </c>
      <c r="T52" t="s">
        <v>2598</v>
      </c>
      <c r="U52" t="s">
        <v>2598</v>
      </c>
      <c r="V52" t="s">
        <v>2599</v>
      </c>
    </row>
    <row r="53" spans="1:22" hidden="1" x14ac:dyDescent="0.25">
      <c r="A53" s="21" t="s">
        <v>1665</v>
      </c>
      <c r="B53" s="22" t="s">
        <v>524</v>
      </c>
      <c r="C53" s="23" t="s">
        <v>29</v>
      </c>
      <c r="D53" s="23" t="s">
        <v>47</v>
      </c>
      <c r="E53" s="24" t="s">
        <v>1667</v>
      </c>
      <c r="F53" s="24">
        <v>45521.504861111112</v>
      </c>
      <c r="G53" s="24">
        <v>45521.629166666666</v>
      </c>
      <c r="H53" s="25">
        <v>-4</v>
      </c>
      <c r="I53" s="23" t="s">
        <v>56</v>
      </c>
      <c r="J53" s="23" t="s">
        <v>40</v>
      </c>
      <c r="K53" s="25">
        <v>121</v>
      </c>
      <c r="L53" s="25">
        <v>45</v>
      </c>
      <c r="M53" s="23"/>
      <c r="N53" s="26" t="s">
        <v>33</v>
      </c>
      <c r="O53" s="25">
        <v>6</v>
      </c>
      <c r="P53" s="23" t="s">
        <v>84</v>
      </c>
      <c r="Q53" s="22">
        <v>189.24</v>
      </c>
      <c r="R53" s="23" t="s">
        <v>43</v>
      </c>
      <c r="S53" s="8">
        <v>2</v>
      </c>
      <c r="T53" t="s">
        <v>2598</v>
      </c>
      <c r="U53" t="s">
        <v>2598</v>
      </c>
      <c r="V53" t="s">
        <v>2599</v>
      </c>
    </row>
    <row r="54" spans="1:22" x14ac:dyDescent="0.25">
      <c r="A54" s="15" t="s">
        <v>1855</v>
      </c>
      <c r="B54" s="16" t="s">
        <v>60</v>
      </c>
      <c r="C54" s="17" t="s">
        <v>37</v>
      </c>
      <c r="D54" s="17" t="s">
        <v>47</v>
      </c>
      <c r="E54" s="18" t="s">
        <v>1856</v>
      </c>
      <c r="F54" s="18">
        <v>45340.323611111111</v>
      </c>
      <c r="G54" s="18">
        <v>45340.411111111112</v>
      </c>
      <c r="H54" s="19">
        <v>30</v>
      </c>
      <c r="I54" s="17" t="s">
        <v>90</v>
      </c>
      <c r="J54" s="17" t="s">
        <v>150</v>
      </c>
      <c r="K54" s="19">
        <v>102</v>
      </c>
      <c r="L54" s="19">
        <v>5</v>
      </c>
      <c r="M54" s="17" t="s">
        <v>32</v>
      </c>
      <c r="N54" s="20" t="s">
        <v>69</v>
      </c>
      <c r="O54" s="19"/>
      <c r="P54" s="17" t="s">
        <v>84</v>
      </c>
      <c r="Q54" s="16">
        <v>185.22</v>
      </c>
      <c r="R54" s="17" t="s">
        <v>75</v>
      </c>
      <c r="S54" s="7">
        <v>2</v>
      </c>
      <c r="T54" t="s">
        <v>2596</v>
      </c>
      <c r="U54" t="s">
        <v>2596</v>
      </c>
      <c r="V54" t="s">
        <v>2597</v>
      </c>
    </row>
    <row r="55" spans="1:22" x14ac:dyDescent="0.25">
      <c r="A55" s="21" t="s">
        <v>1855</v>
      </c>
      <c r="B55" s="22" t="s">
        <v>60</v>
      </c>
      <c r="C55" s="23" t="s">
        <v>37</v>
      </c>
      <c r="D55" s="23" t="s">
        <v>47</v>
      </c>
      <c r="E55" s="24" t="s">
        <v>1856</v>
      </c>
      <c r="F55" s="24">
        <v>45340.323611111111</v>
      </c>
      <c r="G55" s="24">
        <v>45340.411111111112</v>
      </c>
      <c r="H55" s="25">
        <v>30</v>
      </c>
      <c r="I55" s="23" t="s">
        <v>90</v>
      </c>
      <c r="J55" s="23" t="s">
        <v>150</v>
      </c>
      <c r="K55" s="25">
        <v>102</v>
      </c>
      <c r="L55" s="25">
        <v>5</v>
      </c>
      <c r="M55" s="23" t="s">
        <v>32</v>
      </c>
      <c r="N55" s="26" t="s">
        <v>69</v>
      </c>
      <c r="O55" s="25"/>
      <c r="P55" s="23" t="s">
        <v>84</v>
      </c>
      <c r="Q55" s="22">
        <v>185.22</v>
      </c>
      <c r="R55" s="23" t="s">
        <v>75</v>
      </c>
      <c r="S55" s="8">
        <v>2</v>
      </c>
      <c r="T55" t="s">
        <v>2596</v>
      </c>
      <c r="U55" t="s">
        <v>2596</v>
      </c>
      <c r="V55" t="s">
        <v>2597</v>
      </c>
    </row>
    <row r="56" spans="1:22" x14ac:dyDescent="0.25">
      <c r="A56" s="15" t="s">
        <v>1870</v>
      </c>
      <c r="B56" s="16" t="s">
        <v>335</v>
      </c>
      <c r="C56" s="17" t="s">
        <v>37</v>
      </c>
      <c r="D56" s="17" t="s">
        <v>55</v>
      </c>
      <c r="E56" s="18">
        <v>45391.340277777781</v>
      </c>
      <c r="F56" s="18"/>
      <c r="G56" s="18">
        <v>45391.361805555556</v>
      </c>
      <c r="H56" s="19">
        <v>-4</v>
      </c>
      <c r="I56" s="17" t="s">
        <v>83</v>
      </c>
      <c r="J56" s="17" t="s">
        <v>79</v>
      </c>
      <c r="K56" s="19">
        <v>0</v>
      </c>
      <c r="L56" s="19">
        <v>31</v>
      </c>
      <c r="M56" s="17" t="s">
        <v>87</v>
      </c>
      <c r="N56" s="20"/>
      <c r="O56" s="19" t="s">
        <v>96</v>
      </c>
      <c r="P56" s="17" t="s">
        <v>42</v>
      </c>
      <c r="Q56" s="16">
        <v>196.24</v>
      </c>
      <c r="R56" s="17" t="s">
        <v>58</v>
      </c>
      <c r="S56" s="7">
        <v>2</v>
      </c>
      <c r="T56" t="s">
        <v>2596</v>
      </c>
      <c r="U56" t="s">
        <v>2596</v>
      </c>
      <c r="V56" t="s">
        <v>2597</v>
      </c>
    </row>
    <row r="57" spans="1:22" x14ac:dyDescent="0.25">
      <c r="A57" s="21" t="s">
        <v>1870</v>
      </c>
      <c r="B57" s="22" t="s">
        <v>335</v>
      </c>
      <c r="C57" s="23" t="s">
        <v>37</v>
      </c>
      <c r="D57" s="23" t="s">
        <v>55</v>
      </c>
      <c r="E57" s="24">
        <v>45391.340277777781</v>
      </c>
      <c r="F57" s="24"/>
      <c r="G57" s="24">
        <v>45391.361805555556</v>
      </c>
      <c r="H57" s="25">
        <v>-4</v>
      </c>
      <c r="I57" s="23" t="s">
        <v>83</v>
      </c>
      <c r="J57" s="23" t="s">
        <v>79</v>
      </c>
      <c r="K57" s="25">
        <v>0</v>
      </c>
      <c r="L57" s="25">
        <v>31</v>
      </c>
      <c r="M57" s="23" t="s">
        <v>87</v>
      </c>
      <c r="N57" s="26"/>
      <c r="O57" s="25" t="s">
        <v>96</v>
      </c>
      <c r="P57" s="23" t="s">
        <v>42</v>
      </c>
      <c r="Q57" s="22">
        <v>196.24</v>
      </c>
      <c r="R57" s="23" t="s">
        <v>58</v>
      </c>
      <c r="S57" s="8">
        <v>2</v>
      </c>
      <c r="T57" t="s">
        <v>2596</v>
      </c>
      <c r="U57" t="s">
        <v>2596</v>
      </c>
      <c r="V57" t="s">
        <v>2597</v>
      </c>
    </row>
    <row r="58" spans="1:22" x14ac:dyDescent="0.25">
      <c r="A58" s="15" t="s">
        <v>2008</v>
      </c>
      <c r="B58" s="16" t="s">
        <v>1968</v>
      </c>
      <c r="C58" s="17" t="s">
        <v>114</v>
      </c>
      <c r="D58" s="17" t="s">
        <v>72</v>
      </c>
      <c r="E58" s="18">
        <v>45696.78125</v>
      </c>
      <c r="F58" s="18">
        <v>45696.78125</v>
      </c>
      <c r="G58" s="18">
        <v>45696.871527777781</v>
      </c>
      <c r="H58" s="19">
        <v>-4</v>
      </c>
      <c r="I58" s="17" t="s">
        <v>56</v>
      </c>
      <c r="J58" s="17" t="s">
        <v>79</v>
      </c>
      <c r="K58" s="19">
        <v>69</v>
      </c>
      <c r="L58" s="19">
        <v>61</v>
      </c>
      <c r="M58" s="17" t="s">
        <v>32</v>
      </c>
      <c r="N58" s="20" t="s">
        <v>103</v>
      </c>
      <c r="O58" s="19"/>
      <c r="P58" s="17" t="s">
        <v>34</v>
      </c>
      <c r="Q58" s="16">
        <v>156.19</v>
      </c>
      <c r="R58" s="17" t="s">
        <v>58</v>
      </c>
      <c r="S58" s="7">
        <v>2</v>
      </c>
      <c r="T58" t="s">
        <v>2596</v>
      </c>
      <c r="U58" t="s">
        <v>2596</v>
      </c>
      <c r="V58" t="s">
        <v>2597</v>
      </c>
    </row>
    <row r="59" spans="1:22" x14ac:dyDescent="0.25">
      <c r="A59" s="21" t="s">
        <v>2008</v>
      </c>
      <c r="B59" s="22" t="s">
        <v>1968</v>
      </c>
      <c r="C59" s="23" t="s">
        <v>114</v>
      </c>
      <c r="D59" s="23" t="s">
        <v>72</v>
      </c>
      <c r="E59" s="24">
        <v>45696.78125</v>
      </c>
      <c r="F59" s="24">
        <v>45696.78125</v>
      </c>
      <c r="G59" s="24">
        <v>45696.871527777781</v>
      </c>
      <c r="H59" s="25">
        <v>-4</v>
      </c>
      <c r="I59" s="23" t="s">
        <v>56</v>
      </c>
      <c r="J59" s="23" t="s">
        <v>79</v>
      </c>
      <c r="K59" s="25">
        <v>69</v>
      </c>
      <c r="L59" s="25">
        <v>61</v>
      </c>
      <c r="M59" s="23" t="s">
        <v>32</v>
      </c>
      <c r="N59" s="26" t="s">
        <v>103</v>
      </c>
      <c r="O59" s="25"/>
      <c r="P59" s="23" t="s">
        <v>34</v>
      </c>
      <c r="Q59" s="22">
        <v>156.19</v>
      </c>
      <c r="R59" s="23" t="s">
        <v>58</v>
      </c>
      <c r="S59" s="8">
        <v>2</v>
      </c>
      <c r="T59" t="s">
        <v>2596</v>
      </c>
      <c r="U59" t="s">
        <v>2596</v>
      </c>
      <c r="V59" t="s">
        <v>2597</v>
      </c>
    </row>
    <row r="60" spans="1:22" hidden="1" x14ac:dyDescent="0.25">
      <c r="A60" s="15" t="s">
        <v>2051</v>
      </c>
      <c r="B60" s="16" t="s">
        <v>1083</v>
      </c>
      <c r="C60" s="17" t="s">
        <v>86</v>
      </c>
      <c r="D60" s="17" t="s">
        <v>20</v>
      </c>
      <c r="E60" s="18">
        <v>45325.628472222219</v>
      </c>
      <c r="F60" s="18">
        <v>45325.611805555556</v>
      </c>
      <c r="G60" s="18">
        <v>45325.665972222225</v>
      </c>
      <c r="H60" s="19"/>
      <c r="I60" s="17" t="s">
        <v>110</v>
      </c>
      <c r="J60" s="17" t="s">
        <v>62</v>
      </c>
      <c r="K60" s="19">
        <v>18</v>
      </c>
      <c r="L60" s="19">
        <v>36</v>
      </c>
      <c r="M60" s="17" t="s">
        <v>63</v>
      </c>
      <c r="N60" s="20" t="s">
        <v>33</v>
      </c>
      <c r="O60" s="19" t="s">
        <v>96</v>
      </c>
      <c r="P60" s="17" t="s">
        <v>84</v>
      </c>
      <c r="Q60" s="16">
        <v>0</v>
      </c>
      <c r="R60" s="17" t="s">
        <v>58</v>
      </c>
      <c r="S60" s="7">
        <v>2</v>
      </c>
      <c r="T60" t="s">
        <v>2598</v>
      </c>
      <c r="U60" t="s">
        <v>2598</v>
      </c>
      <c r="V60" t="s">
        <v>2599</v>
      </c>
    </row>
    <row r="61" spans="1:22" hidden="1" x14ac:dyDescent="0.25">
      <c r="A61" s="21" t="s">
        <v>2051</v>
      </c>
      <c r="B61" s="22" t="s">
        <v>1734</v>
      </c>
      <c r="C61" s="23" t="s">
        <v>94</v>
      </c>
      <c r="D61" s="23" t="s">
        <v>209</v>
      </c>
      <c r="E61" s="24">
        <v>45876.538194444445</v>
      </c>
      <c r="F61" s="24">
        <v>45876.530555555553</v>
      </c>
      <c r="G61" s="24">
        <v>45876.606944444444</v>
      </c>
      <c r="H61" s="25">
        <v>-4</v>
      </c>
      <c r="I61" s="23" t="s">
        <v>163</v>
      </c>
      <c r="J61" s="23" t="s">
        <v>150</v>
      </c>
      <c r="K61" s="25">
        <v>77</v>
      </c>
      <c r="L61" s="25">
        <v>22</v>
      </c>
      <c r="M61" s="23" t="s">
        <v>41</v>
      </c>
      <c r="N61" s="26" t="s">
        <v>103</v>
      </c>
      <c r="O61" s="25" t="s">
        <v>96</v>
      </c>
      <c r="P61" s="23"/>
      <c r="Q61" s="22">
        <v>298.88</v>
      </c>
      <c r="R61" s="23" t="s">
        <v>75</v>
      </c>
      <c r="S61" s="8">
        <v>2</v>
      </c>
      <c r="T61" t="s">
        <v>2598</v>
      </c>
      <c r="U61" t="s">
        <v>2598</v>
      </c>
      <c r="V61" t="s">
        <v>2599</v>
      </c>
    </row>
    <row r="62" spans="1:22" hidden="1" x14ac:dyDescent="0.25">
      <c r="A62" s="15" t="s">
        <v>2071</v>
      </c>
      <c r="B62" s="16" t="s">
        <v>256</v>
      </c>
      <c r="C62" s="17" t="s">
        <v>29</v>
      </c>
      <c r="D62" s="17" t="s">
        <v>47</v>
      </c>
      <c r="E62" s="18">
        <v>45440.732638888891</v>
      </c>
      <c r="F62" s="18">
        <v>45440.727083333331</v>
      </c>
      <c r="G62" s="18">
        <v>45440.788888888892</v>
      </c>
      <c r="H62" s="19">
        <v>145</v>
      </c>
      <c r="I62" s="17" t="s">
        <v>73</v>
      </c>
      <c r="J62" s="17" t="s">
        <v>40</v>
      </c>
      <c r="K62" s="19">
        <v>50</v>
      </c>
      <c r="L62" s="19">
        <v>31</v>
      </c>
      <c r="M62" s="17" t="s">
        <v>87</v>
      </c>
      <c r="N62" s="20" t="s">
        <v>24</v>
      </c>
      <c r="O62" s="19">
        <v>6</v>
      </c>
      <c r="P62" s="17" t="s">
        <v>34</v>
      </c>
      <c r="Q62" s="16">
        <v>89.89</v>
      </c>
      <c r="R62" s="17" t="s">
        <v>26</v>
      </c>
      <c r="S62" s="7">
        <v>2</v>
      </c>
      <c r="T62" t="s">
        <v>2598</v>
      </c>
      <c r="U62" t="s">
        <v>2598</v>
      </c>
      <c r="V62" t="s">
        <v>2599</v>
      </c>
    </row>
    <row r="63" spans="1:22" hidden="1" x14ac:dyDescent="0.25">
      <c r="A63" s="21" t="s">
        <v>2071</v>
      </c>
      <c r="B63" s="22" t="s">
        <v>1724</v>
      </c>
      <c r="C63" s="23" t="s">
        <v>114</v>
      </c>
      <c r="D63" s="23" t="s">
        <v>66</v>
      </c>
      <c r="E63" s="24" t="s">
        <v>2072</v>
      </c>
      <c r="F63" s="24">
        <v>45673.284722222219</v>
      </c>
      <c r="G63" s="24">
        <v>45673.378472222219</v>
      </c>
      <c r="H63" s="25" t="s">
        <v>49</v>
      </c>
      <c r="I63" s="23" t="s">
        <v>21</v>
      </c>
      <c r="J63" s="23" t="s">
        <v>171</v>
      </c>
      <c r="K63" s="25">
        <v>65</v>
      </c>
      <c r="L63" s="25">
        <v>45</v>
      </c>
      <c r="M63" s="23" t="s">
        <v>68</v>
      </c>
      <c r="N63" s="26" t="s">
        <v>91</v>
      </c>
      <c r="O63" s="25">
        <v>0</v>
      </c>
      <c r="P63" s="23" t="s">
        <v>84</v>
      </c>
      <c r="Q63" s="22">
        <v>15.73</v>
      </c>
      <c r="R63" s="23" t="s">
        <v>26</v>
      </c>
      <c r="S63" s="8">
        <v>2</v>
      </c>
      <c r="T63" t="s">
        <v>2598</v>
      </c>
      <c r="U63" t="s">
        <v>2598</v>
      </c>
      <c r="V63" t="s">
        <v>2599</v>
      </c>
    </row>
    <row r="64" spans="1:22" x14ac:dyDescent="0.25">
      <c r="A64" s="15" t="s">
        <v>2103</v>
      </c>
      <c r="B64" s="16" t="s">
        <v>564</v>
      </c>
      <c r="C64" s="17" t="s">
        <v>46</v>
      </c>
      <c r="D64" s="17" t="s">
        <v>209</v>
      </c>
      <c r="E64" s="18">
        <v>45523.753472222219</v>
      </c>
      <c r="F64" s="18">
        <v>45523.741666666669</v>
      </c>
      <c r="G64" s="18">
        <v>45523.790972222225</v>
      </c>
      <c r="H64" s="19">
        <v>65</v>
      </c>
      <c r="I64" s="17" t="s">
        <v>90</v>
      </c>
      <c r="J64" s="17" t="s">
        <v>22</v>
      </c>
      <c r="K64" s="19">
        <v>49</v>
      </c>
      <c r="L64" s="19">
        <v>5</v>
      </c>
      <c r="M64" s="17" t="s">
        <v>50</v>
      </c>
      <c r="N64" s="20" t="s">
        <v>51</v>
      </c>
      <c r="O64" s="19">
        <v>6</v>
      </c>
      <c r="P64" s="17" t="s">
        <v>80</v>
      </c>
      <c r="Q64" s="16">
        <v>108.62</v>
      </c>
      <c r="R64" s="17" t="s">
        <v>75</v>
      </c>
      <c r="S64" s="7">
        <v>2</v>
      </c>
      <c r="T64" t="s">
        <v>2596</v>
      </c>
      <c r="U64" t="s">
        <v>2596</v>
      </c>
      <c r="V64" t="s">
        <v>2597</v>
      </c>
    </row>
    <row r="65" spans="1:22" x14ac:dyDescent="0.25">
      <c r="A65" s="21" t="s">
        <v>2103</v>
      </c>
      <c r="B65" s="22" t="s">
        <v>564</v>
      </c>
      <c r="C65" s="23" t="s">
        <v>46</v>
      </c>
      <c r="D65" s="23" t="s">
        <v>209</v>
      </c>
      <c r="E65" s="24">
        <v>45523.753472222219</v>
      </c>
      <c r="F65" s="24">
        <v>45523.741666666669</v>
      </c>
      <c r="G65" s="24">
        <v>45523.790972222225</v>
      </c>
      <c r="H65" s="25">
        <v>65</v>
      </c>
      <c r="I65" s="23" t="s">
        <v>90</v>
      </c>
      <c r="J65" s="23" t="s">
        <v>22</v>
      </c>
      <c r="K65" s="25">
        <v>49</v>
      </c>
      <c r="L65" s="25">
        <v>5</v>
      </c>
      <c r="M65" s="23" t="s">
        <v>50</v>
      </c>
      <c r="N65" s="26" t="s">
        <v>51</v>
      </c>
      <c r="O65" s="25">
        <v>6</v>
      </c>
      <c r="P65" s="23" t="s">
        <v>80</v>
      </c>
      <c r="Q65" s="22">
        <v>108.62</v>
      </c>
      <c r="R65" s="23" t="s">
        <v>75</v>
      </c>
      <c r="S65" s="8">
        <v>2</v>
      </c>
      <c r="T65" t="s">
        <v>2596</v>
      </c>
      <c r="U65" t="s">
        <v>2596</v>
      </c>
      <c r="V65" t="s">
        <v>2597</v>
      </c>
    </row>
    <row r="66" spans="1:22" x14ac:dyDescent="0.25">
      <c r="A66" s="15" t="s">
        <v>2129</v>
      </c>
      <c r="B66" s="16" t="s">
        <v>697</v>
      </c>
      <c r="C66" s="17" t="s">
        <v>114</v>
      </c>
      <c r="D66" s="17" t="s">
        <v>209</v>
      </c>
      <c r="E66" s="18">
        <v>45491.555555555555</v>
      </c>
      <c r="F66" s="18">
        <v>45491.545138888891</v>
      </c>
      <c r="G66" s="18">
        <v>45491.620833333334</v>
      </c>
      <c r="H66" s="19">
        <v>-4</v>
      </c>
      <c r="I66" s="17" t="s">
        <v>39</v>
      </c>
      <c r="J66" s="17" t="s">
        <v>22</v>
      </c>
      <c r="K66" s="19">
        <v>57</v>
      </c>
      <c r="L66" s="19">
        <v>37</v>
      </c>
      <c r="M66" s="17"/>
      <c r="N66" s="20" t="s">
        <v>103</v>
      </c>
      <c r="O66" s="19">
        <v>0</v>
      </c>
      <c r="P66" s="17" t="s">
        <v>42</v>
      </c>
      <c r="Q66" s="16">
        <v>290.07</v>
      </c>
      <c r="R66" s="17" t="s">
        <v>58</v>
      </c>
      <c r="S66" s="7">
        <v>2</v>
      </c>
      <c r="T66" t="s">
        <v>2596</v>
      </c>
      <c r="U66" t="s">
        <v>2596</v>
      </c>
      <c r="V66" t="s">
        <v>2597</v>
      </c>
    </row>
    <row r="67" spans="1:22" x14ac:dyDescent="0.25">
      <c r="A67" s="21" t="s">
        <v>2129</v>
      </c>
      <c r="B67" s="22" t="s">
        <v>697</v>
      </c>
      <c r="C67" s="23" t="s">
        <v>114</v>
      </c>
      <c r="D67" s="23" t="s">
        <v>209</v>
      </c>
      <c r="E67" s="24">
        <v>45491.555555555555</v>
      </c>
      <c r="F67" s="24">
        <v>45491.545138888891</v>
      </c>
      <c r="G67" s="24">
        <v>45491.620833333334</v>
      </c>
      <c r="H67" s="25">
        <v>-4</v>
      </c>
      <c r="I67" s="23" t="s">
        <v>39</v>
      </c>
      <c r="J67" s="23" t="s">
        <v>22</v>
      </c>
      <c r="K67" s="25">
        <v>57</v>
      </c>
      <c r="L67" s="25">
        <v>37</v>
      </c>
      <c r="M67" s="23"/>
      <c r="N67" s="26" t="s">
        <v>103</v>
      </c>
      <c r="O67" s="25">
        <v>0</v>
      </c>
      <c r="P67" s="23" t="s">
        <v>42</v>
      </c>
      <c r="Q67" s="22">
        <v>290.07</v>
      </c>
      <c r="R67" s="23" t="s">
        <v>58</v>
      </c>
      <c r="S67" s="8">
        <v>2</v>
      </c>
      <c r="T67" t="s">
        <v>2596</v>
      </c>
      <c r="U67" t="s">
        <v>2596</v>
      </c>
      <c r="V67" t="s">
        <v>2597</v>
      </c>
    </row>
    <row r="68" spans="1:22" x14ac:dyDescent="0.25">
      <c r="A68" s="15" t="s">
        <v>2169</v>
      </c>
      <c r="B68" s="16" t="s">
        <v>1137</v>
      </c>
      <c r="C68" s="17" t="s">
        <v>29</v>
      </c>
      <c r="D68" s="17" t="s">
        <v>55</v>
      </c>
      <c r="E68" s="18">
        <v>45336.309027777781</v>
      </c>
      <c r="F68" s="18">
        <v>45336.290972222225</v>
      </c>
      <c r="G68" s="18">
        <v>45336.405555555553</v>
      </c>
      <c r="H68" s="19">
        <v>-4</v>
      </c>
      <c r="I68" s="17" t="s">
        <v>39</v>
      </c>
      <c r="J68" s="17" t="s">
        <v>171</v>
      </c>
      <c r="K68" s="19">
        <v>70</v>
      </c>
      <c r="L68" s="19">
        <v>69</v>
      </c>
      <c r="M68" s="17" t="s">
        <v>87</v>
      </c>
      <c r="N68" s="20" t="s">
        <v>91</v>
      </c>
      <c r="O68" s="19">
        <v>2</v>
      </c>
      <c r="P68" s="17" t="s">
        <v>42</v>
      </c>
      <c r="Q68" s="16">
        <v>24.05</v>
      </c>
      <c r="R68" s="17" t="s">
        <v>26</v>
      </c>
      <c r="S68" s="7">
        <v>2</v>
      </c>
      <c r="T68" t="s">
        <v>2596</v>
      </c>
      <c r="U68" t="s">
        <v>2596</v>
      </c>
      <c r="V68" t="s">
        <v>2597</v>
      </c>
    </row>
    <row r="69" spans="1:22" x14ac:dyDescent="0.25">
      <c r="A69" s="21" t="s">
        <v>2169</v>
      </c>
      <c r="B69" s="22" t="s">
        <v>1137</v>
      </c>
      <c r="C69" s="23" t="s">
        <v>29</v>
      </c>
      <c r="D69" s="23" t="s">
        <v>55</v>
      </c>
      <c r="E69" s="24">
        <v>45336.309027777781</v>
      </c>
      <c r="F69" s="24">
        <v>45336.290972222225</v>
      </c>
      <c r="G69" s="24">
        <v>45336.405555555553</v>
      </c>
      <c r="H69" s="25">
        <v>-4</v>
      </c>
      <c r="I69" s="23" t="s">
        <v>39</v>
      </c>
      <c r="J69" s="23" t="s">
        <v>171</v>
      </c>
      <c r="K69" s="25">
        <v>70</v>
      </c>
      <c r="L69" s="25">
        <v>69</v>
      </c>
      <c r="M69" s="23" t="s">
        <v>87</v>
      </c>
      <c r="N69" s="26" t="s">
        <v>91</v>
      </c>
      <c r="O69" s="25">
        <v>2</v>
      </c>
      <c r="P69" s="23" t="s">
        <v>42</v>
      </c>
      <c r="Q69" s="22">
        <v>24.05</v>
      </c>
      <c r="R69" s="23" t="s">
        <v>26</v>
      </c>
      <c r="S69" s="8">
        <v>2</v>
      </c>
      <c r="T69" t="s">
        <v>2596</v>
      </c>
      <c r="U69" t="s">
        <v>2596</v>
      </c>
      <c r="V69" t="s">
        <v>2597</v>
      </c>
    </row>
    <row r="70" spans="1:22" x14ac:dyDescent="0.25">
      <c r="A70" s="15" t="s">
        <v>2361</v>
      </c>
      <c r="B70" s="16" t="s">
        <v>480</v>
      </c>
      <c r="C70" s="17" t="s">
        <v>37</v>
      </c>
      <c r="D70" s="17" t="s">
        <v>61</v>
      </c>
      <c r="E70" s="18">
        <v>45602.559027777781</v>
      </c>
      <c r="F70" s="18">
        <v>45454.548611111109</v>
      </c>
      <c r="G70" s="18">
        <v>45454.618055555555</v>
      </c>
      <c r="H70" s="19" t="s">
        <v>49</v>
      </c>
      <c r="I70" s="17"/>
      <c r="J70" s="17"/>
      <c r="K70" s="19">
        <v>71</v>
      </c>
      <c r="L70" s="19">
        <v>14</v>
      </c>
      <c r="M70" s="17" t="s">
        <v>63</v>
      </c>
      <c r="N70" s="20" t="s">
        <v>74</v>
      </c>
      <c r="O70" s="19"/>
      <c r="P70" s="17" t="s">
        <v>80</v>
      </c>
      <c r="Q70" s="16">
        <v>164.96</v>
      </c>
      <c r="R70" s="17" t="s">
        <v>43</v>
      </c>
      <c r="S70" s="7">
        <v>2</v>
      </c>
      <c r="T70" t="s">
        <v>2596</v>
      </c>
      <c r="U70" t="s">
        <v>2596</v>
      </c>
      <c r="V70" t="s">
        <v>2597</v>
      </c>
    </row>
    <row r="71" spans="1:22" x14ac:dyDescent="0.25">
      <c r="A71" s="21" t="s">
        <v>2361</v>
      </c>
      <c r="B71" s="22" t="s">
        <v>480</v>
      </c>
      <c r="C71" s="23" t="s">
        <v>37</v>
      </c>
      <c r="D71" s="23" t="s">
        <v>61</v>
      </c>
      <c r="E71" s="24">
        <v>45602.559027777781</v>
      </c>
      <c r="F71" s="24">
        <v>45454.548611111109</v>
      </c>
      <c r="G71" s="24">
        <v>45454.618055555555</v>
      </c>
      <c r="H71" s="25" t="s">
        <v>49</v>
      </c>
      <c r="I71" s="23"/>
      <c r="J71" s="23"/>
      <c r="K71" s="25">
        <v>71</v>
      </c>
      <c r="L71" s="25">
        <v>14</v>
      </c>
      <c r="M71" s="23" t="s">
        <v>63</v>
      </c>
      <c r="N71" s="26" t="s">
        <v>74</v>
      </c>
      <c r="O71" s="25"/>
      <c r="P71" s="23" t="s">
        <v>80</v>
      </c>
      <c r="Q71" s="22">
        <v>164.96</v>
      </c>
      <c r="R71" s="23" t="s">
        <v>43</v>
      </c>
      <c r="S71" s="8">
        <v>2</v>
      </c>
      <c r="T71" t="s">
        <v>2596</v>
      </c>
      <c r="U71" t="s">
        <v>2596</v>
      </c>
      <c r="V71" t="s">
        <v>2597</v>
      </c>
    </row>
    <row r="72" spans="1:22" x14ac:dyDescent="0.25">
      <c r="A72" s="15" t="s">
        <v>2451</v>
      </c>
      <c r="B72" s="16" t="s">
        <v>167</v>
      </c>
      <c r="C72" s="17" t="s">
        <v>94</v>
      </c>
      <c r="D72" s="17" t="s">
        <v>174</v>
      </c>
      <c r="E72" s="18">
        <v>45983.618055555555</v>
      </c>
      <c r="F72" s="18">
        <v>45983.6</v>
      </c>
      <c r="G72" s="18">
        <v>45983.736111111109</v>
      </c>
      <c r="H72" s="19"/>
      <c r="I72" s="17" t="s">
        <v>21</v>
      </c>
      <c r="J72" s="17" t="s">
        <v>79</v>
      </c>
      <c r="K72" s="19">
        <v>82</v>
      </c>
      <c r="L72" s="19">
        <v>600</v>
      </c>
      <c r="M72" s="17" t="s">
        <v>50</v>
      </c>
      <c r="N72" s="20" t="s">
        <v>100</v>
      </c>
      <c r="O72" s="19" t="s">
        <v>96</v>
      </c>
      <c r="P72" s="17" t="s">
        <v>42</v>
      </c>
      <c r="Q72" s="16">
        <v>209.64</v>
      </c>
      <c r="R72" s="17" t="s">
        <v>26</v>
      </c>
      <c r="S72" s="7">
        <v>2</v>
      </c>
      <c r="T72" t="s">
        <v>2596</v>
      </c>
      <c r="U72" t="s">
        <v>2596</v>
      </c>
      <c r="V72" t="s">
        <v>2597</v>
      </c>
    </row>
    <row r="73" spans="1:22" x14ac:dyDescent="0.25">
      <c r="A73" s="21" t="s">
        <v>2451</v>
      </c>
      <c r="B73" s="22" t="s">
        <v>167</v>
      </c>
      <c r="C73" s="23" t="s">
        <v>94</v>
      </c>
      <c r="D73" s="23" t="s">
        <v>174</v>
      </c>
      <c r="E73" s="24">
        <v>45983.618055555555</v>
      </c>
      <c r="F73" s="24">
        <v>45983.6</v>
      </c>
      <c r="G73" s="24">
        <v>45983.736111111109</v>
      </c>
      <c r="H73" s="25"/>
      <c r="I73" s="23" t="s">
        <v>21</v>
      </c>
      <c r="J73" s="23" t="s">
        <v>79</v>
      </c>
      <c r="K73" s="25">
        <v>82</v>
      </c>
      <c r="L73" s="25">
        <v>600</v>
      </c>
      <c r="M73" s="23" t="s">
        <v>50</v>
      </c>
      <c r="N73" s="26" t="s">
        <v>100</v>
      </c>
      <c r="O73" s="25" t="s">
        <v>96</v>
      </c>
      <c r="P73" s="23" t="s">
        <v>42</v>
      </c>
      <c r="Q73" s="22">
        <v>209.64</v>
      </c>
      <c r="R73" s="23" t="s">
        <v>26</v>
      </c>
      <c r="S73" s="8">
        <v>2</v>
      </c>
      <c r="T73" t="s">
        <v>2596</v>
      </c>
      <c r="U73" t="s">
        <v>2596</v>
      </c>
      <c r="V73" t="s">
        <v>2597</v>
      </c>
    </row>
    <row r="74" spans="1:22" x14ac:dyDescent="0.25">
      <c r="A74" s="15" t="s">
        <v>2461</v>
      </c>
      <c r="B74" s="16" t="s">
        <v>2089</v>
      </c>
      <c r="C74" s="17" t="s">
        <v>46</v>
      </c>
      <c r="D74" s="17" t="s">
        <v>99</v>
      </c>
      <c r="E74" s="18">
        <v>45942.517361111109</v>
      </c>
      <c r="F74" s="18">
        <v>46001.497916666667</v>
      </c>
      <c r="G74" s="18">
        <v>46001.556250000001</v>
      </c>
      <c r="H74" s="19">
        <v>85</v>
      </c>
      <c r="I74" s="17" t="s">
        <v>95</v>
      </c>
      <c r="J74" s="17" t="s">
        <v>171</v>
      </c>
      <c r="K74" s="19">
        <v>51</v>
      </c>
      <c r="L74" s="19">
        <v>5</v>
      </c>
      <c r="M74" s="17" t="s">
        <v>68</v>
      </c>
      <c r="N74" s="20"/>
      <c r="O74" s="19"/>
      <c r="P74" s="17" t="s">
        <v>80</v>
      </c>
      <c r="Q74" s="16">
        <v>327.17</v>
      </c>
      <c r="R74" s="17" t="s">
        <v>58</v>
      </c>
      <c r="S74" s="7">
        <v>2</v>
      </c>
      <c r="T74" t="s">
        <v>2596</v>
      </c>
      <c r="U74" t="s">
        <v>2596</v>
      </c>
      <c r="V74" t="s">
        <v>2597</v>
      </c>
    </row>
    <row r="75" spans="1:22" x14ac:dyDescent="0.25">
      <c r="A75" s="21" t="s">
        <v>2461</v>
      </c>
      <c r="B75" s="22" t="s">
        <v>2089</v>
      </c>
      <c r="C75" s="23" t="s">
        <v>46</v>
      </c>
      <c r="D75" s="23" t="s">
        <v>99</v>
      </c>
      <c r="E75" s="24">
        <v>45942.517361111109</v>
      </c>
      <c r="F75" s="24">
        <v>46001.497916666667</v>
      </c>
      <c r="G75" s="24">
        <v>46001.556250000001</v>
      </c>
      <c r="H75" s="25">
        <v>85</v>
      </c>
      <c r="I75" s="23" t="s">
        <v>95</v>
      </c>
      <c r="J75" s="23" t="s">
        <v>171</v>
      </c>
      <c r="K75" s="25">
        <v>51</v>
      </c>
      <c r="L75" s="25">
        <v>5</v>
      </c>
      <c r="M75" s="23" t="s">
        <v>68</v>
      </c>
      <c r="N75" s="26"/>
      <c r="O75" s="25"/>
      <c r="P75" s="23" t="s">
        <v>80</v>
      </c>
      <c r="Q75" s="22">
        <v>327.17</v>
      </c>
      <c r="R75" s="23" t="s">
        <v>58</v>
      </c>
      <c r="S75" s="8">
        <v>2</v>
      </c>
      <c r="T75" t="s">
        <v>2596</v>
      </c>
      <c r="U75" t="s">
        <v>2596</v>
      </c>
      <c r="V75" t="s">
        <v>2597</v>
      </c>
    </row>
    <row r="76" spans="1:22" hidden="1" x14ac:dyDescent="0.25">
      <c r="A76" s="15" t="s">
        <v>2501</v>
      </c>
      <c r="B76" s="16" t="s">
        <v>588</v>
      </c>
      <c r="C76" s="17" t="s">
        <v>37</v>
      </c>
      <c r="D76" s="17" t="s">
        <v>72</v>
      </c>
      <c r="E76" s="18">
        <v>45296.725694444445</v>
      </c>
      <c r="F76" s="18">
        <v>45296.724999999999</v>
      </c>
      <c r="G76" s="18">
        <v>45296.754861111112</v>
      </c>
      <c r="H76" s="19" t="s">
        <v>49</v>
      </c>
      <c r="I76" s="17" t="s">
        <v>73</v>
      </c>
      <c r="J76" s="17" t="s">
        <v>40</v>
      </c>
      <c r="K76" s="19">
        <v>37</v>
      </c>
      <c r="L76" s="19">
        <v>5</v>
      </c>
      <c r="M76" s="17" t="s">
        <v>23</v>
      </c>
      <c r="N76" s="20" t="s">
        <v>51</v>
      </c>
      <c r="O76" s="19">
        <v>4</v>
      </c>
      <c r="P76" s="17" t="s">
        <v>52</v>
      </c>
      <c r="Q76" s="16">
        <v>210.35</v>
      </c>
      <c r="R76" s="17" t="s">
        <v>58</v>
      </c>
      <c r="S76" s="7">
        <v>2</v>
      </c>
      <c r="T76" t="s">
        <v>2598</v>
      </c>
      <c r="U76" t="s">
        <v>2598</v>
      </c>
      <c r="V76" t="s">
        <v>2599</v>
      </c>
    </row>
    <row r="77" spans="1:22" hidden="1" x14ac:dyDescent="0.25">
      <c r="A77" s="21" t="s">
        <v>2501</v>
      </c>
      <c r="B77" s="22" t="s">
        <v>584</v>
      </c>
      <c r="C77" s="23" t="s">
        <v>19</v>
      </c>
      <c r="D77" s="23" t="s">
        <v>38</v>
      </c>
      <c r="E77" s="24">
        <v>45485.420138888891</v>
      </c>
      <c r="F77" s="24">
        <v>45485.414583333331</v>
      </c>
      <c r="G77" s="24">
        <v>45485.443055555559</v>
      </c>
      <c r="H77" s="25">
        <v>20</v>
      </c>
      <c r="I77" s="23" t="s">
        <v>163</v>
      </c>
      <c r="J77" s="23" t="s">
        <v>150</v>
      </c>
      <c r="K77" s="25">
        <v>9</v>
      </c>
      <c r="L77" s="25">
        <v>24</v>
      </c>
      <c r="M77" s="23" t="s">
        <v>68</v>
      </c>
      <c r="N77" s="26" t="s">
        <v>33</v>
      </c>
      <c r="O77" s="25">
        <v>6</v>
      </c>
      <c r="P77" s="23" t="s">
        <v>80</v>
      </c>
      <c r="Q77" s="22">
        <v>124.39</v>
      </c>
      <c r="R77" s="23" t="s">
        <v>26</v>
      </c>
      <c r="S77" s="8">
        <v>2</v>
      </c>
      <c r="T77" t="s">
        <v>2598</v>
      </c>
      <c r="U77" t="s">
        <v>2598</v>
      </c>
      <c r="V77" t="s">
        <v>2599</v>
      </c>
    </row>
    <row r="78" spans="1:22" hidden="1" x14ac:dyDescent="0.25">
      <c r="A78" s="15" t="s">
        <v>2509</v>
      </c>
      <c r="B78" s="16" t="s">
        <v>467</v>
      </c>
      <c r="C78" s="17" t="s">
        <v>94</v>
      </c>
      <c r="D78" s="17" t="s">
        <v>99</v>
      </c>
      <c r="E78" s="18">
        <v>45767.322916666664</v>
      </c>
      <c r="F78" s="18">
        <v>45767.303472222222</v>
      </c>
      <c r="G78" s="18"/>
      <c r="H78" s="19">
        <v>145</v>
      </c>
      <c r="I78" s="17" t="s">
        <v>110</v>
      </c>
      <c r="J78" s="17" t="s">
        <v>67</v>
      </c>
      <c r="K78" s="19">
        <v>43</v>
      </c>
      <c r="L78" s="19">
        <v>48</v>
      </c>
      <c r="M78" s="17" t="s">
        <v>87</v>
      </c>
      <c r="N78" s="20" t="s">
        <v>103</v>
      </c>
      <c r="O78" s="19">
        <v>2</v>
      </c>
      <c r="P78" s="17" t="s">
        <v>25</v>
      </c>
      <c r="Q78" s="16">
        <v>154.88</v>
      </c>
      <c r="R78" s="17" t="s">
        <v>75</v>
      </c>
      <c r="S78" s="7">
        <v>2</v>
      </c>
      <c r="T78" t="s">
        <v>2598</v>
      </c>
      <c r="U78" t="s">
        <v>2598</v>
      </c>
      <c r="V78" t="s">
        <v>2599</v>
      </c>
    </row>
    <row r="79" spans="1:22" hidden="1" x14ac:dyDescent="0.25">
      <c r="A79" s="21" t="s">
        <v>2509</v>
      </c>
      <c r="B79" s="22" t="s">
        <v>307</v>
      </c>
      <c r="C79" s="23" t="s">
        <v>37</v>
      </c>
      <c r="D79" s="23" t="s">
        <v>72</v>
      </c>
      <c r="E79" s="24">
        <v>45410.295138888891</v>
      </c>
      <c r="F79" s="24">
        <v>45410.275000000001</v>
      </c>
      <c r="G79" s="24">
        <v>45410.351388888892</v>
      </c>
      <c r="H79" s="25">
        <v>-4</v>
      </c>
      <c r="I79" s="23" t="s">
        <v>95</v>
      </c>
      <c r="J79" s="23" t="s">
        <v>22</v>
      </c>
      <c r="K79" s="25">
        <v>53</v>
      </c>
      <c r="L79" s="25">
        <v>28</v>
      </c>
      <c r="M79" s="23" t="s">
        <v>68</v>
      </c>
      <c r="N79" s="26" t="s">
        <v>57</v>
      </c>
      <c r="O79" s="25">
        <v>5</v>
      </c>
      <c r="P79" s="23" t="s">
        <v>25</v>
      </c>
      <c r="Q79" s="22">
        <v>204.73</v>
      </c>
      <c r="R79" s="23" t="s">
        <v>75</v>
      </c>
      <c r="S79" s="8">
        <v>2</v>
      </c>
      <c r="T79" t="s">
        <v>2598</v>
      </c>
      <c r="U79" t="s">
        <v>2598</v>
      </c>
      <c r="V79" t="s">
        <v>2599</v>
      </c>
    </row>
  </sheetData>
  <autoFilter ref="T1:T79" xr:uid="{F658F6D6-7067-418E-B87C-57AB42A988FE}">
    <filterColumn colId="0">
      <filters>
        <filter val="Y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5E27-B864-42B8-B3C7-56E52246AF3F}">
  <dimension ref="A1:K28"/>
  <sheetViews>
    <sheetView tabSelected="1" workbookViewId="0">
      <selection activeCell="F14" sqref="F14"/>
    </sheetView>
  </sheetViews>
  <sheetFormatPr defaultRowHeight="15" x14ac:dyDescent="0.25"/>
  <cols>
    <col min="1" max="1" width="10.42578125" customWidth="1"/>
    <col min="2" max="2" width="14.140625" customWidth="1"/>
    <col min="3" max="3" width="13.140625" customWidth="1"/>
    <col min="4" max="4" width="20.5703125" customWidth="1"/>
    <col min="5" max="5" width="10.5703125" customWidth="1"/>
    <col min="6" max="6" width="25" customWidth="1"/>
    <col min="7" max="7" width="33.85546875" customWidth="1"/>
    <col min="9" max="9" width="17" customWidth="1"/>
    <col min="10" max="10" width="16.28515625" customWidth="1"/>
    <col min="11" max="11" width="13.28515625" style="2" customWidth="1"/>
  </cols>
  <sheetData>
    <row r="1" spans="1:8" x14ac:dyDescent="0.25">
      <c r="A1" t="s">
        <v>2560</v>
      </c>
      <c r="B1" t="s">
        <v>2561</v>
      </c>
      <c r="C1" t="s">
        <v>2562</v>
      </c>
      <c r="D1" t="s">
        <v>2563</v>
      </c>
      <c r="E1" t="s">
        <v>2564</v>
      </c>
      <c r="F1" t="s">
        <v>2565</v>
      </c>
      <c r="G1" t="s">
        <v>2566</v>
      </c>
      <c r="H1" t="s">
        <v>2640</v>
      </c>
    </row>
    <row r="2" spans="1:8" x14ac:dyDescent="0.25">
      <c r="A2" t="s">
        <v>2584</v>
      </c>
      <c r="B2" t="s">
        <v>2588</v>
      </c>
      <c r="C2" t="s">
        <v>2583</v>
      </c>
      <c r="D2">
        <v>78</v>
      </c>
      <c r="E2" t="s">
        <v>2586</v>
      </c>
      <c r="F2" t="s">
        <v>2587</v>
      </c>
      <c r="G2" t="s">
        <v>22</v>
      </c>
    </row>
    <row r="3" spans="1:8" x14ac:dyDescent="0.25">
      <c r="A3" t="s">
        <v>2589</v>
      </c>
      <c r="B3" t="s">
        <v>2582</v>
      </c>
      <c r="C3" t="s">
        <v>2590</v>
      </c>
      <c r="D3">
        <v>78</v>
      </c>
      <c r="E3" t="s">
        <v>2585</v>
      </c>
      <c r="F3" t="s">
        <v>2591</v>
      </c>
      <c r="G3" t="s">
        <v>2592</v>
      </c>
    </row>
    <row r="4" spans="1:8" x14ac:dyDescent="0.25">
      <c r="A4" t="s">
        <v>2601</v>
      </c>
      <c r="B4" t="s">
        <v>2570</v>
      </c>
      <c r="C4" t="s">
        <v>2602</v>
      </c>
      <c r="D4">
        <v>1213</v>
      </c>
      <c r="E4" t="s">
        <v>2585</v>
      </c>
      <c r="F4" t="s">
        <v>2603</v>
      </c>
      <c r="G4" t="s">
        <v>2604</v>
      </c>
      <c r="H4" t="s">
        <v>2641</v>
      </c>
    </row>
    <row r="5" spans="1:8" x14ac:dyDescent="0.25">
      <c r="A5" t="s">
        <v>2606</v>
      </c>
      <c r="B5" t="s">
        <v>2607</v>
      </c>
      <c r="C5" t="s">
        <v>2608</v>
      </c>
      <c r="D5">
        <v>16</v>
      </c>
      <c r="E5" t="s">
        <v>2586</v>
      </c>
      <c r="F5" t="s">
        <v>2603</v>
      </c>
      <c r="G5" t="s">
        <v>2614</v>
      </c>
      <c r="H5" t="s">
        <v>2641</v>
      </c>
    </row>
    <row r="6" spans="1:8" x14ac:dyDescent="0.25">
      <c r="A6" t="s">
        <v>2610</v>
      </c>
      <c r="B6" t="s">
        <v>2611</v>
      </c>
      <c r="C6" t="s">
        <v>2612</v>
      </c>
      <c r="D6">
        <v>7</v>
      </c>
      <c r="E6" t="s">
        <v>2586</v>
      </c>
      <c r="F6" t="s">
        <v>2603</v>
      </c>
      <c r="G6" t="s">
        <v>2613</v>
      </c>
      <c r="H6" t="s">
        <v>2641</v>
      </c>
    </row>
    <row r="7" spans="1:8" x14ac:dyDescent="0.25">
      <c r="A7" t="s">
        <v>2615</v>
      </c>
      <c r="B7" t="s">
        <v>2616</v>
      </c>
      <c r="C7" t="s">
        <v>2612</v>
      </c>
      <c r="D7">
        <v>23</v>
      </c>
      <c r="E7" t="s">
        <v>2586</v>
      </c>
      <c r="F7" t="s">
        <v>2617</v>
      </c>
      <c r="G7" t="s">
        <v>2618</v>
      </c>
      <c r="H7" t="s">
        <v>2642</v>
      </c>
    </row>
    <row r="8" spans="1:8" x14ac:dyDescent="0.25">
      <c r="A8" t="s">
        <v>2619</v>
      </c>
      <c r="B8" t="s">
        <v>2620</v>
      </c>
      <c r="C8" t="s">
        <v>2621</v>
      </c>
      <c r="D8">
        <v>111</v>
      </c>
      <c r="E8" t="s">
        <v>2585</v>
      </c>
      <c r="F8" t="s">
        <v>2587</v>
      </c>
      <c r="G8" t="s">
        <v>2622</v>
      </c>
    </row>
    <row r="9" spans="1:8" x14ac:dyDescent="0.25">
      <c r="A9" t="s">
        <v>2623</v>
      </c>
      <c r="B9" t="s">
        <v>2624</v>
      </c>
      <c r="C9" t="s">
        <v>2621</v>
      </c>
      <c r="D9">
        <v>216</v>
      </c>
      <c r="E9" t="s">
        <v>2585</v>
      </c>
      <c r="F9" t="s">
        <v>2587</v>
      </c>
      <c r="G9" t="s">
        <v>2625</v>
      </c>
    </row>
    <row r="10" spans="1:8" x14ac:dyDescent="0.25">
      <c r="A10" t="s">
        <v>2626</v>
      </c>
      <c r="B10" t="s">
        <v>2627</v>
      </c>
      <c r="C10" t="s">
        <v>2628</v>
      </c>
      <c r="D10">
        <v>81</v>
      </c>
      <c r="E10" t="s">
        <v>2585</v>
      </c>
      <c r="F10" t="s">
        <v>2617</v>
      </c>
      <c r="G10" t="s">
        <v>2629</v>
      </c>
    </row>
    <row r="11" spans="1:8" x14ac:dyDescent="0.25">
      <c r="A11" t="s">
        <v>2630</v>
      </c>
      <c r="B11" t="s">
        <v>2627</v>
      </c>
      <c r="C11" t="s">
        <v>2631</v>
      </c>
      <c r="D11">
        <v>0</v>
      </c>
      <c r="E11" t="s">
        <v>2633</v>
      </c>
      <c r="F11" t="s">
        <v>2634</v>
      </c>
      <c r="G11" t="s">
        <v>2635</v>
      </c>
    </row>
    <row r="12" spans="1:8" x14ac:dyDescent="0.25">
      <c r="A12" t="s">
        <v>2636</v>
      </c>
      <c r="B12" t="s">
        <v>2637</v>
      </c>
      <c r="C12" t="s">
        <v>2602</v>
      </c>
      <c r="D12">
        <v>900</v>
      </c>
      <c r="E12" t="s">
        <v>2585</v>
      </c>
      <c r="F12" t="s">
        <v>2603</v>
      </c>
      <c r="G12" t="s">
        <v>2638</v>
      </c>
      <c r="H12" t="s">
        <v>2643</v>
      </c>
    </row>
    <row r="13" spans="1:8" x14ac:dyDescent="0.25">
      <c r="A13" t="s">
        <v>2644</v>
      </c>
      <c r="B13" t="s">
        <v>2588</v>
      </c>
      <c r="C13" t="s">
        <v>2645</v>
      </c>
      <c r="D13">
        <v>21</v>
      </c>
      <c r="E13" t="s">
        <v>2586</v>
      </c>
      <c r="F13" t="s">
        <v>2647</v>
      </c>
      <c r="G13" t="s">
        <v>2646</v>
      </c>
    </row>
    <row r="17" spans="9:11" x14ac:dyDescent="0.25">
      <c r="I17" t="s">
        <v>2561</v>
      </c>
      <c r="J17" t="s">
        <v>2567</v>
      </c>
      <c r="K17" s="2" t="s">
        <v>2580</v>
      </c>
    </row>
    <row r="18" spans="9:11" x14ac:dyDescent="0.25">
      <c r="I18" t="s">
        <v>2570</v>
      </c>
      <c r="J18">
        <f>COUNTBLANK('Raw Data'!H2:H1802)</f>
        <v>910</v>
      </c>
      <c r="K18" s="2">
        <f t="shared" ref="K18:K28" si="0">(J18/1823)*100</f>
        <v>49.917718047174986</v>
      </c>
    </row>
    <row r="19" spans="9:11" x14ac:dyDescent="0.25">
      <c r="I19" t="s">
        <v>2569</v>
      </c>
      <c r="J19">
        <f>COUNTBLANK('Raw Data'!C2:C1802)</f>
        <v>224</v>
      </c>
      <c r="K19" s="2">
        <f t="shared" si="0"/>
        <v>12.28743828853538</v>
      </c>
    </row>
    <row r="20" spans="9:11" x14ac:dyDescent="0.25">
      <c r="I20" t="s">
        <v>2571</v>
      </c>
      <c r="J20">
        <f>COUNTBLANK('Raw Data'!I2:I1802)</f>
        <v>349</v>
      </c>
      <c r="K20" s="2">
        <f t="shared" si="0"/>
        <v>19.144267690619856</v>
      </c>
    </row>
    <row r="21" spans="9:11" x14ac:dyDescent="0.25">
      <c r="I21" t="s">
        <v>2572</v>
      </c>
      <c r="J21">
        <f>COUNTBLANK('Raw Data'!G2:G1802)</f>
        <v>212</v>
      </c>
      <c r="K21" s="2">
        <f t="shared" si="0"/>
        <v>11.629182665935272</v>
      </c>
    </row>
    <row r="22" spans="9:11" x14ac:dyDescent="0.25">
      <c r="I22" t="s">
        <v>2573</v>
      </c>
      <c r="J22">
        <f>COUNTBLANK('Raw Data'!J2:J1802)</f>
        <v>201</v>
      </c>
      <c r="K22" s="2">
        <f t="shared" si="0"/>
        <v>11.025781678551837</v>
      </c>
    </row>
    <row r="23" spans="9:11" x14ac:dyDescent="0.25">
      <c r="I23" t="s">
        <v>2574</v>
      </c>
      <c r="J23">
        <f>COUNTBLANK('Raw Data'!M2:M1802)</f>
        <v>234</v>
      </c>
      <c r="K23" s="2">
        <f t="shared" si="0"/>
        <v>12.835984640702138</v>
      </c>
    </row>
    <row r="24" spans="9:11" x14ac:dyDescent="0.25">
      <c r="I24" t="s">
        <v>2575</v>
      </c>
      <c r="J24">
        <f>COUNTBLANK('Raw Data'!N2:N1802)</f>
        <v>366</v>
      </c>
      <c r="K24" s="2">
        <f t="shared" si="0"/>
        <v>20.076796489303348</v>
      </c>
    </row>
    <row r="25" spans="9:11" x14ac:dyDescent="0.25">
      <c r="I25" t="s">
        <v>2576</v>
      </c>
      <c r="J25">
        <f>COUNTBLANK('Raw Data'!F2:F1802)</f>
        <v>110</v>
      </c>
      <c r="K25" s="2">
        <f t="shared" si="0"/>
        <v>6.0340098738343384</v>
      </c>
    </row>
    <row r="26" spans="9:11" x14ac:dyDescent="0.25">
      <c r="I26" t="s">
        <v>2577</v>
      </c>
      <c r="J26">
        <f>COUNTBLANK('Raw Data'!Q2:Q1802)</f>
        <v>133</v>
      </c>
      <c r="K26" s="2">
        <f t="shared" si="0"/>
        <v>7.2956664838178824</v>
      </c>
    </row>
    <row r="27" spans="9:11" x14ac:dyDescent="0.25">
      <c r="I27" t="s">
        <v>2578</v>
      </c>
      <c r="J27">
        <f>COUNTBLANK('Raw Data'!P2:P1802)</f>
        <v>271</v>
      </c>
      <c r="K27" s="2">
        <f t="shared" si="0"/>
        <v>14.865606143719145</v>
      </c>
    </row>
    <row r="28" spans="9:11" x14ac:dyDescent="0.25">
      <c r="I28" t="s">
        <v>2579</v>
      </c>
      <c r="J28">
        <f>COUNTBLANK('Raw Data'!O2:O1802)</f>
        <v>578</v>
      </c>
      <c r="K28" s="2">
        <f t="shared" si="0"/>
        <v>31.705979155238616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4AD13-D87C-4C7E-A9A6-4FA3A672C64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Duplicates</vt:lpstr>
      <vt:lpstr>Raw Data</vt:lpstr>
      <vt:lpstr>Duplicate_investigation</vt:lpstr>
      <vt:lpstr>Data Quality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nair Biju shiji</cp:lastModifiedBy>
  <dcterms:created xsi:type="dcterms:W3CDTF">2026-10-10T10:05:19Z</dcterms:created>
  <dcterms:modified xsi:type="dcterms:W3CDTF">2026-10-12T20:19:57Z</dcterms:modified>
</cp:coreProperties>
</file>